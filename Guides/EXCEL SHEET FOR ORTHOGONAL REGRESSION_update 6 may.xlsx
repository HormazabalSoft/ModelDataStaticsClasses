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njit Das\Desktop\2026\course\Mathematical Modelling\Orthogonal Regression\"/>
    </mc:Choice>
  </mc:AlternateContent>
  <xr:revisionPtr revIDLastSave="0" documentId="13_ncr:1_{0828A11B-2F0A-45A7-838D-F78DEAE60B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4" sheetId="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" i="1" l="1"/>
  <c r="P5" i="1"/>
  <c r="M2" i="1"/>
  <c r="K3" i="1"/>
  <c r="L3" i="1" s="1"/>
  <c r="K4" i="1"/>
  <c r="L4" i="1" s="1"/>
  <c r="K5" i="1"/>
  <c r="L5" i="1" s="1"/>
  <c r="K6" i="1"/>
  <c r="L6" i="1" s="1"/>
  <c r="K7" i="1"/>
  <c r="L7" i="1" s="1"/>
  <c r="K8" i="1"/>
  <c r="L8" i="1" s="1"/>
  <c r="K9" i="1"/>
  <c r="L9" i="1" s="1"/>
  <c r="K10" i="1"/>
  <c r="L10" i="1" s="1"/>
  <c r="K11" i="1"/>
  <c r="L11" i="1" s="1"/>
  <c r="K12" i="1"/>
  <c r="L12" i="1" s="1"/>
  <c r="K13" i="1"/>
  <c r="L13" i="1" s="1"/>
  <c r="K14" i="1"/>
  <c r="L14" i="1" s="1"/>
  <c r="K15" i="1"/>
  <c r="L15" i="1" s="1"/>
  <c r="K16" i="1"/>
  <c r="L16" i="1" s="1"/>
  <c r="K17" i="1"/>
  <c r="L17" i="1" s="1"/>
  <c r="K18" i="1"/>
  <c r="L18" i="1" s="1"/>
  <c r="K19" i="1"/>
  <c r="L19" i="1" s="1"/>
  <c r="K20" i="1"/>
  <c r="L20" i="1" s="1"/>
  <c r="K21" i="1"/>
  <c r="L21" i="1" s="1"/>
  <c r="K22" i="1"/>
  <c r="L22" i="1" s="1"/>
  <c r="K23" i="1"/>
  <c r="L23" i="1" s="1"/>
  <c r="K24" i="1"/>
  <c r="L24" i="1" s="1"/>
  <c r="K25" i="1"/>
  <c r="L25" i="1" s="1"/>
  <c r="K26" i="1"/>
  <c r="L26" i="1" s="1"/>
  <c r="K27" i="1"/>
  <c r="L27" i="1" s="1"/>
  <c r="K28" i="1"/>
  <c r="L28" i="1" s="1"/>
  <c r="K29" i="1"/>
  <c r="L29" i="1" s="1"/>
  <c r="K30" i="1"/>
  <c r="L30" i="1" s="1"/>
  <c r="K31" i="1"/>
  <c r="L31" i="1" s="1"/>
  <c r="K32" i="1"/>
  <c r="L32" i="1" s="1"/>
  <c r="K33" i="1"/>
  <c r="L33" i="1" s="1"/>
  <c r="K34" i="1"/>
  <c r="L34" i="1" s="1"/>
  <c r="K35" i="1"/>
  <c r="L35" i="1" s="1"/>
  <c r="K36" i="1"/>
  <c r="L36" i="1" s="1"/>
  <c r="K37" i="1"/>
  <c r="L37" i="1" s="1"/>
  <c r="K38" i="1"/>
  <c r="L38" i="1" s="1"/>
  <c r="K39" i="1"/>
  <c r="L39" i="1" s="1"/>
  <c r="K40" i="1"/>
  <c r="L40" i="1" s="1"/>
  <c r="K41" i="1"/>
  <c r="L41" i="1" s="1"/>
  <c r="K42" i="1"/>
  <c r="L42" i="1" s="1"/>
  <c r="K43" i="1"/>
  <c r="L43" i="1" s="1"/>
  <c r="K44" i="1"/>
  <c r="L44" i="1" s="1"/>
  <c r="K45" i="1"/>
  <c r="L45" i="1" s="1"/>
  <c r="K46" i="1"/>
  <c r="L46" i="1" s="1"/>
  <c r="K47" i="1"/>
  <c r="L47" i="1" s="1"/>
  <c r="K48" i="1"/>
  <c r="L48" i="1" s="1"/>
  <c r="K49" i="1"/>
  <c r="L49" i="1" s="1"/>
  <c r="K50" i="1"/>
  <c r="L50" i="1" s="1"/>
  <c r="K51" i="1"/>
  <c r="L51" i="1" s="1"/>
  <c r="K52" i="1"/>
  <c r="L52" i="1" s="1"/>
  <c r="K53" i="1"/>
  <c r="L53" i="1" s="1"/>
  <c r="K54" i="1"/>
  <c r="L54" i="1" s="1"/>
  <c r="K55" i="1"/>
  <c r="L55" i="1" s="1"/>
  <c r="K56" i="1"/>
  <c r="L56" i="1" s="1"/>
  <c r="K57" i="1"/>
  <c r="L57" i="1" s="1"/>
  <c r="K58" i="1"/>
  <c r="L58" i="1" s="1"/>
  <c r="K59" i="1"/>
  <c r="L59" i="1" s="1"/>
  <c r="K60" i="1"/>
  <c r="L60" i="1" s="1"/>
  <c r="K61" i="1"/>
  <c r="L61" i="1" s="1"/>
  <c r="K62" i="1"/>
  <c r="L62" i="1" s="1"/>
  <c r="K63" i="1"/>
  <c r="L63" i="1" s="1"/>
  <c r="K64" i="1"/>
  <c r="L64" i="1" s="1"/>
  <c r="K65" i="1"/>
  <c r="L65" i="1" s="1"/>
  <c r="K66" i="1"/>
  <c r="L66" i="1" s="1"/>
  <c r="K67" i="1"/>
  <c r="L67" i="1" s="1"/>
  <c r="K68" i="1"/>
  <c r="L68" i="1" s="1"/>
  <c r="K69" i="1"/>
  <c r="L69" i="1" s="1"/>
  <c r="K70" i="1"/>
  <c r="L70" i="1" s="1"/>
  <c r="K71" i="1"/>
  <c r="L71" i="1" s="1"/>
  <c r="K72" i="1"/>
  <c r="L72" i="1" s="1"/>
  <c r="K73" i="1"/>
  <c r="L73" i="1" s="1"/>
  <c r="K74" i="1"/>
  <c r="L74" i="1" s="1"/>
  <c r="K75" i="1"/>
  <c r="L75" i="1" s="1"/>
  <c r="K76" i="1"/>
  <c r="L76" i="1" s="1"/>
  <c r="K77" i="1"/>
  <c r="L77" i="1" s="1"/>
  <c r="K78" i="1"/>
  <c r="L78" i="1" s="1"/>
  <c r="K79" i="1"/>
  <c r="L79" i="1" s="1"/>
  <c r="K80" i="1"/>
  <c r="L80" i="1" s="1"/>
  <c r="K81" i="1"/>
  <c r="L81" i="1" s="1"/>
  <c r="K82" i="1"/>
  <c r="L82" i="1" s="1"/>
  <c r="K83" i="1"/>
  <c r="L83" i="1" s="1"/>
  <c r="K84" i="1"/>
  <c r="L84" i="1" s="1"/>
  <c r="K85" i="1"/>
  <c r="L85" i="1" s="1"/>
  <c r="K86" i="1"/>
  <c r="L86" i="1" s="1"/>
  <c r="K87" i="1"/>
  <c r="L87" i="1" s="1"/>
  <c r="K88" i="1"/>
  <c r="L88" i="1" s="1"/>
  <c r="K89" i="1"/>
  <c r="L89" i="1" s="1"/>
  <c r="K90" i="1"/>
  <c r="L90" i="1" s="1"/>
  <c r="K91" i="1"/>
  <c r="L91" i="1" s="1"/>
  <c r="K92" i="1"/>
  <c r="L92" i="1" s="1"/>
  <c r="K93" i="1"/>
  <c r="L93" i="1" s="1"/>
  <c r="K94" i="1"/>
  <c r="L94" i="1" s="1"/>
  <c r="K95" i="1"/>
  <c r="L95" i="1" s="1"/>
  <c r="K96" i="1"/>
  <c r="L96" i="1" s="1"/>
  <c r="K97" i="1"/>
  <c r="L97" i="1" s="1"/>
  <c r="K98" i="1"/>
  <c r="L98" i="1" s="1"/>
  <c r="K99" i="1"/>
  <c r="L99" i="1" s="1"/>
  <c r="K100" i="1"/>
  <c r="L100" i="1" s="1"/>
  <c r="K101" i="1"/>
  <c r="L101" i="1" s="1"/>
  <c r="K102" i="1"/>
  <c r="L102" i="1" s="1"/>
  <c r="K103" i="1"/>
  <c r="L103" i="1" s="1"/>
  <c r="K104" i="1"/>
  <c r="L104" i="1" s="1"/>
  <c r="K105" i="1"/>
  <c r="L105" i="1" s="1"/>
  <c r="K106" i="1"/>
  <c r="L106" i="1" s="1"/>
  <c r="K107" i="1"/>
  <c r="L107" i="1" s="1"/>
  <c r="K108" i="1"/>
  <c r="L108" i="1" s="1"/>
  <c r="K109" i="1"/>
  <c r="L109" i="1" s="1"/>
  <c r="K110" i="1"/>
  <c r="L110" i="1" s="1"/>
  <c r="K111" i="1"/>
  <c r="L111" i="1" s="1"/>
  <c r="K112" i="1"/>
  <c r="L112" i="1" s="1"/>
  <c r="K113" i="1"/>
  <c r="L113" i="1" s="1"/>
  <c r="K114" i="1"/>
  <c r="L114" i="1" s="1"/>
  <c r="K115" i="1"/>
  <c r="L115" i="1" s="1"/>
  <c r="K116" i="1"/>
  <c r="L116" i="1" s="1"/>
  <c r="K117" i="1"/>
  <c r="L117" i="1" s="1"/>
  <c r="K118" i="1"/>
  <c r="L118" i="1" s="1"/>
  <c r="K119" i="1"/>
  <c r="L119" i="1" s="1"/>
  <c r="K120" i="1"/>
  <c r="L120" i="1" s="1"/>
  <c r="K121" i="1"/>
  <c r="L121" i="1" s="1"/>
  <c r="K122" i="1"/>
  <c r="L122" i="1" s="1"/>
  <c r="K123" i="1"/>
  <c r="L123" i="1" s="1"/>
  <c r="K124" i="1"/>
  <c r="L124" i="1" s="1"/>
  <c r="K125" i="1"/>
  <c r="L125" i="1" s="1"/>
  <c r="K126" i="1"/>
  <c r="L126" i="1" s="1"/>
  <c r="K127" i="1"/>
  <c r="L127" i="1" s="1"/>
  <c r="K128" i="1"/>
  <c r="L128" i="1" s="1"/>
  <c r="K129" i="1"/>
  <c r="L129" i="1" s="1"/>
  <c r="K130" i="1"/>
  <c r="L130" i="1" s="1"/>
  <c r="K131" i="1"/>
  <c r="L131" i="1" s="1"/>
  <c r="K132" i="1"/>
  <c r="L132" i="1" s="1"/>
  <c r="K133" i="1"/>
  <c r="L133" i="1" s="1"/>
  <c r="K134" i="1"/>
  <c r="L134" i="1" s="1"/>
  <c r="K135" i="1"/>
  <c r="L135" i="1" s="1"/>
  <c r="K136" i="1"/>
  <c r="L136" i="1" s="1"/>
  <c r="K137" i="1"/>
  <c r="L137" i="1" s="1"/>
  <c r="K138" i="1"/>
  <c r="L138" i="1" s="1"/>
  <c r="K139" i="1"/>
  <c r="L139" i="1" s="1"/>
  <c r="K140" i="1"/>
  <c r="L140" i="1" s="1"/>
  <c r="K141" i="1"/>
  <c r="L141" i="1" s="1"/>
  <c r="K142" i="1"/>
  <c r="L142" i="1" s="1"/>
  <c r="K143" i="1"/>
  <c r="L143" i="1" s="1"/>
  <c r="K144" i="1"/>
  <c r="L144" i="1" s="1"/>
  <c r="K145" i="1"/>
  <c r="L145" i="1" s="1"/>
  <c r="K146" i="1"/>
  <c r="L146" i="1" s="1"/>
  <c r="K147" i="1"/>
  <c r="L147" i="1" s="1"/>
  <c r="K148" i="1"/>
  <c r="L148" i="1" s="1"/>
  <c r="K149" i="1"/>
  <c r="L149" i="1" s="1"/>
  <c r="K150" i="1"/>
  <c r="L150" i="1" s="1"/>
  <c r="K151" i="1"/>
  <c r="L151" i="1" s="1"/>
  <c r="K152" i="1"/>
  <c r="L152" i="1" s="1"/>
  <c r="K153" i="1"/>
  <c r="L153" i="1" s="1"/>
  <c r="K154" i="1"/>
  <c r="L154" i="1" s="1"/>
  <c r="K155" i="1"/>
  <c r="L155" i="1" s="1"/>
  <c r="K156" i="1"/>
  <c r="L156" i="1" s="1"/>
  <c r="K157" i="1"/>
  <c r="L157" i="1" s="1"/>
  <c r="K158" i="1"/>
  <c r="L158" i="1" s="1"/>
  <c r="K159" i="1"/>
  <c r="L159" i="1" s="1"/>
  <c r="K160" i="1"/>
  <c r="L160" i="1" s="1"/>
  <c r="K161" i="1"/>
  <c r="L161" i="1" s="1"/>
  <c r="K162" i="1"/>
  <c r="L162" i="1" s="1"/>
  <c r="K163" i="1"/>
  <c r="L163" i="1" s="1"/>
  <c r="K164" i="1"/>
  <c r="L164" i="1" s="1"/>
  <c r="K165" i="1"/>
  <c r="L165" i="1" s="1"/>
  <c r="K166" i="1"/>
  <c r="L166" i="1" s="1"/>
  <c r="K167" i="1"/>
  <c r="L167" i="1" s="1"/>
  <c r="K168" i="1"/>
  <c r="L168" i="1" s="1"/>
  <c r="K169" i="1"/>
  <c r="L169" i="1" s="1"/>
  <c r="K170" i="1"/>
  <c r="L170" i="1" s="1"/>
  <c r="K171" i="1"/>
  <c r="L171" i="1" s="1"/>
  <c r="K172" i="1"/>
  <c r="L172" i="1" s="1"/>
  <c r="K173" i="1"/>
  <c r="L173" i="1" s="1"/>
  <c r="K174" i="1"/>
  <c r="L174" i="1" s="1"/>
  <c r="K175" i="1"/>
  <c r="L175" i="1" s="1"/>
  <c r="K176" i="1"/>
  <c r="L176" i="1" s="1"/>
  <c r="K177" i="1"/>
  <c r="L177" i="1" s="1"/>
  <c r="K178" i="1"/>
  <c r="L178" i="1" s="1"/>
  <c r="K179" i="1"/>
  <c r="L179" i="1" s="1"/>
  <c r="K180" i="1"/>
  <c r="L180" i="1" s="1"/>
  <c r="K181" i="1"/>
  <c r="L181" i="1" s="1"/>
  <c r="K182" i="1"/>
  <c r="L182" i="1" s="1"/>
  <c r="K183" i="1"/>
  <c r="L183" i="1" s="1"/>
  <c r="K184" i="1"/>
  <c r="L184" i="1" s="1"/>
  <c r="K185" i="1"/>
  <c r="L185" i="1" s="1"/>
  <c r="K186" i="1"/>
  <c r="L186" i="1" s="1"/>
  <c r="K187" i="1"/>
  <c r="L187" i="1" s="1"/>
  <c r="K188" i="1"/>
  <c r="L188" i="1" s="1"/>
  <c r="K189" i="1"/>
  <c r="L189" i="1" s="1"/>
  <c r="K190" i="1"/>
  <c r="L190" i="1" s="1"/>
  <c r="K191" i="1"/>
  <c r="L191" i="1" s="1"/>
  <c r="K192" i="1"/>
  <c r="L192" i="1" s="1"/>
  <c r="K193" i="1"/>
  <c r="L193" i="1" s="1"/>
  <c r="K194" i="1"/>
  <c r="L194" i="1" s="1"/>
  <c r="K195" i="1"/>
  <c r="L195" i="1" s="1"/>
  <c r="K196" i="1"/>
  <c r="L196" i="1" s="1"/>
  <c r="K197" i="1"/>
  <c r="L197" i="1" s="1"/>
  <c r="K198" i="1"/>
  <c r="L198" i="1" s="1"/>
  <c r="K199" i="1"/>
  <c r="L199" i="1" s="1"/>
  <c r="K200" i="1"/>
  <c r="L200" i="1" s="1"/>
  <c r="K201" i="1"/>
  <c r="L201" i="1" s="1"/>
  <c r="K202" i="1"/>
  <c r="L202" i="1" s="1"/>
  <c r="K203" i="1"/>
  <c r="L203" i="1" s="1"/>
  <c r="K204" i="1"/>
  <c r="L204" i="1" s="1"/>
  <c r="K205" i="1"/>
  <c r="L205" i="1" s="1"/>
  <c r="K206" i="1"/>
  <c r="L206" i="1" s="1"/>
  <c r="K207" i="1"/>
  <c r="L207" i="1" s="1"/>
  <c r="K208" i="1"/>
  <c r="L208" i="1" s="1"/>
  <c r="K209" i="1"/>
  <c r="L209" i="1" s="1"/>
  <c r="K210" i="1"/>
  <c r="L210" i="1" s="1"/>
  <c r="K211" i="1"/>
  <c r="L211" i="1" s="1"/>
  <c r="K212" i="1"/>
  <c r="L212" i="1" s="1"/>
  <c r="K213" i="1"/>
  <c r="L213" i="1" s="1"/>
  <c r="K214" i="1"/>
  <c r="L214" i="1" s="1"/>
  <c r="K215" i="1"/>
  <c r="L215" i="1" s="1"/>
  <c r="K216" i="1"/>
  <c r="L216" i="1" s="1"/>
  <c r="K217" i="1"/>
  <c r="L217" i="1" s="1"/>
  <c r="K218" i="1"/>
  <c r="L218" i="1" s="1"/>
  <c r="K219" i="1"/>
  <c r="L219" i="1" s="1"/>
  <c r="K220" i="1"/>
  <c r="L220" i="1" s="1"/>
  <c r="K221" i="1"/>
  <c r="L221" i="1" s="1"/>
  <c r="K222" i="1"/>
  <c r="L222" i="1" s="1"/>
  <c r="K223" i="1"/>
  <c r="L223" i="1" s="1"/>
  <c r="K224" i="1"/>
  <c r="L224" i="1" s="1"/>
  <c r="K225" i="1"/>
  <c r="L225" i="1" s="1"/>
  <c r="K226" i="1"/>
  <c r="L226" i="1" s="1"/>
  <c r="K227" i="1"/>
  <c r="L227" i="1" s="1"/>
  <c r="K228" i="1"/>
  <c r="L228" i="1" s="1"/>
  <c r="K229" i="1"/>
  <c r="L229" i="1" s="1"/>
  <c r="K230" i="1"/>
  <c r="L230" i="1" s="1"/>
  <c r="K231" i="1"/>
  <c r="L231" i="1" s="1"/>
  <c r="K232" i="1"/>
  <c r="L232" i="1" s="1"/>
  <c r="K233" i="1"/>
  <c r="L233" i="1" s="1"/>
  <c r="K234" i="1"/>
  <c r="L234" i="1" s="1"/>
  <c r="K235" i="1"/>
  <c r="L235" i="1" s="1"/>
  <c r="K236" i="1"/>
  <c r="L236" i="1" s="1"/>
  <c r="K237" i="1"/>
  <c r="L237" i="1" s="1"/>
  <c r="K238" i="1"/>
  <c r="L238" i="1" s="1"/>
  <c r="K239" i="1"/>
  <c r="L239" i="1" s="1"/>
  <c r="K240" i="1"/>
  <c r="L240" i="1" s="1"/>
  <c r="K241" i="1"/>
  <c r="L241" i="1" s="1"/>
  <c r="K242" i="1"/>
  <c r="L242" i="1" s="1"/>
  <c r="K243" i="1"/>
  <c r="L243" i="1" s="1"/>
  <c r="K244" i="1"/>
  <c r="L244" i="1" s="1"/>
  <c r="K245" i="1"/>
  <c r="L245" i="1" s="1"/>
  <c r="K246" i="1"/>
  <c r="L246" i="1" s="1"/>
  <c r="K247" i="1"/>
  <c r="L247" i="1" s="1"/>
  <c r="K248" i="1"/>
  <c r="L248" i="1" s="1"/>
  <c r="K249" i="1"/>
  <c r="L249" i="1" s="1"/>
  <c r="K250" i="1"/>
  <c r="L250" i="1" s="1"/>
  <c r="K251" i="1"/>
  <c r="L251" i="1" s="1"/>
  <c r="K252" i="1"/>
  <c r="L252" i="1" s="1"/>
  <c r="K253" i="1"/>
  <c r="L253" i="1" s="1"/>
  <c r="K254" i="1"/>
  <c r="L254" i="1" s="1"/>
  <c r="K255" i="1"/>
  <c r="L255" i="1" s="1"/>
  <c r="K256" i="1"/>
  <c r="L256" i="1" s="1"/>
  <c r="K257" i="1"/>
  <c r="L257" i="1" s="1"/>
  <c r="K258" i="1"/>
  <c r="L258" i="1" s="1"/>
  <c r="K259" i="1"/>
  <c r="L259" i="1" s="1"/>
  <c r="K260" i="1"/>
  <c r="L260" i="1" s="1"/>
  <c r="K261" i="1"/>
  <c r="L261" i="1" s="1"/>
  <c r="K262" i="1"/>
  <c r="L262" i="1" s="1"/>
  <c r="K263" i="1"/>
  <c r="L263" i="1" s="1"/>
  <c r="K264" i="1"/>
  <c r="L264" i="1" s="1"/>
  <c r="K265" i="1"/>
  <c r="L265" i="1" s="1"/>
  <c r="K266" i="1"/>
  <c r="L266" i="1" s="1"/>
  <c r="K267" i="1"/>
  <c r="L267" i="1" s="1"/>
  <c r="K268" i="1"/>
  <c r="L268" i="1" s="1"/>
  <c r="K269" i="1"/>
  <c r="L269" i="1" s="1"/>
  <c r="K270" i="1"/>
  <c r="L270" i="1" s="1"/>
  <c r="K271" i="1"/>
  <c r="L271" i="1" s="1"/>
  <c r="K272" i="1"/>
  <c r="L272" i="1" s="1"/>
  <c r="K273" i="1"/>
  <c r="L273" i="1" s="1"/>
  <c r="K274" i="1"/>
  <c r="L274" i="1" s="1"/>
  <c r="K275" i="1"/>
  <c r="L275" i="1" s="1"/>
  <c r="K276" i="1"/>
  <c r="L276" i="1" s="1"/>
  <c r="K277" i="1"/>
  <c r="L277" i="1" s="1"/>
  <c r="K278" i="1"/>
  <c r="L278" i="1" s="1"/>
  <c r="K279" i="1"/>
  <c r="L279" i="1" s="1"/>
  <c r="K280" i="1"/>
  <c r="L280" i="1" s="1"/>
  <c r="K281" i="1"/>
  <c r="L281" i="1" s="1"/>
  <c r="K282" i="1"/>
  <c r="L282" i="1" s="1"/>
  <c r="K283" i="1"/>
  <c r="L283" i="1" s="1"/>
  <c r="K284" i="1"/>
  <c r="L284" i="1" s="1"/>
  <c r="K285" i="1"/>
  <c r="L285" i="1" s="1"/>
  <c r="K286" i="1"/>
  <c r="L286" i="1" s="1"/>
  <c r="K287" i="1"/>
  <c r="L287" i="1" s="1"/>
  <c r="K288" i="1"/>
  <c r="L288" i="1" s="1"/>
  <c r="K289" i="1"/>
  <c r="L289" i="1" s="1"/>
  <c r="K290" i="1"/>
  <c r="L290" i="1" s="1"/>
  <c r="K291" i="1"/>
  <c r="L291" i="1" s="1"/>
  <c r="K292" i="1"/>
  <c r="L292" i="1" s="1"/>
  <c r="K293" i="1"/>
  <c r="L293" i="1" s="1"/>
  <c r="K294" i="1"/>
  <c r="L294" i="1" s="1"/>
  <c r="K295" i="1"/>
  <c r="L295" i="1" s="1"/>
  <c r="K296" i="1"/>
  <c r="L296" i="1" s="1"/>
  <c r="K297" i="1"/>
  <c r="L297" i="1" s="1"/>
  <c r="K298" i="1"/>
  <c r="L298" i="1" s="1"/>
  <c r="K299" i="1"/>
  <c r="L299" i="1" s="1"/>
  <c r="K300" i="1"/>
  <c r="L300" i="1" s="1"/>
  <c r="K301" i="1"/>
  <c r="L301" i="1" s="1"/>
  <c r="K302" i="1"/>
  <c r="L302" i="1" s="1"/>
  <c r="K303" i="1"/>
  <c r="L303" i="1" s="1"/>
  <c r="K304" i="1"/>
  <c r="L304" i="1" s="1"/>
  <c r="K305" i="1"/>
  <c r="L305" i="1" s="1"/>
  <c r="K306" i="1"/>
  <c r="L306" i="1" s="1"/>
  <c r="K307" i="1"/>
  <c r="L307" i="1" s="1"/>
  <c r="K308" i="1"/>
  <c r="L308" i="1" s="1"/>
  <c r="K309" i="1"/>
  <c r="L309" i="1" s="1"/>
  <c r="K310" i="1"/>
  <c r="L310" i="1" s="1"/>
  <c r="K311" i="1"/>
  <c r="L311" i="1" s="1"/>
  <c r="K312" i="1"/>
  <c r="L312" i="1" s="1"/>
  <c r="K313" i="1"/>
  <c r="L313" i="1" s="1"/>
  <c r="K314" i="1"/>
  <c r="L314" i="1" s="1"/>
  <c r="K315" i="1"/>
  <c r="L315" i="1" s="1"/>
  <c r="K316" i="1"/>
  <c r="L316" i="1" s="1"/>
  <c r="K317" i="1"/>
  <c r="L317" i="1" s="1"/>
  <c r="K318" i="1"/>
  <c r="L318" i="1" s="1"/>
  <c r="K319" i="1"/>
  <c r="L319" i="1" s="1"/>
  <c r="K320" i="1"/>
  <c r="L320" i="1" s="1"/>
  <c r="K321" i="1"/>
  <c r="L321" i="1" s="1"/>
  <c r="K322" i="1"/>
  <c r="L322" i="1" s="1"/>
  <c r="K323" i="1"/>
  <c r="L323" i="1" s="1"/>
  <c r="K324" i="1"/>
  <c r="L324" i="1" s="1"/>
  <c r="K325" i="1"/>
  <c r="L325" i="1" s="1"/>
  <c r="K326" i="1"/>
  <c r="L326" i="1" s="1"/>
  <c r="K327" i="1"/>
  <c r="L327" i="1" s="1"/>
  <c r="K328" i="1"/>
  <c r="L328" i="1" s="1"/>
  <c r="K329" i="1"/>
  <c r="L329" i="1" s="1"/>
  <c r="K330" i="1"/>
  <c r="L330" i="1" s="1"/>
  <c r="K331" i="1"/>
  <c r="L331" i="1" s="1"/>
  <c r="K332" i="1"/>
  <c r="L332" i="1" s="1"/>
  <c r="K333" i="1"/>
  <c r="L333" i="1" s="1"/>
  <c r="K334" i="1"/>
  <c r="L334" i="1" s="1"/>
  <c r="K335" i="1"/>
  <c r="L335" i="1" s="1"/>
  <c r="K336" i="1"/>
  <c r="L336" i="1" s="1"/>
  <c r="K337" i="1"/>
  <c r="L337" i="1" s="1"/>
  <c r="K338" i="1"/>
  <c r="L338" i="1" s="1"/>
  <c r="K339" i="1"/>
  <c r="L339" i="1" s="1"/>
  <c r="K340" i="1"/>
  <c r="L340" i="1" s="1"/>
  <c r="K341" i="1"/>
  <c r="L341" i="1" s="1"/>
  <c r="K342" i="1"/>
  <c r="L342" i="1" s="1"/>
  <c r="K343" i="1"/>
  <c r="L343" i="1" s="1"/>
  <c r="K344" i="1"/>
  <c r="L344" i="1" s="1"/>
  <c r="K345" i="1"/>
  <c r="L345" i="1" s="1"/>
  <c r="K346" i="1"/>
  <c r="L346" i="1" s="1"/>
  <c r="K347" i="1"/>
  <c r="L347" i="1" s="1"/>
  <c r="K348" i="1"/>
  <c r="L348" i="1" s="1"/>
  <c r="K349" i="1"/>
  <c r="L349" i="1" s="1"/>
  <c r="K350" i="1"/>
  <c r="L350" i="1" s="1"/>
  <c r="K351" i="1"/>
  <c r="L351" i="1" s="1"/>
  <c r="K352" i="1"/>
  <c r="L352" i="1" s="1"/>
  <c r="K353" i="1"/>
  <c r="L353" i="1" s="1"/>
  <c r="K354" i="1"/>
  <c r="L354" i="1" s="1"/>
  <c r="K355" i="1"/>
  <c r="L355" i="1" s="1"/>
  <c r="K356" i="1"/>
  <c r="L356" i="1" s="1"/>
  <c r="K357" i="1"/>
  <c r="L357" i="1" s="1"/>
  <c r="K358" i="1"/>
  <c r="L358" i="1" s="1"/>
  <c r="K359" i="1"/>
  <c r="L359" i="1" s="1"/>
  <c r="K360" i="1"/>
  <c r="L360" i="1" s="1"/>
  <c r="K361" i="1"/>
  <c r="L361" i="1" s="1"/>
  <c r="K362" i="1"/>
  <c r="L362" i="1" s="1"/>
  <c r="K363" i="1"/>
  <c r="L363" i="1" s="1"/>
  <c r="K364" i="1"/>
  <c r="L364" i="1" s="1"/>
  <c r="K365" i="1"/>
  <c r="L365" i="1" s="1"/>
  <c r="K366" i="1"/>
  <c r="L366" i="1" s="1"/>
  <c r="K367" i="1"/>
  <c r="L367" i="1" s="1"/>
  <c r="K368" i="1"/>
  <c r="L368" i="1" s="1"/>
  <c r="K369" i="1"/>
  <c r="L369" i="1" s="1"/>
  <c r="K370" i="1"/>
  <c r="L370" i="1" s="1"/>
  <c r="K371" i="1"/>
  <c r="L371" i="1" s="1"/>
  <c r="K372" i="1"/>
  <c r="L372" i="1" s="1"/>
  <c r="K373" i="1"/>
  <c r="L373" i="1" s="1"/>
  <c r="K374" i="1"/>
  <c r="L374" i="1" s="1"/>
  <c r="K375" i="1"/>
  <c r="L375" i="1" s="1"/>
  <c r="K376" i="1"/>
  <c r="L376" i="1" s="1"/>
  <c r="K377" i="1"/>
  <c r="L377" i="1" s="1"/>
  <c r="K378" i="1"/>
  <c r="L378" i="1" s="1"/>
  <c r="K379" i="1"/>
  <c r="L379" i="1" s="1"/>
  <c r="K380" i="1"/>
  <c r="L380" i="1" s="1"/>
  <c r="K381" i="1"/>
  <c r="L381" i="1" s="1"/>
  <c r="K382" i="1"/>
  <c r="L382" i="1" s="1"/>
  <c r="K383" i="1"/>
  <c r="L383" i="1" s="1"/>
  <c r="K384" i="1"/>
  <c r="L384" i="1" s="1"/>
  <c r="K385" i="1"/>
  <c r="L385" i="1" s="1"/>
  <c r="K386" i="1"/>
  <c r="L386" i="1" s="1"/>
  <c r="K387" i="1"/>
  <c r="L387" i="1" s="1"/>
  <c r="K388" i="1"/>
  <c r="L388" i="1" s="1"/>
  <c r="K389" i="1"/>
  <c r="L389" i="1" s="1"/>
  <c r="K390" i="1"/>
  <c r="L390" i="1" s="1"/>
  <c r="K391" i="1"/>
  <c r="L391" i="1" s="1"/>
  <c r="K392" i="1"/>
  <c r="L392" i="1" s="1"/>
  <c r="K393" i="1"/>
  <c r="L393" i="1" s="1"/>
  <c r="K394" i="1"/>
  <c r="L394" i="1" s="1"/>
  <c r="K395" i="1"/>
  <c r="L395" i="1" s="1"/>
  <c r="K396" i="1"/>
  <c r="L396" i="1" s="1"/>
  <c r="K397" i="1"/>
  <c r="L397" i="1" s="1"/>
  <c r="K398" i="1"/>
  <c r="L398" i="1" s="1"/>
  <c r="K399" i="1"/>
  <c r="L399" i="1" s="1"/>
  <c r="K400" i="1"/>
  <c r="L400" i="1" s="1"/>
  <c r="K401" i="1"/>
  <c r="L401" i="1" s="1"/>
  <c r="K402" i="1"/>
  <c r="L402" i="1" s="1"/>
  <c r="K403" i="1"/>
  <c r="L403" i="1" s="1"/>
  <c r="K404" i="1"/>
  <c r="L404" i="1" s="1"/>
  <c r="K405" i="1"/>
  <c r="L405" i="1" s="1"/>
  <c r="K406" i="1"/>
  <c r="L406" i="1" s="1"/>
  <c r="K407" i="1"/>
  <c r="L407" i="1" s="1"/>
  <c r="K408" i="1"/>
  <c r="L408" i="1" s="1"/>
  <c r="K409" i="1"/>
  <c r="L409" i="1" s="1"/>
  <c r="K410" i="1"/>
  <c r="L410" i="1" s="1"/>
  <c r="K411" i="1"/>
  <c r="L411" i="1" s="1"/>
  <c r="K412" i="1"/>
  <c r="L412" i="1" s="1"/>
  <c r="K413" i="1"/>
  <c r="L413" i="1" s="1"/>
  <c r="K414" i="1"/>
  <c r="L414" i="1" s="1"/>
  <c r="K415" i="1"/>
  <c r="L415" i="1" s="1"/>
  <c r="K416" i="1"/>
  <c r="L416" i="1" s="1"/>
  <c r="K417" i="1"/>
  <c r="L417" i="1" s="1"/>
  <c r="K418" i="1"/>
  <c r="L418" i="1" s="1"/>
  <c r="K419" i="1"/>
  <c r="L419" i="1" s="1"/>
  <c r="K420" i="1"/>
  <c r="L420" i="1" s="1"/>
  <c r="K421" i="1"/>
  <c r="L421" i="1" s="1"/>
  <c r="K422" i="1"/>
  <c r="L422" i="1" s="1"/>
  <c r="K423" i="1"/>
  <c r="L423" i="1" s="1"/>
  <c r="K424" i="1"/>
  <c r="L424" i="1" s="1"/>
  <c r="K425" i="1"/>
  <c r="L425" i="1" s="1"/>
  <c r="K426" i="1"/>
  <c r="L426" i="1" s="1"/>
  <c r="K427" i="1"/>
  <c r="L427" i="1" s="1"/>
  <c r="K428" i="1"/>
  <c r="L428" i="1" s="1"/>
  <c r="K429" i="1"/>
  <c r="L429" i="1" s="1"/>
  <c r="K430" i="1"/>
  <c r="L430" i="1" s="1"/>
  <c r="K431" i="1"/>
  <c r="L431" i="1" s="1"/>
  <c r="K432" i="1"/>
  <c r="L432" i="1" s="1"/>
  <c r="K433" i="1"/>
  <c r="L433" i="1" s="1"/>
  <c r="K434" i="1"/>
  <c r="L434" i="1" s="1"/>
  <c r="K435" i="1"/>
  <c r="L435" i="1" s="1"/>
  <c r="K436" i="1"/>
  <c r="L436" i="1" s="1"/>
  <c r="K437" i="1"/>
  <c r="L437" i="1" s="1"/>
  <c r="K438" i="1"/>
  <c r="L438" i="1" s="1"/>
  <c r="K439" i="1"/>
  <c r="L439" i="1" s="1"/>
  <c r="K440" i="1"/>
  <c r="L440" i="1" s="1"/>
  <c r="K441" i="1"/>
  <c r="L441" i="1" s="1"/>
  <c r="K442" i="1"/>
  <c r="L442" i="1" s="1"/>
  <c r="K443" i="1"/>
  <c r="L443" i="1" s="1"/>
  <c r="K444" i="1"/>
  <c r="L444" i="1" s="1"/>
  <c r="K445" i="1"/>
  <c r="L445" i="1" s="1"/>
  <c r="K446" i="1"/>
  <c r="L446" i="1" s="1"/>
  <c r="K447" i="1"/>
  <c r="L447" i="1" s="1"/>
  <c r="K448" i="1"/>
  <c r="L448" i="1" s="1"/>
  <c r="K449" i="1"/>
  <c r="L449" i="1" s="1"/>
  <c r="K450" i="1"/>
  <c r="L450" i="1" s="1"/>
  <c r="K451" i="1"/>
  <c r="L451" i="1" s="1"/>
  <c r="K452" i="1"/>
  <c r="L452" i="1" s="1"/>
  <c r="K453" i="1"/>
  <c r="L453" i="1" s="1"/>
  <c r="K454" i="1"/>
  <c r="L454" i="1" s="1"/>
  <c r="K455" i="1"/>
  <c r="L455" i="1" s="1"/>
  <c r="K456" i="1"/>
  <c r="L456" i="1" s="1"/>
  <c r="K457" i="1"/>
  <c r="L457" i="1" s="1"/>
  <c r="K458" i="1"/>
  <c r="L458" i="1" s="1"/>
  <c r="K459" i="1"/>
  <c r="L459" i="1" s="1"/>
  <c r="K460" i="1"/>
  <c r="L460" i="1" s="1"/>
  <c r="K461" i="1"/>
  <c r="L461" i="1" s="1"/>
  <c r="K462" i="1"/>
  <c r="L462" i="1" s="1"/>
  <c r="K463" i="1"/>
  <c r="L463" i="1" s="1"/>
  <c r="K464" i="1"/>
  <c r="L464" i="1" s="1"/>
  <c r="K465" i="1"/>
  <c r="L465" i="1" s="1"/>
  <c r="K466" i="1"/>
  <c r="L466" i="1" s="1"/>
  <c r="K467" i="1"/>
  <c r="L467" i="1" s="1"/>
  <c r="K468" i="1"/>
  <c r="L468" i="1" s="1"/>
  <c r="K469" i="1"/>
  <c r="L469" i="1" s="1"/>
  <c r="K470" i="1"/>
  <c r="L470" i="1" s="1"/>
  <c r="K471" i="1"/>
  <c r="L471" i="1" s="1"/>
  <c r="K472" i="1"/>
  <c r="L472" i="1" s="1"/>
  <c r="K473" i="1"/>
  <c r="L473" i="1" s="1"/>
  <c r="K474" i="1"/>
  <c r="L474" i="1" s="1"/>
  <c r="K475" i="1"/>
  <c r="L475" i="1" s="1"/>
  <c r="K476" i="1"/>
  <c r="L476" i="1" s="1"/>
  <c r="K477" i="1"/>
  <c r="L477" i="1" s="1"/>
  <c r="K478" i="1"/>
  <c r="L478" i="1" s="1"/>
  <c r="K479" i="1"/>
  <c r="L479" i="1" s="1"/>
  <c r="K480" i="1"/>
  <c r="L480" i="1" s="1"/>
  <c r="K481" i="1"/>
  <c r="L481" i="1" s="1"/>
  <c r="K482" i="1"/>
  <c r="L482" i="1" s="1"/>
  <c r="K483" i="1"/>
  <c r="L483" i="1" s="1"/>
  <c r="K484" i="1"/>
  <c r="L484" i="1" s="1"/>
  <c r="K485" i="1"/>
  <c r="L485" i="1" s="1"/>
  <c r="K486" i="1"/>
  <c r="L486" i="1" s="1"/>
  <c r="K487" i="1"/>
  <c r="L487" i="1" s="1"/>
  <c r="K488" i="1"/>
  <c r="L488" i="1" s="1"/>
  <c r="K489" i="1"/>
  <c r="L489" i="1" s="1"/>
  <c r="K490" i="1"/>
  <c r="L490" i="1" s="1"/>
  <c r="K491" i="1"/>
  <c r="L491" i="1" s="1"/>
  <c r="K492" i="1"/>
  <c r="L492" i="1" s="1"/>
  <c r="K493" i="1"/>
  <c r="L493" i="1" s="1"/>
  <c r="K494" i="1"/>
  <c r="L494" i="1" s="1"/>
  <c r="K495" i="1"/>
  <c r="L495" i="1" s="1"/>
  <c r="K496" i="1"/>
  <c r="L496" i="1" s="1"/>
  <c r="K497" i="1"/>
  <c r="L497" i="1" s="1"/>
  <c r="K498" i="1"/>
  <c r="L498" i="1" s="1"/>
  <c r="K499" i="1"/>
  <c r="L499" i="1" s="1"/>
  <c r="K500" i="1"/>
  <c r="L500" i="1" s="1"/>
  <c r="K501" i="1"/>
  <c r="L501" i="1" s="1"/>
  <c r="K502" i="1"/>
  <c r="L502" i="1" s="1"/>
  <c r="K503" i="1"/>
  <c r="L503" i="1" s="1"/>
  <c r="K504" i="1"/>
  <c r="L504" i="1" s="1"/>
  <c r="K505" i="1"/>
  <c r="L505" i="1" s="1"/>
  <c r="K506" i="1"/>
  <c r="L506" i="1" s="1"/>
  <c r="K507" i="1"/>
  <c r="L507" i="1" s="1"/>
  <c r="K508" i="1"/>
  <c r="L508" i="1" s="1"/>
  <c r="K509" i="1"/>
  <c r="L509" i="1" s="1"/>
  <c r="K510" i="1"/>
  <c r="L510" i="1" s="1"/>
  <c r="K511" i="1"/>
  <c r="L511" i="1" s="1"/>
  <c r="K512" i="1"/>
  <c r="L512" i="1" s="1"/>
  <c r="K513" i="1"/>
  <c r="L513" i="1" s="1"/>
  <c r="K514" i="1"/>
  <c r="L514" i="1" s="1"/>
  <c r="K515" i="1"/>
  <c r="L515" i="1" s="1"/>
  <c r="K516" i="1"/>
  <c r="L516" i="1" s="1"/>
  <c r="K517" i="1"/>
  <c r="L517" i="1" s="1"/>
  <c r="K518" i="1"/>
  <c r="L518" i="1" s="1"/>
  <c r="K519" i="1"/>
  <c r="L519" i="1" s="1"/>
  <c r="K520" i="1"/>
  <c r="L520" i="1" s="1"/>
  <c r="K521" i="1"/>
  <c r="L521" i="1" s="1"/>
  <c r="K522" i="1"/>
  <c r="L522" i="1" s="1"/>
  <c r="K523" i="1"/>
  <c r="L523" i="1" s="1"/>
  <c r="K524" i="1"/>
  <c r="L524" i="1" s="1"/>
  <c r="K525" i="1"/>
  <c r="L525" i="1" s="1"/>
  <c r="K526" i="1"/>
  <c r="L526" i="1" s="1"/>
  <c r="K527" i="1"/>
  <c r="L527" i="1" s="1"/>
  <c r="K528" i="1"/>
  <c r="L528" i="1" s="1"/>
  <c r="K529" i="1"/>
  <c r="L529" i="1" s="1"/>
  <c r="K530" i="1"/>
  <c r="L530" i="1" s="1"/>
  <c r="K531" i="1"/>
  <c r="L531" i="1" s="1"/>
  <c r="K532" i="1"/>
  <c r="L532" i="1" s="1"/>
  <c r="K533" i="1"/>
  <c r="L533" i="1" s="1"/>
  <c r="K534" i="1"/>
  <c r="L534" i="1" s="1"/>
  <c r="K535" i="1"/>
  <c r="L535" i="1" s="1"/>
  <c r="K536" i="1"/>
  <c r="L536" i="1" s="1"/>
  <c r="K537" i="1"/>
  <c r="L537" i="1" s="1"/>
  <c r="K538" i="1"/>
  <c r="L538" i="1" s="1"/>
  <c r="K539" i="1"/>
  <c r="L539" i="1" s="1"/>
  <c r="K540" i="1"/>
  <c r="L540" i="1" s="1"/>
  <c r="K541" i="1"/>
  <c r="L541" i="1" s="1"/>
  <c r="K542" i="1"/>
  <c r="L542" i="1" s="1"/>
  <c r="K543" i="1"/>
  <c r="L543" i="1" s="1"/>
  <c r="K544" i="1"/>
  <c r="L544" i="1" s="1"/>
  <c r="K545" i="1"/>
  <c r="L545" i="1" s="1"/>
  <c r="K546" i="1"/>
  <c r="L546" i="1" s="1"/>
  <c r="K547" i="1"/>
  <c r="L547" i="1" s="1"/>
  <c r="K548" i="1"/>
  <c r="L548" i="1" s="1"/>
  <c r="K549" i="1"/>
  <c r="L549" i="1" s="1"/>
  <c r="K550" i="1"/>
  <c r="L550" i="1" s="1"/>
  <c r="K551" i="1"/>
  <c r="L551" i="1" s="1"/>
  <c r="K552" i="1"/>
  <c r="L552" i="1" s="1"/>
  <c r="K553" i="1"/>
  <c r="L553" i="1" s="1"/>
  <c r="K554" i="1"/>
  <c r="L554" i="1" s="1"/>
  <c r="K555" i="1"/>
  <c r="L555" i="1" s="1"/>
  <c r="K556" i="1"/>
  <c r="L556" i="1" s="1"/>
  <c r="K557" i="1"/>
  <c r="L557" i="1" s="1"/>
  <c r="K558" i="1"/>
  <c r="L558" i="1" s="1"/>
  <c r="K559" i="1"/>
  <c r="L559" i="1" s="1"/>
  <c r="K560" i="1"/>
  <c r="L560" i="1" s="1"/>
  <c r="K561" i="1"/>
  <c r="L561" i="1" s="1"/>
  <c r="K562" i="1"/>
  <c r="L562" i="1" s="1"/>
  <c r="K563" i="1"/>
  <c r="L563" i="1" s="1"/>
  <c r="K564" i="1"/>
  <c r="L564" i="1" s="1"/>
  <c r="K565" i="1"/>
  <c r="L565" i="1" s="1"/>
  <c r="K566" i="1"/>
  <c r="L566" i="1" s="1"/>
  <c r="K567" i="1"/>
  <c r="L567" i="1" s="1"/>
  <c r="K568" i="1"/>
  <c r="L568" i="1" s="1"/>
  <c r="K569" i="1"/>
  <c r="L569" i="1" s="1"/>
  <c r="K570" i="1"/>
  <c r="L570" i="1" s="1"/>
  <c r="K571" i="1"/>
  <c r="L571" i="1" s="1"/>
  <c r="K572" i="1"/>
  <c r="L572" i="1" s="1"/>
  <c r="K573" i="1"/>
  <c r="L573" i="1" s="1"/>
  <c r="K574" i="1"/>
  <c r="L574" i="1" s="1"/>
  <c r="K575" i="1"/>
  <c r="L575" i="1" s="1"/>
  <c r="K576" i="1"/>
  <c r="L576" i="1" s="1"/>
  <c r="K577" i="1"/>
  <c r="L577" i="1" s="1"/>
  <c r="K578" i="1"/>
  <c r="L578" i="1" s="1"/>
  <c r="K579" i="1"/>
  <c r="L579" i="1" s="1"/>
  <c r="K580" i="1"/>
  <c r="L580" i="1" s="1"/>
  <c r="K581" i="1"/>
  <c r="L581" i="1" s="1"/>
  <c r="K582" i="1"/>
  <c r="L582" i="1" s="1"/>
  <c r="K583" i="1"/>
  <c r="L583" i="1" s="1"/>
  <c r="K584" i="1"/>
  <c r="L584" i="1" s="1"/>
  <c r="K585" i="1"/>
  <c r="L585" i="1" s="1"/>
  <c r="K586" i="1"/>
  <c r="L586" i="1" s="1"/>
  <c r="K587" i="1"/>
  <c r="L587" i="1" s="1"/>
  <c r="K588" i="1"/>
  <c r="L588" i="1" s="1"/>
  <c r="K589" i="1"/>
  <c r="L589" i="1" s="1"/>
  <c r="K590" i="1"/>
  <c r="L590" i="1" s="1"/>
  <c r="K591" i="1"/>
  <c r="L591" i="1" s="1"/>
  <c r="K592" i="1"/>
  <c r="L592" i="1" s="1"/>
  <c r="K593" i="1"/>
  <c r="L593" i="1" s="1"/>
  <c r="K594" i="1"/>
  <c r="L594" i="1" s="1"/>
  <c r="K595" i="1"/>
  <c r="L595" i="1" s="1"/>
  <c r="K596" i="1"/>
  <c r="L596" i="1" s="1"/>
  <c r="K597" i="1"/>
  <c r="L597" i="1" s="1"/>
  <c r="K598" i="1"/>
  <c r="L598" i="1" s="1"/>
  <c r="K599" i="1"/>
  <c r="L599" i="1" s="1"/>
  <c r="K600" i="1"/>
  <c r="L600" i="1" s="1"/>
  <c r="K601" i="1"/>
  <c r="L601" i="1" s="1"/>
  <c r="K602" i="1"/>
  <c r="L602" i="1" s="1"/>
  <c r="K603" i="1"/>
  <c r="L603" i="1" s="1"/>
  <c r="K604" i="1"/>
  <c r="L604" i="1" s="1"/>
  <c r="K605" i="1"/>
  <c r="L605" i="1" s="1"/>
  <c r="K606" i="1"/>
  <c r="L606" i="1" s="1"/>
  <c r="K607" i="1"/>
  <c r="L607" i="1" s="1"/>
  <c r="K608" i="1"/>
  <c r="L608" i="1" s="1"/>
  <c r="K609" i="1"/>
  <c r="L609" i="1" s="1"/>
  <c r="K610" i="1"/>
  <c r="L610" i="1" s="1"/>
  <c r="K611" i="1"/>
  <c r="L611" i="1" s="1"/>
  <c r="K612" i="1"/>
  <c r="L612" i="1" s="1"/>
  <c r="K613" i="1"/>
  <c r="L613" i="1" s="1"/>
  <c r="K614" i="1"/>
  <c r="L614" i="1" s="1"/>
  <c r="K615" i="1"/>
  <c r="L615" i="1" s="1"/>
  <c r="K616" i="1"/>
  <c r="L616" i="1" s="1"/>
  <c r="K617" i="1"/>
  <c r="L617" i="1" s="1"/>
  <c r="K618" i="1"/>
  <c r="L618" i="1" s="1"/>
  <c r="K619" i="1"/>
  <c r="L619" i="1" s="1"/>
  <c r="K620" i="1"/>
  <c r="L620" i="1" s="1"/>
  <c r="K621" i="1"/>
  <c r="L621" i="1" s="1"/>
  <c r="K622" i="1"/>
  <c r="L622" i="1" s="1"/>
  <c r="K623" i="1"/>
  <c r="L623" i="1" s="1"/>
  <c r="K624" i="1"/>
  <c r="L624" i="1" s="1"/>
  <c r="K625" i="1"/>
  <c r="L625" i="1" s="1"/>
  <c r="K626" i="1"/>
  <c r="L626" i="1" s="1"/>
  <c r="K627" i="1"/>
  <c r="L627" i="1" s="1"/>
  <c r="K628" i="1"/>
  <c r="L628" i="1" s="1"/>
  <c r="K629" i="1"/>
  <c r="L629" i="1" s="1"/>
  <c r="K630" i="1"/>
  <c r="L630" i="1" s="1"/>
  <c r="K631" i="1"/>
  <c r="L631" i="1" s="1"/>
  <c r="K632" i="1"/>
  <c r="L632" i="1" s="1"/>
  <c r="K633" i="1"/>
  <c r="L633" i="1" s="1"/>
  <c r="K634" i="1"/>
  <c r="L634" i="1" s="1"/>
  <c r="K635" i="1"/>
  <c r="L635" i="1" s="1"/>
  <c r="K636" i="1"/>
  <c r="L636" i="1" s="1"/>
  <c r="K637" i="1"/>
  <c r="L637" i="1" s="1"/>
  <c r="K638" i="1"/>
  <c r="L638" i="1" s="1"/>
  <c r="K639" i="1"/>
  <c r="L639" i="1" s="1"/>
  <c r="K640" i="1"/>
  <c r="L640" i="1" s="1"/>
  <c r="K641" i="1"/>
  <c r="L641" i="1" s="1"/>
  <c r="K642" i="1"/>
  <c r="L642" i="1" s="1"/>
  <c r="K643" i="1"/>
  <c r="L643" i="1" s="1"/>
  <c r="K644" i="1"/>
  <c r="L644" i="1" s="1"/>
  <c r="K645" i="1"/>
  <c r="L645" i="1" s="1"/>
  <c r="K646" i="1"/>
  <c r="L646" i="1" s="1"/>
  <c r="K647" i="1"/>
  <c r="L647" i="1" s="1"/>
  <c r="K648" i="1"/>
  <c r="L648" i="1" s="1"/>
  <c r="K649" i="1"/>
  <c r="L649" i="1" s="1"/>
  <c r="K650" i="1"/>
  <c r="L650" i="1" s="1"/>
  <c r="K651" i="1"/>
  <c r="L651" i="1" s="1"/>
  <c r="K652" i="1"/>
  <c r="L652" i="1" s="1"/>
  <c r="K653" i="1"/>
  <c r="L653" i="1" s="1"/>
  <c r="K654" i="1"/>
  <c r="L654" i="1" s="1"/>
  <c r="K655" i="1"/>
  <c r="L655" i="1" s="1"/>
  <c r="K656" i="1"/>
  <c r="L656" i="1" s="1"/>
  <c r="K657" i="1"/>
  <c r="L657" i="1" s="1"/>
  <c r="K658" i="1"/>
  <c r="L658" i="1" s="1"/>
  <c r="K659" i="1"/>
  <c r="L659" i="1" s="1"/>
  <c r="K660" i="1"/>
  <c r="L660" i="1" s="1"/>
  <c r="K661" i="1"/>
  <c r="L661" i="1" s="1"/>
  <c r="K662" i="1"/>
  <c r="L662" i="1" s="1"/>
  <c r="K663" i="1"/>
  <c r="L663" i="1" s="1"/>
  <c r="K664" i="1"/>
  <c r="L664" i="1" s="1"/>
  <c r="K665" i="1"/>
  <c r="L665" i="1" s="1"/>
  <c r="K666" i="1"/>
  <c r="L666" i="1" s="1"/>
  <c r="K667" i="1"/>
  <c r="L667" i="1" s="1"/>
  <c r="K668" i="1"/>
  <c r="L668" i="1" s="1"/>
  <c r="K669" i="1"/>
  <c r="L669" i="1" s="1"/>
  <c r="K670" i="1"/>
  <c r="L670" i="1" s="1"/>
  <c r="K671" i="1"/>
  <c r="L671" i="1" s="1"/>
  <c r="K672" i="1"/>
  <c r="L672" i="1" s="1"/>
  <c r="K673" i="1"/>
  <c r="L673" i="1" s="1"/>
  <c r="K674" i="1"/>
  <c r="L674" i="1" s="1"/>
  <c r="K675" i="1"/>
  <c r="L675" i="1" s="1"/>
  <c r="K676" i="1"/>
  <c r="L676" i="1" s="1"/>
  <c r="K677" i="1"/>
  <c r="L677" i="1" s="1"/>
  <c r="K678" i="1"/>
  <c r="L678" i="1" s="1"/>
  <c r="K679" i="1"/>
  <c r="L679" i="1" s="1"/>
  <c r="K680" i="1"/>
  <c r="L680" i="1" s="1"/>
  <c r="K681" i="1"/>
  <c r="L681" i="1" s="1"/>
  <c r="K682" i="1"/>
  <c r="L682" i="1" s="1"/>
  <c r="K683" i="1"/>
  <c r="L683" i="1" s="1"/>
  <c r="K684" i="1"/>
  <c r="L684" i="1" s="1"/>
  <c r="K685" i="1"/>
  <c r="L685" i="1" s="1"/>
  <c r="K686" i="1"/>
  <c r="L686" i="1" s="1"/>
  <c r="K687" i="1"/>
  <c r="L687" i="1" s="1"/>
  <c r="K688" i="1"/>
  <c r="L688" i="1" s="1"/>
  <c r="K689" i="1"/>
  <c r="L689" i="1" s="1"/>
  <c r="K690" i="1"/>
  <c r="L690" i="1" s="1"/>
  <c r="K691" i="1"/>
  <c r="L691" i="1" s="1"/>
  <c r="K692" i="1"/>
  <c r="L692" i="1" s="1"/>
  <c r="K693" i="1"/>
  <c r="L693" i="1" s="1"/>
  <c r="K694" i="1"/>
  <c r="L694" i="1" s="1"/>
  <c r="K695" i="1"/>
  <c r="L695" i="1" s="1"/>
  <c r="K696" i="1"/>
  <c r="L696" i="1" s="1"/>
  <c r="K697" i="1"/>
  <c r="L697" i="1" s="1"/>
  <c r="K698" i="1"/>
  <c r="L698" i="1" s="1"/>
  <c r="K699" i="1"/>
  <c r="L699" i="1" s="1"/>
  <c r="K700" i="1"/>
  <c r="L700" i="1" s="1"/>
  <c r="K701" i="1"/>
  <c r="L701" i="1" s="1"/>
  <c r="K702" i="1"/>
  <c r="L702" i="1" s="1"/>
  <c r="K703" i="1"/>
  <c r="L703" i="1" s="1"/>
  <c r="K704" i="1"/>
  <c r="L704" i="1" s="1"/>
  <c r="K705" i="1"/>
  <c r="L705" i="1" s="1"/>
  <c r="K706" i="1"/>
  <c r="L706" i="1" s="1"/>
  <c r="K707" i="1"/>
  <c r="L707" i="1" s="1"/>
  <c r="K708" i="1"/>
  <c r="L708" i="1" s="1"/>
  <c r="K709" i="1"/>
  <c r="L709" i="1" s="1"/>
  <c r="K710" i="1"/>
  <c r="L710" i="1" s="1"/>
  <c r="K711" i="1"/>
  <c r="L711" i="1" s="1"/>
  <c r="K712" i="1"/>
  <c r="L712" i="1" s="1"/>
  <c r="K713" i="1"/>
  <c r="L713" i="1" s="1"/>
  <c r="K714" i="1"/>
  <c r="L714" i="1" s="1"/>
  <c r="K715" i="1"/>
  <c r="L715" i="1" s="1"/>
  <c r="K716" i="1"/>
  <c r="L716" i="1" s="1"/>
  <c r="K717" i="1"/>
  <c r="L717" i="1" s="1"/>
  <c r="K718" i="1"/>
  <c r="L718" i="1" s="1"/>
  <c r="K719" i="1"/>
  <c r="L719" i="1" s="1"/>
  <c r="K720" i="1"/>
  <c r="L720" i="1" s="1"/>
  <c r="K721" i="1"/>
  <c r="L721" i="1" s="1"/>
  <c r="K722" i="1"/>
  <c r="L722" i="1" s="1"/>
  <c r="K723" i="1"/>
  <c r="L723" i="1" s="1"/>
  <c r="K724" i="1"/>
  <c r="L724" i="1" s="1"/>
  <c r="K725" i="1"/>
  <c r="L725" i="1" s="1"/>
  <c r="K726" i="1"/>
  <c r="L726" i="1" s="1"/>
  <c r="K727" i="1"/>
  <c r="L727" i="1" s="1"/>
  <c r="K728" i="1"/>
  <c r="L728" i="1" s="1"/>
  <c r="K729" i="1"/>
  <c r="L729" i="1" s="1"/>
  <c r="K730" i="1"/>
  <c r="L730" i="1" s="1"/>
  <c r="K731" i="1"/>
  <c r="L731" i="1" s="1"/>
  <c r="K732" i="1"/>
  <c r="L732" i="1" s="1"/>
  <c r="K733" i="1"/>
  <c r="L733" i="1" s="1"/>
  <c r="K734" i="1"/>
  <c r="L734" i="1" s="1"/>
  <c r="K735" i="1"/>
  <c r="L735" i="1" s="1"/>
  <c r="K736" i="1"/>
  <c r="L736" i="1" s="1"/>
  <c r="K737" i="1"/>
  <c r="L737" i="1" s="1"/>
  <c r="K738" i="1"/>
  <c r="L738" i="1" s="1"/>
  <c r="K739" i="1"/>
  <c r="L739" i="1" s="1"/>
  <c r="K740" i="1"/>
  <c r="L740" i="1" s="1"/>
  <c r="K741" i="1"/>
  <c r="L741" i="1" s="1"/>
  <c r="K742" i="1"/>
  <c r="L742" i="1" s="1"/>
  <c r="K743" i="1"/>
  <c r="L743" i="1" s="1"/>
  <c r="K744" i="1"/>
  <c r="L744" i="1" s="1"/>
  <c r="K745" i="1"/>
  <c r="L745" i="1" s="1"/>
  <c r="K746" i="1"/>
  <c r="L746" i="1" s="1"/>
  <c r="K747" i="1"/>
  <c r="L747" i="1" s="1"/>
  <c r="K748" i="1"/>
  <c r="L748" i="1" s="1"/>
  <c r="K749" i="1"/>
  <c r="L749" i="1" s="1"/>
  <c r="K750" i="1"/>
  <c r="L750" i="1" s="1"/>
  <c r="K751" i="1"/>
  <c r="L751" i="1" s="1"/>
  <c r="K752" i="1"/>
  <c r="L752" i="1" s="1"/>
  <c r="K753" i="1"/>
  <c r="L753" i="1" s="1"/>
  <c r="K754" i="1"/>
  <c r="L754" i="1" s="1"/>
  <c r="K755" i="1"/>
  <c r="L755" i="1" s="1"/>
  <c r="K756" i="1"/>
  <c r="L756" i="1" s="1"/>
  <c r="K757" i="1"/>
  <c r="L757" i="1" s="1"/>
  <c r="K758" i="1"/>
  <c r="L758" i="1" s="1"/>
  <c r="K759" i="1"/>
  <c r="L759" i="1" s="1"/>
  <c r="K760" i="1"/>
  <c r="L760" i="1" s="1"/>
  <c r="K761" i="1"/>
  <c r="L761" i="1" s="1"/>
  <c r="K762" i="1"/>
  <c r="L762" i="1" s="1"/>
  <c r="K763" i="1"/>
  <c r="L763" i="1" s="1"/>
  <c r="K764" i="1"/>
  <c r="L764" i="1" s="1"/>
  <c r="K765" i="1"/>
  <c r="L765" i="1" s="1"/>
  <c r="K766" i="1"/>
  <c r="L766" i="1" s="1"/>
  <c r="K767" i="1"/>
  <c r="L767" i="1" s="1"/>
  <c r="K768" i="1"/>
  <c r="L768" i="1" s="1"/>
  <c r="K769" i="1"/>
  <c r="L769" i="1" s="1"/>
  <c r="K770" i="1"/>
  <c r="L770" i="1" s="1"/>
  <c r="K771" i="1"/>
  <c r="L771" i="1" s="1"/>
  <c r="K772" i="1"/>
  <c r="L772" i="1" s="1"/>
  <c r="K773" i="1"/>
  <c r="L773" i="1" s="1"/>
  <c r="K774" i="1"/>
  <c r="L774" i="1" s="1"/>
  <c r="K775" i="1"/>
  <c r="L775" i="1" s="1"/>
  <c r="K776" i="1"/>
  <c r="L776" i="1" s="1"/>
  <c r="K777" i="1"/>
  <c r="L777" i="1" s="1"/>
  <c r="K778" i="1"/>
  <c r="L778" i="1" s="1"/>
  <c r="K779" i="1"/>
  <c r="L779" i="1" s="1"/>
  <c r="K780" i="1"/>
  <c r="L780" i="1" s="1"/>
  <c r="K781" i="1"/>
  <c r="L781" i="1" s="1"/>
  <c r="K782" i="1"/>
  <c r="L782" i="1" s="1"/>
  <c r="K783" i="1"/>
  <c r="L783" i="1" s="1"/>
  <c r="K784" i="1"/>
  <c r="L784" i="1" s="1"/>
  <c r="K785" i="1"/>
  <c r="L785" i="1" s="1"/>
  <c r="K786" i="1"/>
  <c r="L786" i="1" s="1"/>
  <c r="K787" i="1"/>
  <c r="L787" i="1" s="1"/>
  <c r="K788" i="1"/>
  <c r="L788" i="1" s="1"/>
  <c r="K789" i="1"/>
  <c r="L789" i="1" s="1"/>
  <c r="K790" i="1"/>
  <c r="L790" i="1" s="1"/>
  <c r="K791" i="1"/>
  <c r="L791" i="1" s="1"/>
  <c r="K792" i="1"/>
  <c r="L792" i="1" s="1"/>
  <c r="K793" i="1"/>
  <c r="L793" i="1" s="1"/>
  <c r="K794" i="1"/>
  <c r="L794" i="1" s="1"/>
  <c r="K795" i="1"/>
  <c r="L795" i="1" s="1"/>
  <c r="K796" i="1"/>
  <c r="L796" i="1" s="1"/>
  <c r="K797" i="1"/>
  <c r="L797" i="1" s="1"/>
  <c r="K798" i="1"/>
  <c r="L798" i="1" s="1"/>
  <c r="K799" i="1"/>
  <c r="L799" i="1" s="1"/>
  <c r="K800" i="1"/>
  <c r="L800" i="1" s="1"/>
  <c r="K801" i="1"/>
  <c r="L801" i="1" s="1"/>
  <c r="K802" i="1"/>
  <c r="L802" i="1" s="1"/>
  <c r="K803" i="1"/>
  <c r="L803" i="1" s="1"/>
  <c r="K804" i="1"/>
  <c r="L804" i="1" s="1"/>
  <c r="K805" i="1"/>
  <c r="L805" i="1" s="1"/>
  <c r="K806" i="1"/>
  <c r="L806" i="1" s="1"/>
  <c r="K807" i="1"/>
  <c r="L807" i="1" s="1"/>
  <c r="K808" i="1"/>
  <c r="L808" i="1" s="1"/>
  <c r="K809" i="1"/>
  <c r="L809" i="1" s="1"/>
  <c r="K810" i="1"/>
  <c r="L810" i="1" s="1"/>
  <c r="K811" i="1"/>
  <c r="L811" i="1" s="1"/>
  <c r="K812" i="1"/>
  <c r="L812" i="1" s="1"/>
  <c r="K813" i="1"/>
  <c r="L813" i="1" s="1"/>
  <c r="K814" i="1"/>
  <c r="L814" i="1" s="1"/>
  <c r="K815" i="1"/>
  <c r="L815" i="1" s="1"/>
  <c r="K816" i="1"/>
  <c r="L816" i="1" s="1"/>
  <c r="K817" i="1"/>
  <c r="L817" i="1" s="1"/>
  <c r="K818" i="1"/>
  <c r="L818" i="1" s="1"/>
  <c r="K819" i="1"/>
  <c r="L819" i="1" s="1"/>
  <c r="K820" i="1"/>
  <c r="L820" i="1" s="1"/>
  <c r="K821" i="1"/>
  <c r="L821" i="1" s="1"/>
  <c r="K822" i="1"/>
  <c r="L822" i="1" s="1"/>
  <c r="K823" i="1"/>
  <c r="L823" i="1" s="1"/>
  <c r="K824" i="1"/>
  <c r="L824" i="1" s="1"/>
  <c r="K825" i="1"/>
  <c r="L825" i="1" s="1"/>
  <c r="K826" i="1"/>
  <c r="L826" i="1" s="1"/>
  <c r="K827" i="1"/>
  <c r="L827" i="1" s="1"/>
  <c r="K828" i="1"/>
  <c r="L828" i="1" s="1"/>
  <c r="K829" i="1"/>
  <c r="L829" i="1" s="1"/>
  <c r="K830" i="1"/>
  <c r="L830" i="1" s="1"/>
  <c r="K831" i="1"/>
  <c r="L831" i="1" s="1"/>
  <c r="K832" i="1"/>
  <c r="L832" i="1" s="1"/>
  <c r="K833" i="1"/>
  <c r="L833" i="1" s="1"/>
  <c r="K834" i="1"/>
  <c r="L834" i="1" s="1"/>
  <c r="K835" i="1"/>
  <c r="L835" i="1" s="1"/>
  <c r="K836" i="1"/>
  <c r="L836" i="1" s="1"/>
  <c r="K837" i="1"/>
  <c r="L837" i="1" s="1"/>
  <c r="K838" i="1"/>
  <c r="L838" i="1" s="1"/>
  <c r="K839" i="1"/>
  <c r="L839" i="1" s="1"/>
  <c r="K840" i="1"/>
  <c r="L840" i="1" s="1"/>
  <c r="K841" i="1"/>
  <c r="L841" i="1" s="1"/>
  <c r="K842" i="1"/>
  <c r="L842" i="1" s="1"/>
  <c r="K843" i="1"/>
  <c r="L843" i="1" s="1"/>
  <c r="K844" i="1"/>
  <c r="L844" i="1" s="1"/>
  <c r="K845" i="1"/>
  <c r="L845" i="1" s="1"/>
  <c r="K846" i="1"/>
  <c r="L846" i="1" s="1"/>
  <c r="K847" i="1"/>
  <c r="L847" i="1" s="1"/>
  <c r="K848" i="1"/>
  <c r="L848" i="1" s="1"/>
  <c r="K849" i="1"/>
  <c r="L849" i="1" s="1"/>
  <c r="K850" i="1"/>
  <c r="L850" i="1" s="1"/>
  <c r="K851" i="1"/>
  <c r="L851" i="1" s="1"/>
  <c r="K852" i="1"/>
  <c r="L852" i="1" s="1"/>
  <c r="K853" i="1"/>
  <c r="L853" i="1" s="1"/>
  <c r="K854" i="1"/>
  <c r="L854" i="1" s="1"/>
  <c r="K855" i="1"/>
  <c r="L855" i="1" s="1"/>
  <c r="K856" i="1"/>
  <c r="L856" i="1" s="1"/>
  <c r="K857" i="1"/>
  <c r="L857" i="1" s="1"/>
  <c r="K858" i="1"/>
  <c r="L858" i="1" s="1"/>
  <c r="K859" i="1"/>
  <c r="L859" i="1" s="1"/>
  <c r="K860" i="1"/>
  <c r="L860" i="1" s="1"/>
  <c r="K861" i="1"/>
  <c r="L861" i="1" s="1"/>
  <c r="K862" i="1"/>
  <c r="L862" i="1" s="1"/>
  <c r="K863" i="1"/>
  <c r="L863" i="1" s="1"/>
  <c r="K864" i="1"/>
  <c r="L864" i="1" s="1"/>
  <c r="K865" i="1"/>
  <c r="L865" i="1" s="1"/>
  <c r="K866" i="1"/>
  <c r="L866" i="1" s="1"/>
  <c r="K867" i="1"/>
  <c r="L867" i="1" s="1"/>
  <c r="K868" i="1"/>
  <c r="L868" i="1" s="1"/>
  <c r="K869" i="1"/>
  <c r="L869" i="1" s="1"/>
  <c r="K870" i="1"/>
  <c r="L870" i="1" s="1"/>
  <c r="K871" i="1"/>
  <c r="L871" i="1" s="1"/>
  <c r="K872" i="1"/>
  <c r="L872" i="1" s="1"/>
  <c r="K873" i="1"/>
  <c r="L873" i="1" s="1"/>
  <c r="K874" i="1"/>
  <c r="L874" i="1" s="1"/>
  <c r="K875" i="1"/>
  <c r="L875" i="1" s="1"/>
  <c r="K876" i="1"/>
  <c r="L876" i="1" s="1"/>
  <c r="K877" i="1"/>
  <c r="L877" i="1" s="1"/>
  <c r="K878" i="1"/>
  <c r="L878" i="1" s="1"/>
  <c r="K879" i="1"/>
  <c r="L879" i="1" s="1"/>
  <c r="K880" i="1"/>
  <c r="L880" i="1" s="1"/>
  <c r="K881" i="1"/>
  <c r="L881" i="1" s="1"/>
  <c r="K882" i="1"/>
  <c r="L882" i="1" s="1"/>
  <c r="K883" i="1"/>
  <c r="L883" i="1" s="1"/>
  <c r="K884" i="1"/>
  <c r="L884" i="1" s="1"/>
  <c r="K885" i="1"/>
  <c r="L885" i="1" s="1"/>
  <c r="K886" i="1"/>
  <c r="L886" i="1" s="1"/>
  <c r="K887" i="1"/>
  <c r="L887" i="1" s="1"/>
  <c r="K888" i="1"/>
  <c r="L888" i="1" s="1"/>
  <c r="K889" i="1"/>
  <c r="L889" i="1" s="1"/>
  <c r="K890" i="1"/>
  <c r="L890" i="1" s="1"/>
  <c r="K891" i="1"/>
  <c r="L891" i="1" s="1"/>
  <c r="K892" i="1"/>
  <c r="L892" i="1" s="1"/>
  <c r="K893" i="1"/>
  <c r="L893" i="1" s="1"/>
  <c r="K894" i="1"/>
  <c r="L894" i="1" s="1"/>
  <c r="K895" i="1"/>
  <c r="L895" i="1" s="1"/>
  <c r="K896" i="1"/>
  <c r="L896" i="1" s="1"/>
  <c r="K897" i="1"/>
  <c r="L897" i="1" s="1"/>
  <c r="K898" i="1"/>
  <c r="L898" i="1" s="1"/>
  <c r="K899" i="1"/>
  <c r="L899" i="1" s="1"/>
  <c r="K900" i="1"/>
  <c r="L900" i="1" s="1"/>
  <c r="K901" i="1"/>
  <c r="L901" i="1" s="1"/>
  <c r="K902" i="1"/>
  <c r="L902" i="1" s="1"/>
  <c r="K903" i="1"/>
  <c r="L903" i="1" s="1"/>
  <c r="K904" i="1"/>
  <c r="L904" i="1" s="1"/>
  <c r="K905" i="1"/>
  <c r="L905" i="1" s="1"/>
  <c r="K906" i="1"/>
  <c r="L906" i="1" s="1"/>
  <c r="K907" i="1"/>
  <c r="L907" i="1" s="1"/>
  <c r="K908" i="1"/>
  <c r="L908" i="1" s="1"/>
  <c r="K909" i="1"/>
  <c r="L909" i="1" s="1"/>
  <c r="K910" i="1"/>
  <c r="L910" i="1" s="1"/>
  <c r="K911" i="1"/>
  <c r="L911" i="1" s="1"/>
  <c r="K912" i="1"/>
  <c r="L912" i="1" s="1"/>
  <c r="K913" i="1"/>
  <c r="L913" i="1" s="1"/>
  <c r="K914" i="1"/>
  <c r="L914" i="1" s="1"/>
  <c r="K915" i="1"/>
  <c r="L915" i="1" s="1"/>
  <c r="K916" i="1"/>
  <c r="L916" i="1" s="1"/>
  <c r="K917" i="1"/>
  <c r="L917" i="1" s="1"/>
  <c r="K918" i="1"/>
  <c r="L918" i="1" s="1"/>
  <c r="K919" i="1"/>
  <c r="L919" i="1" s="1"/>
  <c r="K920" i="1"/>
  <c r="L920" i="1" s="1"/>
  <c r="K921" i="1"/>
  <c r="L921" i="1" s="1"/>
  <c r="K922" i="1"/>
  <c r="L922" i="1" s="1"/>
  <c r="K923" i="1"/>
  <c r="L923" i="1" s="1"/>
  <c r="K924" i="1"/>
  <c r="L924" i="1" s="1"/>
  <c r="K925" i="1"/>
  <c r="L925" i="1" s="1"/>
  <c r="K926" i="1"/>
  <c r="L926" i="1" s="1"/>
  <c r="K927" i="1"/>
  <c r="L927" i="1" s="1"/>
  <c r="K928" i="1"/>
  <c r="L928" i="1" s="1"/>
  <c r="K929" i="1"/>
  <c r="L929" i="1" s="1"/>
  <c r="K930" i="1"/>
  <c r="L930" i="1" s="1"/>
  <c r="K931" i="1"/>
  <c r="L931" i="1" s="1"/>
  <c r="K932" i="1"/>
  <c r="L932" i="1" s="1"/>
  <c r="K933" i="1"/>
  <c r="L933" i="1" s="1"/>
  <c r="K934" i="1"/>
  <c r="L934" i="1" s="1"/>
  <c r="K935" i="1"/>
  <c r="L935" i="1" s="1"/>
  <c r="K936" i="1"/>
  <c r="L936" i="1" s="1"/>
  <c r="K937" i="1"/>
  <c r="L937" i="1" s="1"/>
  <c r="K938" i="1"/>
  <c r="L938" i="1" s="1"/>
  <c r="K939" i="1"/>
  <c r="L939" i="1" s="1"/>
  <c r="K940" i="1"/>
  <c r="L940" i="1" s="1"/>
  <c r="K941" i="1"/>
  <c r="L941" i="1" s="1"/>
  <c r="K942" i="1"/>
  <c r="L942" i="1" s="1"/>
  <c r="K943" i="1"/>
  <c r="L943" i="1" s="1"/>
  <c r="K944" i="1"/>
  <c r="L944" i="1" s="1"/>
  <c r="K945" i="1"/>
  <c r="L945" i="1" s="1"/>
  <c r="K946" i="1"/>
  <c r="L946" i="1" s="1"/>
  <c r="K947" i="1"/>
  <c r="L947" i="1" s="1"/>
  <c r="K948" i="1"/>
  <c r="L948" i="1" s="1"/>
  <c r="K949" i="1"/>
  <c r="L949" i="1" s="1"/>
  <c r="K950" i="1"/>
  <c r="L950" i="1" s="1"/>
  <c r="K951" i="1"/>
  <c r="L951" i="1" s="1"/>
  <c r="K952" i="1"/>
  <c r="L952" i="1" s="1"/>
  <c r="K953" i="1"/>
  <c r="L953" i="1" s="1"/>
  <c r="K954" i="1"/>
  <c r="L954" i="1" s="1"/>
  <c r="K955" i="1"/>
  <c r="L955" i="1" s="1"/>
  <c r="K956" i="1"/>
  <c r="L956" i="1" s="1"/>
  <c r="K957" i="1"/>
  <c r="L957" i="1" s="1"/>
  <c r="K958" i="1"/>
  <c r="L958" i="1" s="1"/>
  <c r="K959" i="1"/>
  <c r="L959" i="1" s="1"/>
  <c r="K960" i="1"/>
  <c r="L960" i="1" s="1"/>
  <c r="K961" i="1"/>
  <c r="L961" i="1" s="1"/>
  <c r="K962" i="1"/>
  <c r="L962" i="1" s="1"/>
  <c r="K963" i="1"/>
  <c r="L963" i="1" s="1"/>
  <c r="K964" i="1"/>
  <c r="L964" i="1" s="1"/>
  <c r="K965" i="1"/>
  <c r="L965" i="1" s="1"/>
  <c r="K966" i="1"/>
  <c r="L966" i="1" s="1"/>
  <c r="K967" i="1"/>
  <c r="L967" i="1" s="1"/>
  <c r="K968" i="1"/>
  <c r="L968" i="1" s="1"/>
  <c r="K969" i="1"/>
  <c r="L969" i="1" s="1"/>
  <c r="K970" i="1"/>
  <c r="L970" i="1" s="1"/>
  <c r="K971" i="1"/>
  <c r="L971" i="1" s="1"/>
  <c r="K972" i="1"/>
  <c r="L972" i="1" s="1"/>
  <c r="K973" i="1"/>
  <c r="L973" i="1" s="1"/>
  <c r="K974" i="1"/>
  <c r="L974" i="1" s="1"/>
  <c r="K975" i="1"/>
  <c r="L975" i="1" s="1"/>
  <c r="K976" i="1"/>
  <c r="L976" i="1" s="1"/>
  <c r="K977" i="1"/>
  <c r="L977" i="1" s="1"/>
  <c r="K978" i="1"/>
  <c r="L978" i="1" s="1"/>
  <c r="K979" i="1"/>
  <c r="L979" i="1" s="1"/>
  <c r="K980" i="1"/>
  <c r="L980" i="1" s="1"/>
  <c r="K981" i="1"/>
  <c r="L981" i="1" s="1"/>
  <c r="K982" i="1"/>
  <c r="L982" i="1" s="1"/>
  <c r="K983" i="1"/>
  <c r="L983" i="1" s="1"/>
  <c r="K984" i="1"/>
  <c r="L984" i="1" s="1"/>
  <c r="K985" i="1"/>
  <c r="L985" i="1" s="1"/>
  <c r="K986" i="1"/>
  <c r="L986" i="1" s="1"/>
  <c r="K987" i="1"/>
  <c r="L987" i="1" s="1"/>
  <c r="K988" i="1"/>
  <c r="L988" i="1" s="1"/>
  <c r="K989" i="1"/>
  <c r="L989" i="1" s="1"/>
  <c r="K990" i="1"/>
  <c r="L990" i="1" s="1"/>
  <c r="K991" i="1"/>
  <c r="L991" i="1" s="1"/>
  <c r="K992" i="1"/>
  <c r="L992" i="1" s="1"/>
  <c r="K993" i="1"/>
  <c r="L993" i="1" s="1"/>
  <c r="K994" i="1"/>
  <c r="L994" i="1" s="1"/>
  <c r="K995" i="1"/>
  <c r="L995" i="1" s="1"/>
  <c r="K996" i="1"/>
  <c r="L996" i="1" s="1"/>
  <c r="K997" i="1"/>
  <c r="L997" i="1" s="1"/>
  <c r="K998" i="1"/>
  <c r="L998" i="1" s="1"/>
  <c r="K999" i="1"/>
  <c r="L999" i="1" s="1"/>
  <c r="K1000" i="1"/>
  <c r="L1000" i="1" s="1"/>
  <c r="K1001" i="1"/>
  <c r="L1001" i="1" s="1"/>
  <c r="K1002" i="1"/>
  <c r="L1002" i="1" s="1"/>
  <c r="K1003" i="1"/>
  <c r="L1003" i="1" s="1"/>
  <c r="K1004" i="1"/>
  <c r="L1004" i="1" s="1"/>
  <c r="K1005" i="1"/>
  <c r="L1005" i="1" s="1"/>
  <c r="K1006" i="1"/>
  <c r="L1006" i="1" s="1"/>
  <c r="K1007" i="1"/>
  <c r="L1007" i="1" s="1"/>
  <c r="K1008" i="1"/>
  <c r="L1008" i="1" s="1"/>
  <c r="K1009" i="1"/>
  <c r="L1009" i="1" s="1"/>
  <c r="K1010" i="1"/>
  <c r="L1010" i="1" s="1"/>
  <c r="K1011" i="1"/>
  <c r="L1011" i="1" s="1"/>
  <c r="K1012" i="1"/>
  <c r="L1012" i="1" s="1"/>
  <c r="K1013" i="1"/>
  <c r="L1013" i="1" s="1"/>
  <c r="K1014" i="1"/>
  <c r="L1014" i="1" s="1"/>
  <c r="K1015" i="1"/>
  <c r="L1015" i="1" s="1"/>
  <c r="K1016" i="1"/>
  <c r="L1016" i="1" s="1"/>
  <c r="K1017" i="1"/>
  <c r="L1017" i="1" s="1"/>
  <c r="K1018" i="1"/>
  <c r="L1018" i="1" s="1"/>
  <c r="K1019" i="1"/>
  <c r="L1019" i="1" s="1"/>
  <c r="K1020" i="1"/>
  <c r="L1020" i="1" s="1"/>
  <c r="K1021" i="1"/>
  <c r="L1021" i="1" s="1"/>
  <c r="K1022" i="1"/>
  <c r="L1022" i="1" s="1"/>
  <c r="K1023" i="1"/>
  <c r="L1023" i="1" s="1"/>
  <c r="K1024" i="1"/>
  <c r="L1024" i="1" s="1"/>
  <c r="K1025" i="1"/>
  <c r="L1025" i="1" s="1"/>
  <c r="K1026" i="1"/>
  <c r="L1026" i="1" s="1"/>
  <c r="K1027" i="1"/>
  <c r="L1027" i="1" s="1"/>
  <c r="K1028" i="1"/>
  <c r="L1028" i="1" s="1"/>
  <c r="K1029" i="1"/>
  <c r="L1029" i="1" s="1"/>
  <c r="K1030" i="1"/>
  <c r="L1030" i="1" s="1"/>
  <c r="K1031" i="1"/>
  <c r="L1031" i="1" s="1"/>
  <c r="K1032" i="1"/>
  <c r="L1032" i="1" s="1"/>
  <c r="K1033" i="1"/>
  <c r="L1033" i="1" s="1"/>
  <c r="K1034" i="1"/>
  <c r="L1034" i="1" s="1"/>
  <c r="K1035" i="1"/>
  <c r="L1035" i="1" s="1"/>
  <c r="K1036" i="1"/>
  <c r="L1036" i="1" s="1"/>
  <c r="K1037" i="1"/>
  <c r="L1037" i="1" s="1"/>
  <c r="K1038" i="1"/>
  <c r="L1038" i="1" s="1"/>
  <c r="K1039" i="1"/>
  <c r="L1039" i="1" s="1"/>
  <c r="K1040" i="1"/>
  <c r="L1040" i="1" s="1"/>
  <c r="K1041" i="1"/>
  <c r="L1041" i="1" s="1"/>
  <c r="K1042" i="1"/>
  <c r="L1042" i="1" s="1"/>
  <c r="K1043" i="1"/>
  <c r="L1043" i="1" s="1"/>
  <c r="K1044" i="1"/>
  <c r="L1044" i="1" s="1"/>
  <c r="K1045" i="1"/>
  <c r="L1045" i="1" s="1"/>
  <c r="K1046" i="1"/>
  <c r="L1046" i="1" s="1"/>
  <c r="K1047" i="1"/>
  <c r="L1047" i="1" s="1"/>
  <c r="K1048" i="1"/>
  <c r="L1048" i="1" s="1"/>
  <c r="K1049" i="1"/>
  <c r="L1049" i="1" s="1"/>
  <c r="K1050" i="1"/>
  <c r="L1050" i="1" s="1"/>
  <c r="K1051" i="1"/>
  <c r="L1051" i="1" s="1"/>
  <c r="K1052" i="1"/>
  <c r="L1052" i="1" s="1"/>
  <c r="K1053" i="1"/>
  <c r="L1053" i="1" s="1"/>
  <c r="K1054" i="1"/>
  <c r="L1054" i="1" s="1"/>
  <c r="K1055" i="1"/>
  <c r="L1055" i="1" s="1"/>
  <c r="K1056" i="1"/>
  <c r="L1056" i="1" s="1"/>
  <c r="K1057" i="1"/>
  <c r="L1057" i="1" s="1"/>
  <c r="K1058" i="1"/>
  <c r="L1058" i="1" s="1"/>
  <c r="K1059" i="1"/>
  <c r="L1059" i="1" s="1"/>
  <c r="K1060" i="1"/>
  <c r="L1060" i="1" s="1"/>
  <c r="K1061" i="1"/>
  <c r="L1061" i="1" s="1"/>
  <c r="K1062" i="1"/>
  <c r="L1062" i="1" s="1"/>
  <c r="K1063" i="1"/>
  <c r="L1063" i="1" s="1"/>
  <c r="K1064" i="1"/>
  <c r="L1064" i="1" s="1"/>
  <c r="K1065" i="1"/>
  <c r="L1065" i="1" s="1"/>
  <c r="K1066" i="1"/>
  <c r="L1066" i="1" s="1"/>
  <c r="K1067" i="1"/>
  <c r="L1067" i="1" s="1"/>
  <c r="K1068" i="1"/>
  <c r="L1068" i="1" s="1"/>
  <c r="K1069" i="1"/>
  <c r="L1069" i="1" s="1"/>
  <c r="K1070" i="1"/>
  <c r="L1070" i="1" s="1"/>
  <c r="K1071" i="1"/>
  <c r="L1071" i="1" s="1"/>
  <c r="K1072" i="1"/>
  <c r="L1072" i="1" s="1"/>
  <c r="K1073" i="1"/>
  <c r="L1073" i="1" s="1"/>
  <c r="K1074" i="1"/>
  <c r="L1074" i="1" s="1"/>
  <c r="K1075" i="1"/>
  <c r="L1075" i="1" s="1"/>
  <c r="K1076" i="1"/>
  <c r="L1076" i="1" s="1"/>
  <c r="K1077" i="1"/>
  <c r="L1077" i="1" s="1"/>
  <c r="K1078" i="1"/>
  <c r="L1078" i="1" s="1"/>
  <c r="K1079" i="1"/>
  <c r="L1079" i="1" s="1"/>
  <c r="K1080" i="1"/>
  <c r="L1080" i="1" s="1"/>
  <c r="K1081" i="1"/>
  <c r="L1081" i="1" s="1"/>
  <c r="K1082" i="1"/>
  <c r="L1082" i="1" s="1"/>
  <c r="K1083" i="1"/>
  <c r="L1083" i="1" s="1"/>
  <c r="K1084" i="1"/>
  <c r="L1084" i="1" s="1"/>
  <c r="K1085" i="1"/>
  <c r="L1085" i="1" s="1"/>
  <c r="K1086" i="1"/>
  <c r="L1086" i="1" s="1"/>
  <c r="K1087" i="1"/>
  <c r="L1087" i="1" s="1"/>
  <c r="K1088" i="1"/>
  <c r="L1088" i="1" s="1"/>
  <c r="K1089" i="1"/>
  <c r="L1089" i="1" s="1"/>
  <c r="K1090" i="1"/>
  <c r="L1090" i="1" s="1"/>
  <c r="K1091" i="1"/>
  <c r="L1091" i="1" s="1"/>
  <c r="K1092" i="1"/>
  <c r="L1092" i="1" s="1"/>
  <c r="K1093" i="1"/>
  <c r="L1093" i="1" s="1"/>
  <c r="K1094" i="1"/>
  <c r="L1094" i="1" s="1"/>
  <c r="K1095" i="1"/>
  <c r="L1095" i="1" s="1"/>
  <c r="K1096" i="1"/>
  <c r="L1096" i="1" s="1"/>
  <c r="K1097" i="1"/>
  <c r="L1097" i="1" s="1"/>
  <c r="K1098" i="1"/>
  <c r="L1098" i="1" s="1"/>
  <c r="K1099" i="1"/>
  <c r="L1099" i="1" s="1"/>
  <c r="K1100" i="1"/>
  <c r="L1100" i="1" s="1"/>
  <c r="K1101" i="1"/>
  <c r="L1101" i="1" s="1"/>
  <c r="K1102" i="1"/>
  <c r="L1102" i="1" s="1"/>
  <c r="K1103" i="1"/>
  <c r="L1103" i="1" s="1"/>
  <c r="K1104" i="1"/>
  <c r="L1104" i="1" s="1"/>
  <c r="K1105" i="1"/>
  <c r="L1105" i="1" s="1"/>
  <c r="K1106" i="1"/>
  <c r="L1106" i="1" s="1"/>
  <c r="K1107" i="1"/>
  <c r="L1107" i="1" s="1"/>
  <c r="K1108" i="1"/>
  <c r="L1108" i="1" s="1"/>
  <c r="K1109" i="1"/>
  <c r="L1109" i="1" s="1"/>
  <c r="K1110" i="1"/>
  <c r="L1110" i="1" s="1"/>
  <c r="K1111" i="1"/>
  <c r="L1111" i="1" s="1"/>
  <c r="K1112" i="1"/>
  <c r="L1112" i="1" s="1"/>
  <c r="K1113" i="1"/>
  <c r="L1113" i="1" s="1"/>
  <c r="K1114" i="1"/>
  <c r="L1114" i="1" s="1"/>
  <c r="K1115" i="1"/>
  <c r="L1115" i="1" s="1"/>
  <c r="K1116" i="1"/>
  <c r="L1116" i="1" s="1"/>
  <c r="K1117" i="1"/>
  <c r="L1117" i="1" s="1"/>
  <c r="K1118" i="1"/>
  <c r="L1118" i="1" s="1"/>
  <c r="K1119" i="1"/>
  <c r="L1119" i="1" s="1"/>
  <c r="K1120" i="1"/>
  <c r="L1120" i="1" s="1"/>
  <c r="K1121" i="1"/>
  <c r="L1121" i="1" s="1"/>
  <c r="K1122" i="1"/>
  <c r="L1122" i="1" s="1"/>
  <c r="K1123" i="1"/>
  <c r="L1123" i="1" s="1"/>
  <c r="K1124" i="1"/>
  <c r="L1124" i="1" s="1"/>
  <c r="K1125" i="1"/>
  <c r="L1125" i="1" s="1"/>
  <c r="K1126" i="1"/>
  <c r="L1126" i="1" s="1"/>
  <c r="K1127" i="1"/>
  <c r="L1127" i="1" s="1"/>
  <c r="K1128" i="1"/>
  <c r="L1128" i="1" s="1"/>
  <c r="K1129" i="1"/>
  <c r="L1129" i="1" s="1"/>
  <c r="K1130" i="1"/>
  <c r="L1130" i="1" s="1"/>
  <c r="K1131" i="1"/>
  <c r="L1131" i="1" s="1"/>
  <c r="K1132" i="1"/>
  <c r="L1132" i="1" s="1"/>
  <c r="K1133" i="1"/>
  <c r="L1133" i="1" s="1"/>
  <c r="K1134" i="1"/>
  <c r="L1134" i="1" s="1"/>
  <c r="K1135" i="1"/>
  <c r="L1135" i="1" s="1"/>
  <c r="K1136" i="1"/>
  <c r="L1136" i="1" s="1"/>
  <c r="K1137" i="1"/>
  <c r="L1137" i="1" s="1"/>
  <c r="K1138" i="1"/>
  <c r="L1138" i="1" s="1"/>
  <c r="K1139" i="1"/>
  <c r="L1139" i="1" s="1"/>
  <c r="K1140" i="1"/>
  <c r="L1140" i="1" s="1"/>
  <c r="K1141" i="1"/>
  <c r="L1141" i="1" s="1"/>
  <c r="K1142" i="1"/>
  <c r="L1142" i="1" s="1"/>
  <c r="K1143" i="1"/>
  <c r="L1143" i="1" s="1"/>
  <c r="K1144" i="1"/>
  <c r="L1144" i="1" s="1"/>
  <c r="K1145" i="1"/>
  <c r="L1145" i="1" s="1"/>
  <c r="K1146" i="1"/>
  <c r="L1146" i="1" s="1"/>
  <c r="K1147" i="1"/>
  <c r="L1147" i="1" s="1"/>
  <c r="K1148" i="1"/>
  <c r="L1148" i="1" s="1"/>
  <c r="K1149" i="1"/>
  <c r="L1149" i="1" s="1"/>
  <c r="K1150" i="1"/>
  <c r="L1150" i="1" s="1"/>
  <c r="K1151" i="1"/>
  <c r="L1151" i="1" s="1"/>
  <c r="K1152" i="1"/>
  <c r="L1152" i="1" s="1"/>
  <c r="K1153" i="1"/>
  <c r="L1153" i="1" s="1"/>
  <c r="K1154" i="1"/>
  <c r="L1154" i="1" s="1"/>
  <c r="K1155" i="1"/>
  <c r="L1155" i="1" s="1"/>
  <c r="K1156" i="1"/>
  <c r="L1156" i="1" s="1"/>
  <c r="K1157" i="1"/>
  <c r="L1157" i="1" s="1"/>
  <c r="K1158" i="1"/>
  <c r="L1158" i="1" s="1"/>
  <c r="K1159" i="1"/>
  <c r="L1159" i="1" s="1"/>
  <c r="K1160" i="1"/>
  <c r="L1160" i="1" s="1"/>
  <c r="K1161" i="1"/>
  <c r="L1161" i="1" s="1"/>
  <c r="K1162" i="1"/>
  <c r="L1162" i="1" s="1"/>
  <c r="K1163" i="1"/>
  <c r="L1163" i="1" s="1"/>
  <c r="K1164" i="1"/>
  <c r="L1164" i="1" s="1"/>
  <c r="K1165" i="1"/>
  <c r="L1165" i="1" s="1"/>
  <c r="K1166" i="1"/>
  <c r="L1166" i="1" s="1"/>
  <c r="K1167" i="1"/>
  <c r="L1167" i="1" s="1"/>
  <c r="K1168" i="1"/>
  <c r="L1168" i="1" s="1"/>
  <c r="K1169" i="1"/>
  <c r="L1169" i="1" s="1"/>
  <c r="K1170" i="1"/>
  <c r="L1170" i="1" s="1"/>
  <c r="K1171" i="1"/>
  <c r="L1171" i="1" s="1"/>
  <c r="K1172" i="1"/>
  <c r="L1172" i="1" s="1"/>
  <c r="K1173" i="1"/>
  <c r="L1173" i="1" s="1"/>
  <c r="K1174" i="1"/>
  <c r="L1174" i="1" s="1"/>
  <c r="K1175" i="1"/>
  <c r="L1175" i="1" s="1"/>
  <c r="K1176" i="1"/>
  <c r="L1176" i="1" s="1"/>
  <c r="K1177" i="1"/>
  <c r="L1177" i="1" s="1"/>
  <c r="K1178" i="1"/>
  <c r="L1178" i="1" s="1"/>
  <c r="K1179" i="1"/>
  <c r="L1179" i="1" s="1"/>
  <c r="K1180" i="1"/>
  <c r="L1180" i="1" s="1"/>
  <c r="K1181" i="1"/>
  <c r="L1181" i="1" s="1"/>
  <c r="K1182" i="1"/>
  <c r="L1182" i="1" s="1"/>
  <c r="K1183" i="1"/>
  <c r="L1183" i="1" s="1"/>
  <c r="K1184" i="1"/>
  <c r="L1184" i="1" s="1"/>
  <c r="K1185" i="1"/>
  <c r="L1185" i="1" s="1"/>
  <c r="K1186" i="1"/>
  <c r="L1186" i="1" s="1"/>
  <c r="K1187" i="1"/>
  <c r="L1187" i="1" s="1"/>
  <c r="K1188" i="1"/>
  <c r="L1188" i="1" s="1"/>
  <c r="K1189" i="1"/>
  <c r="L1189" i="1" s="1"/>
  <c r="K1190" i="1"/>
  <c r="L1190" i="1" s="1"/>
  <c r="K1191" i="1"/>
  <c r="L1191" i="1" s="1"/>
  <c r="K1192" i="1"/>
  <c r="L1192" i="1" s="1"/>
  <c r="K1193" i="1"/>
  <c r="L1193" i="1" s="1"/>
  <c r="K1194" i="1"/>
  <c r="L1194" i="1" s="1"/>
  <c r="K1195" i="1"/>
  <c r="L1195" i="1" s="1"/>
  <c r="K1196" i="1"/>
  <c r="L1196" i="1" s="1"/>
  <c r="K1197" i="1"/>
  <c r="L1197" i="1" s="1"/>
  <c r="K1198" i="1"/>
  <c r="L1198" i="1" s="1"/>
  <c r="K1199" i="1"/>
  <c r="L1199" i="1" s="1"/>
  <c r="K1200" i="1"/>
  <c r="L1200" i="1" s="1"/>
  <c r="K1201" i="1"/>
  <c r="L1201" i="1" s="1"/>
  <c r="K1202" i="1"/>
  <c r="L1202" i="1" s="1"/>
  <c r="K1203" i="1"/>
  <c r="L1203" i="1" s="1"/>
  <c r="K1204" i="1"/>
  <c r="L1204" i="1" s="1"/>
  <c r="K1205" i="1"/>
  <c r="L1205" i="1" s="1"/>
  <c r="K1206" i="1"/>
  <c r="L1206" i="1" s="1"/>
  <c r="K1207" i="1"/>
  <c r="L1207" i="1" s="1"/>
  <c r="K1208" i="1"/>
  <c r="L1208" i="1" s="1"/>
  <c r="K1209" i="1"/>
  <c r="L1209" i="1" s="1"/>
  <c r="K1210" i="1"/>
  <c r="L1210" i="1" s="1"/>
  <c r="K1211" i="1"/>
  <c r="L1211" i="1" s="1"/>
  <c r="K1212" i="1"/>
  <c r="L1212" i="1" s="1"/>
  <c r="K1213" i="1"/>
  <c r="L1213" i="1" s="1"/>
  <c r="K1214" i="1"/>
  <c r="L1214" i="1" s="1"/>
  <c r="K1215" i="1"/>
  <c r="L1215" i="1" s="1"/>
  <c r="K1216" i="1"/>
  <c r="L1216" i="1" s="1"/>
  <c r="K1217" i="1"/>
  <c r="L1217" i="1" s="1"/>
  <c r="K1218" i="1"/>
  <c r="L1218" i="1" s="1"/>
  <c r="K1219" i="1"/>
  <c r="L1219" i="1" s="1"/>
  <c r="K1220" i="1"/>
  <c r="L1220" i="1" s="1"/>
  <c r="K1221" i="1"/>
  <c r="L1221" i="1" s="1"/>
  <c r="K1222" i="1"/>
  <c r="L1222" i="1" s="1"/>
  <c r="K1223" i="1"/>
  <c r="L1223" i="1" s="1"/>
  <c r="K1224" i="1"/>
  <c r="L1224" i="1" s="1"/>
  <c r="K1225" i="1"/>
  <c r="L1225" i="1" s="1"/>
  <c r="K1226" i="1"/>
  <c r="L1226" i="1" s="1"/>
  <c r="K1227" i="1"/>
  <c r="L1227" i="1" s="1"/>
  <c r="K1228" i="1"/>
  <c r="L1228" i="1" s="1"/>
  <c r="K1229" i="1"/>
  <c r="L1229" i="1" s="1"/>
  <c r="K1230" i="1"/>
  <c r="L1230" i="1" s="1"/>
  <c r="K1231" i="1"/>
  <c r="L1231" i="1" s="1"/>
  <c r="K1232" i="1"/>
  <c r="L1232" i="1" s="1"/>
  <c r="K1233" i="1"/>
  <c r="L1233" i="1" s="1"/>
  <c r="K1234" i="1"/>
  <c r="L1234" i="1" s="1"/>
  <c r="K1235" i="1"/>
  <c r="L1235" i="1" s="1"/>
  <c r="K1236" i="1"/>
  <c r="L1236" i="1" s="1"/>
  <c r="K1237" i="1"/>
  <c r="L1237" i="1" s="1"/>
  <c r="K1238" i="1"/>
  <c r="L1238" i="1" s="1"/>
  <c r="K1239" i="1"/>
  <c r="L1239" i="1" s="1"/>
  <c r="K1240" i="1"/>
  <c r="L1240" i="1" s="1"/>
  <c r="K1241" i="1"/>
  <c r="L1241" i="1" s="1"/>
  <c r="K1242" i="1"/>
  <c r="L1242" i="1" s="1"/>
  <c r="K1243" i="1"/>
  <c r="L1243" i="1" s="1"/>
  <c r="K1244" i="1"/>
  <c r="L1244" i="1" s="1"/>
  <c r="K1245" i="1"/>
  <c r="L1245" i="1" s="1"/>
  <c r="K1246" i="1"/>
  <c r="L1246" i="1" s="1"/>
  <c r="K1247" i="1"/>
  <c r="L1247" i="1" s="1"/>
  <c r="K1248" i="1"/>
  <c r="L1248" i="1" s="1"/>
  <c r="K1249" i="1"/>
  <c r="L1249" i="1" s="1"/>
  <c r="K1250" i="1"/>
  <c r="L1250" i="1" s="1"/>
  <c r="K1251" i="1"/>
  <c r="L1251" i="1" s="1"/>
  <c r="K1252" i="1"/>
  <c r="L1252" i="1" s="1"/>
  <c r="K1253" i="1"/>
  <c r="L1253" i="1" s="1"/>
  <c r="K1254" i="1"/>
  <c r="L1254" i="1" s="1"/>
  <c r="K1255" i="1"/>
  <c r="L1255" i="1" s="1"/>
  <c r="K1256" i="1"/>
  <c r="L1256" i="1" s="1"/>
  <c r="K1257" i="1"/>
  <c r="L1257" i="1" s="1"/>
  <c r="K1258" i="1"/>
  <c r="L1258" i="1" s="1"/>
  <c r="K1259" i="1"/>
  <c r="L1259" i="1" s="1"/>
  <c r="K1260" i="1"/>
  <c r="L1260" i="1" s="1"/>
  <c r="K1261" i="1"/>
  <c r="L1261" i="1" s="1"/>
  <c r="K1262" i="1"/>
  <c r="L1262" i="1" s="1"/>
  <c r="K1263" i="1"/>
  <c r="L1263" i="1" s="1"/>
  <c r="K1264" i="1"/>
  <c r="L1264" i="1" s="1"/>
  <c r="K1265" i="1"/>
  <c r="L1265" i="1" s="1"/>
  <c r="K1266" i="1"/>
  <c r="L1266" i="1" s="1"/>
  <c r="K1267" i="1"/>
  <c r="L1267" i="1" s="1"/>
  <c r="K1268" i="1"/>
  <c r="L1268" i="1" s="1"/>
  <c r="K1269" i="1"/>
  <c r="L1269" i="1" s="1"/>
  <c r="K1270" i="1"/>
  <c r="L1270" i="1" s="1"/>
  <c r="K1271" i="1"/>
  <c r="L1271" i="1" s="1"/>
  <c r="K1272" i="1"/>
  <c r="L1272" i="1" s="1"/>
  <c r="K1273" i="1"/>
  <c r="L1273" i="1" s="1"/>
  <c r="K1274" i="1"/>
  <c r="L1274" i="1" s="1"/>
  <c r="K1275" i="1"/>
  <c r="L1275" i="1" s="1"/>
  <c r="K1276" i="1"/>
  <c r="L1276" i="1" s="1"/>
  <c r="K1277" i="1"/>
  <c r="L1277" i="1" s="1"/>
  <c r="K1278" i="1"/>
  <c r="L1278" i="1" s="1"/>
  <c r="K1279" i="1"/>
  <c r="L1279" i="1" s="1"/>
  <c r="K1280" i="1"/>
  <c r="L1280" i="1" s="1"/>
  <c r="K1281" i="1"/>
  <c r="L1281" i="1" s="1"/>
  <c r="K1282" i="1"/>
  <c r="L1282" i="1" s="1"/>
  <c r="K1283" i="1"/>
  <c r="L1283" i="1" s="1"/>
  <c r="K1284" i="1"/>
  <c r="L1284" i="1" s="1"/>
  <c r="K1285" i="1"/>
  <c r="L1285" i="1" s="1"/>
  <c r="K1286" i="1"/>
  <c r="L1286" i="1" s="1"/>
  <c r="K1287" i="1"/>
  <c r="L1287" i="1" s="1"/>
  <c r="K1288" i="1"/>
  <c r="L1288" i="1" s="1"/>
  <c r="K1289" i="1"/>
  <c r="L1289" i="1" s="1"/>
  <c r="K1290" i="1"/>
  <c r="L1290" i="1" s="1"/>
  <c r="K1291" i="1"/>
  <c r="L1291" i="1" s="1"/>
  <c r="K1292" i="1"/>
  <c r="L1292" i="1" s="1"/>
  <c r="K1293" i="1"/>
  <c r="L1293" i="1" s="1"/>
  <c r="K1294" i="1"/>
  <c r="L1294" i="1" s="1"/>
  <c r="K1295" i="1"/>
  <c r="L1295" i="1" s="1"/>
  <c r="K1296" i="1"/>
  <c r="L1296" i="1" s="1"/>
  <c r="K1297" i="1"/>
  <c r="L1297" i="1" s="1"/>
  <c r="K1298" i="1"/>
  <c r="L1298" i="1" s="1"/>
  <c r="K1299" i="1"/>
  <c r="L1299" i="1" s="1"/>
  <c r="K1300" i="1"/>
  <c r="L1300" i="1" s="1"/>
  <c r="K1301" i="1"/>
  <c r="L1301" i="1" s="1"/>
  <c r="K1302" i="1"/>
  <c r="L1302" i="1" s="1"/>
  <c r="K1303" i="1"/>
  <c r="L1303" i="1" s="1"/>
  <c r="K1304" i="1"/>
  <c r="L1304" i="1" s="1"/>
  <c r="K1305" i="1"/>
  <c r="L1305" i="1" s="1"/>
  <c r="K1306" i="1"/>
  <c r="L1306" i="1" s="1"/>
  <c r="K1307" i="1"/>
  <c r="L1307" i="1" s="1"/>
  <c r="K1308" i="1"/>
  <c r="L1308" i="1" s="1"/>
  <c r="K1309" i="1"/>
  <c r="L1309" i="1" s="1"/>
  <c r="K1310" i="1"/>
  <c r="L1310" i="1" s="1"/>
  <c r="K1311" i="1"/>
  <c r="L1311" i="1" s="1"/>
  <c r="K1312" i="1"/>
  <c r="L1312" i="1" s="1"/>
  <c r="K1313" i="1"/>
  <c r="L1313" i="1" s="1"/>
  <c r="K1314" i="1"/>
  <c r="L1314" i="1" s="1"/>
  <c r="K1315" i="1"/>
  <c r="L1315" i="1" s="1"/>
  <c r="K1316" i="1"/>
  <c r="L1316" i="1" s="1"/>
  <c r="K1317" i="1"/>
  <c r="L1317" i="1" s="1"/>
  <c r="K1318" i="1"/>
  <c r="L1318" i="1" s="1"/>
  <c r="K1319" i="1"/>
  <c r="L1319" i="1" s="1"/>
  <c r="K1320" i="1"/>
  <c r="L1320" i="1" s="1"/>
  <c r="K1321" i="1"/>
  <c r="L1321" i="1" s="1"/>
  <c r="K1322" i="1"/>
  <c r="L1322" i="1" s="1"/>
  <c r="K1323" i="1"/>
  <c r="L1323" i="1" s="1"/>
  <c r="K1324" i="1"/>
  <c r="L1324" i="1" s="1"/>
  <c r="K1325" i="1"/>
  <c r="L1325" i="1" s="1"/>
  <c r="K1326" i="1"/>
  <c r="L1326" i="1" s="1"/>
  <c r="K1327" i="1"/>
  <c r="L1327" i="1" s="1"/>
  <c r="K1328" i="1"/>
  <c r="L1328" i="1" s="1"/>
  <c r="K1329" i="1"/>
  <c r="L1329" i="1" s="1"/>
  <c r="K1330" i="1"/>
  <c r="L1330" i="1" s="1"/>
  <c r="K1331" i="1"/>
  <c r="L1331" i="1" s="1"/>
  <c r="K1332" i="1"/>
  <c r="L1332" i="1" s="1"/>
  <c r="K1333" i="1"/>
  <c r="L1333" i="1" s="1"/>
  <c r="K1334" i="1"/>
  <c r="L1334" i="1" s="1"/>
  <c r="K1335" i="1"/>
  <c r="L1335" i="1" s="1"/>
  <c r="K1336" i="1"/>
  <c r="L1336" i="1" s="1"/>
  <c r="K1337" i="1"/>
  <c r="L1337" i="1" s="1"/>
  <c r="K1338" i="1"/>
  <c r="L1338" i="1" s="1"/>
  <c r="K1339" i="1"/>
  <c r="L1339" i="1" s="1"/>
  <c r="K1340" i="1"/>
  <c r="L1340" i="1" s="1"/>
  <c r="K1341" i="1"/>
  <c r="L1341" i="1" s="1"/>
  <c r="K1342" i="1"/>
  <c r="L1342" i="1" s="1"/>
  <c r="K1343" i="1"/>
  <c r="L1343" i="1" s="1"/>
  <c r="K1344" i="1"/>
  <c r="L1344" i="1" s="1"/>
  <c r="K1345" i="1"/>
  <c r="L1345" i="1" s="1"/>
  <c r="K1346" i="1"/>
  <c r="L1346" i="1" s="1"/>
  <c r="K1347" i="1"/>
  <c r="L1347" i="1" s="1"/>
  <c r="K1348" i="1"/>
  <c r="L1348" i="1" s="1"/>
  <c r="K1349" i="1"/>
  <c r="L1349" i="1" s="1"/>
  <c r="K1350" i="1"/>
  <c r="L1350" i="1" s="1"/>
  <c r="K1351" i="1"/>
  <c r="L1351" i="1" s="1"/>
  <c r="K1352" i="1"/>
  <c r="L1352" i="1" s="1"/>
  <c r="K1353" i="1"/>
  <c r="L1353" i="1" s="1"/>
  <c r="K1354" i="1"/>
  <c r="L1354" i="1" s="1"/>
  <c r="K1355" i="1"/>
  <c r="L1355" i="1" s="1"/>
  <c r="K1356" i="1"/>
  <c r="L1356" i="1" s="1"/>
  <c r="K1357" i="1"/>
  <c r="L1357" i="1" s="1"/>
  <c r="K1358" i="1"/>
  <c r="L1358" i="1" s="1"/>
  <c r="K1359" i="1"/>
  <c r="L1359" i="1" s="1"/>
  <c r="K1360" i="1"/>
  <c r="L1360" i="1" s="1"/>
  <c r="K1361" i="1"/>
  <c r="L1361" i="1" s="1"/>
  <c r="K1362" i="1"/>
  <c r="L1362" i="1" s="1"/>
  <c r="K1363" i="1"/>
  <c r="L1363" i="1" s="1"/>
  <c r="K1364" i="1"/>
  <c r="L1364" i="1" s="1"/>
  <c r="K1365" i="1"/>
  <c r="L1365" i="1" s="1"/>
  <c r="K1366" i="1"/>
  <c r="L1366" i="1" s="1"/>
  <c r="K1367" i="1"/>
  <c r="L1367" i="1" s="1"/>
  <c r="K1368" i="1"/>
  <c r="L1368" i="1" s="1"/>
  <c r="K1369" i="1"/>
  <c r="L1369" i="1" s="1"/>
  <c r="K1370" i="1"/>
  <c r="L1370" i="1" s="1"/>
  <c r="K2" i="1"/>
  <c r="L2" i="1" s="1"/>
  <c r="O8" i="1"/>
  <c r="E1370" i="1"/>
  <c r="Q4" i="1"/>
  <c r="Q3" i="1"/>
  <c r="Q2" i="1"/>
  <c r="M4" i="1" s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F1365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6" i="1"/>
  <c r="F1367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D2" i="1"/>
  <c r="C2" i="1"/>
  <c r="F2" i="1" s="1"/>
  <c r="E2" i="1" l="1"/>
  <c r="E1368" i="1" s="1"/>
  <c r="G2" i="1"/>
  <c r="G1368" i="1" s="1"/>
  <c r="M3" i="1"/>
  <c r="O14" i="1"/>
  <c r="O7" i="1"/>
  <c r="F1368" i="1"/>
  <c r="E1369" i="1" s="1"/>
  <c r="M5" i="1" l="1"/>
</calcChain>
</file>

<file path=xl/sharedStrings.xml><?xml version="1.0" encoding="utf-8"?>
<sst xmlns="http://schemas.openxmlformats.org/spreadsheetml/2006/main" count="10551" uniqueCount="44">
  <si>
    <t>x</t>
  </si>
  <si>
    <t>y</t>
  </si>
  <si>
    <t>x_avg</t>
  </si>
  <si>
    <t>y_avg</t>
  </si>
  <si>
    <t>sxx</t>
  </si>
  <si>
    <t>sxy</t>
  </si>
  <si>
    <t>SLOPE_INTERCEPT</t>
  </si>
  <si>
    <t>syy</t>
  </si>
  <si>
    <t>SYY</t>
  </si>
  <si>
    <t>SXX</t>
  </si>
  <si>
    <t>SXY</t>
  </si>
  <si>
    <t>SXY=</t>
  </si>
  <si>
    <t>SYY=</t>
  </si>
  <si>
    <t>SLOPE SLR</t>
  </si>
  <si>
    <t>INTERCEPT SLR</t>
  </si>
  <si>
    <t>Smy</t>
  </si>
  <si>
    <t>Smx</t>
  </si>
  <si>
    <t>sMxsmy</t>
  </si>
  <si>
    <t xml:space="preserve">slope of GOR </t>
  </si>
  <si>
    <t>Intercept of GOR</t>
  </si>
  <si>
    <t>Xt</t>
  </si>
  <si>
    <t>Yt</t>
  </si>
  <si>
    <t>ita</t>
  </si>
  <si>
    <t>GOR1_slope_me</t>
  </si>
  <si>
    <t>GOR2_slope</t>
  </si>
  <si>
    <t>SLR_slope</t>
  </si>
  <si>
    <t>GOR1_Err_slope</t>
  </si>
  <si>
    <t>GOR2_Err_slope</t>
  </si>
  <si>
    <t>SLR_Err_slope</t>
  </si>
  <si>
    <t>GOR1_intercept</t>
  </si>
  <si>
    <t>GOR2_intercept</t>
  </si>
  <si>
    <t>SLR_intercept</t>
  </si>
  <si>
    <t>GOR1_intercept_error</t>
  </si>
  <si>
    <t>GOR2_intercept_err</t>
  </si>
  <si>
    <t>SLR_intercept_error</t>
  </si>
  <si>
    <t>STD_GOR1</t>
  </si>
  <si>
    <t>STD_GOR2</t>
  </si>
  <si>
    <t>STD_SLR</t>
  </si>
  <si>
    <t>RSQ_GOR1</t>
  </si>
  <si>
    <t>GOR2_RSQ</t>
  </si>
  <si>
    <t>RSQ_SLR</t>
  </si>
  <si>
    <t>MM_var_x</t>
  </si>
  <si>
    <t>s_v</t>
  </si>
  <si>
    <t>SLOPE  ORTHOGONAL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</si>
</sst>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476250</xdr:colOff>
      <xdr:row>16</xdr:row>
      <xdr:rowOff>57150</xdr:rowOff>
    </xdr:from>
    <xdr:to>
      <xdr:col>17</xdr:col>
      <xdr:colOff>409575</xdr:colOff>
      <xdr:row>20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8801100" y="3105150"/>
          <a:ext cx="2286000" cy="762000"/>
        </a:xfrm>
        <a:prstGeom prst="rect">
          <a:avLst/>
        </a:prstGeom>
        <a:noFill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17</xdr:row>
          <xdr:rowOff>0</xdr:rowOff>
        </xdr:from>
        <xdr:to>
          <xdr:col>14</xdr:col>
          <xdr:colOff>556260</xdr:colOff>
          <xdr:row>19</xdr:row>
          <xdr:rowOff>121920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18</xdr:col>
      <xdr:colOff>0</xdr:colOff>
      <xdr:row>0</xdr:row>
      <xdr:rowOff>161925</xdr:rowOff>
    </xdr:from>
    <xdr:to>
      <xdr:col>25</xdr:col>
      <xdr:colOff>8990</xdr:colOff>
      <xdr:row>4</xdr:row>
      <xdr:rowOff>18973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896725" y="161925"/>
          <a:ext cx="4276190" cy="619048"/>
        </a:xfrm>
        <a:prstGeom prst="rect">
          <a:avLst/>
        </a:prstGeom>
      </xdr:spPr>
    </xdr:pic>
    <xdr:clientData/>
  </xdr:twoCellAnchor>
  <xdr:twoCellAnchor editAs="oneCell">
    <xdr:from>
      <xdr:col>12</xdr:col>
      <xdr:colOff>182880</xdr:colOff>
      <xdr:row>20</xdr:row>
      <xdr:rowOff>152400</xdr:rowOff>
    </xdr:from>
    <xdr:to>
      <xdr:col>17</xdr:col>
      <xdr:colOff>278840</xdr:colOff>
      <xdr:row>27</xdr:row>
      <xdr:rowOff>72558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54340" y="3810000"/>
          <a:ext cx="5087060" cy="1200318"/>
        </a:xfrm>
        <a:prstGeom prst="rect">
          <a:avLst/>
        </a:prstGeom>
      </xdr:spPr>
    </xdr:pic>
    <xdr:clientData/>
  </xdr:twoCellAnchor>
  <xdr:twoCellAnchor editAs="oneCell">
    <xdr:from>
      <xdr:col>12</xdr:col>
      <xdr:colOff>198120</xdr:colOff>
      <xdr:row>27</xdr:row>
      <xdr:rowOff>83820</xdr:rowOff>
    </xdr:from>
    <xdr:to>
      <xdr:col>22</xdr:col>
      <xdr:colOff>256400</xdr:colOff>
      <xdr:row>45</xdr:row>
      <xdr:rowOff>124401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1A8F98B-EA05-74E8-D585-85CC1AD7A9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69580" y="5021580"/>
          <a:ext cx="8097380" cy="33324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70"/>
  <sheetViews>
    <sheetView tabSelected="1" topLeftCell="D1" workbookViewId="0">
      <selection activeCell="U22" sqref="U22"/>
    </sheetView>
  </sheetViews>
  <sheetFormatPr defaultRowHeight="14.4" x14ac:dyDescent="0.3"/>
  <cols>
    <col min="7" max="7" width="17" bestFit="1" customWidth="1"/>
    <col min="13" max="13" width="21.5546875" customWidth="1"/>
    <col min="14" max="14" width="16.44140625" customWidth="1"/>
    <col min="15" max="15" width="17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  <c r="G1" t="s">
        <v>7</v>
      </c>
      <c r="H1" t="s">
        <v>9</v>
      </c>
      <c r="I1" t="s">
        <v>10</v>
      </c>
      <c r="J1" t="s">
        <v>8</v>
      </c>
      <c r="K1" t="s">
        <v>20</v>
      </c>
      <c r="L1" t="s">
        <v>21</v>
      </c>
    </row>
    <row r="2" spans="1:19" x14ac:dyDescent="0.3">
      <c r="A2">
        <v>5.5</v>
      </c>
      <c r="B2">
        <v>6</v>
      </c>
      <c r="C2">
        <f>AVERAGE(A2:A1367)</f>
        <v>5.3147877013177176</v>
      </c>
      <c r="D2">
        <f>AVERAGE(B2:B1367)</f>
        <v>5.4679355783308887</v>
      </c>
      <c r="E2">
        <f>(A2-C2)*(B2-D2)</f>
        <v>9.8544874584395287E-2</v>
      </c>
      <c r="F2">
        <f>(A2-C2)^2</f>
        <v>3.4303595583174987E-2</v>
      </c>
      <c r="G2">
        <f>(B2-D2)^2</f>
        <v>0.28309254880608586</v>
      </c>
      <c r="H2">
        <v>177.90128843338192</v>
      </c>
      <c r="I2">
        <v>162.98770131771641</v>
      </c>
      <c r="J2">
        <v>242.63557833089328</v>
      </c>
      <c r="K2">
        <f>(1.097727582*(B2+0.366253474)+0.2*A2)/(0.2+1.097727582^2)</f>
        <v>5.756852945005023</v>
      </c>
      <c r="L2">
        <f>1.097727582*K2-0.366253474</f>
        <v>5.9532027892499437</v>
      </c>
      <c r="M2" s="3">
        <f>SQRT((Q4-0.2*Q3)^2+4*0.2*Q2^2)</f>
        <v>0.18551426387565836</v>
      </c>
      <c r="P2" t="s">
        <v>11</v>
      </c>
      <c r="Q2">
        <f>162.987701317716/1365</f>
        <v>0.11940490939026813</v>
      </c>
      <c r="R2" t="s">
        <v>17</v>
      </c>
    </row>
    <row r="3" spans="1:19" x14ac:dyDescent="0.3">
      <c r="A3">
        <v>5</v>
      </c>
      <c r="B3">
        <v>5.2</v>
      </c>
      <c r="C3">
        <v>5.3147877013177176</v>
      </c>
      <c r="D3">
        <v>5.4679355783308887</v>
      </c>
      <c r="E3">
        <f t="shared" ref="E3:E66" si="0">(A3-C3)*(B3-D3)</f>
        <v>8.4342824804013672E-2</v>
      </c>
      <c r="F3">
        <f t="shared" ref="F3:F66" si="1">(A3-C3)^2</f>
        <v>9.9091296900892592E-2</v>
      </c>
      <c r="G3">
        <f t="shared" ref="G3:G66" si="2">(B3-D3)^2</f>
        <v>7.1789474135507708E-2</v>
      </c>
      <c r="H3">
        <v>177.90128843338192</v>
      </c>
      <c r="I3">
        <v>162.98770131771641</v>
      </c>
      <c r="J3">
        <v>242.63557833089328</v>
      </c>
      <c r="K3">
        <f t="shared" ref="K3:K66" si="3">(1.097727582*(B3+0.366253474)+0.2*A3)/(0.2+1.097727582^2)</f>
        <v>5.0606408476818334</v>
      </c>
      <c r="L3">
        <f t="shared" ref="L3:L66" si="4">1.097727582*K3-0.366253474</f>
        <v>5.1889515670962103</v>
      </c>
      <c r="M3" s="3">
        <f>(Q4)-(0.2*Q3)</f>
        <v>0.15168887959283267</v>
      </c>
      <c r="P3" t="s">
        <v>9</v>
      </c>
      <c r="Q3">
        <f>177.901288433382/1365</f>
        <v>0.13033061423690989</v>
      </c>
      <c r="R3" t="s">
        <v>16</v>
      </c>
    </row>
    <row r="4" spans="1:19" x14ac:dyDescent="0.3">
      <c r="A4">
        <v>5.5</v>
      </c>
      <c r="B4">
        <v>5.7</v>
      </c>
      <c r="C4">
        <v>5.3147877013177176</v>
      </c>
      <c r="D4">
        <v>5.4679355783308887</v>
      </c>
      <c r="E4">
        <f t="shared" si="0"/>
        <v>4.2981184979710596E-2</v>
      </c>
      <c r="F4">
        <f t="shared" si="1"/>
        <v>3.4303595583174987E-2</v>
      </c>
      <c r="G4">
        <f t="shared" si="2"/>
        <v>5.3853895804619169E-2</v>
      </c>
      <c r="H4">
        <v>177.90128843338192</v>
      </c>
      <c r="I4">
        <v>162.98770131771641</v>
      </c>
      <c r="J4">
        <v>242.63557833089328</v>
      </c>
      <c r="K4">
        <f t="shared" si="3"/>
        <v>5.5224636889461456</v>
      </c>
      <c r="L4">
        <f t="shared" si="4"/>
        <v>5.6959072379496538</v>
      </c>
      <c r="M4" s="3">
        <f>2*Q2</f>
        <v>0.23880981878053625</v>
      </c>
      <c r="P4" t="s">
        <v>12</v>
      </c>
      <c r="Q4">
        <f>242.635578330893/1365</f>
        <v>0.17775500244021464</v>
      </c>
      <c r="R4" t="s">
        <v>15</v>
      </c>
    </row>
    <row r="5" spans="1:19" x14ac:dyDescent="0.3">
      <c r="A5">
        <v>5</v>
      </c>
      <c r="B5">
        <v>4.9000000000000004</v>
      </c>
      <c r="C5">
        <v>5.3147877013177176</v>
      </c>
      <c r="D5">
        <v>5.4679355783308887</v>
      </c>
      <c r="E5">
        <f t="shared" si="0"/>
        <v>0.17877913519932889</v>
      </c>
      <c r="F5">
        <f t="shared" si="1"/>
        <v>9.9091296900892592E-2</v>
      </c>
      <c r="G5">
        <f t="shared" si="2"/>
        <v>0.32255082113404066</v>
      </c>
      <c r="H5">
        <v>177.90128843338192</v>
      </c>
      <c r="I5">
        <v>162.98770131771641</v>
      </c>
      <c r="J5">
        <v>242.63557833089328</v>
      </c>
      <c r="K5">
        <f t="shared" si="3"/>
        <v>4.826251591622956</v>
      </c>
      <c r="L5">
        <f t="shared" si="4"/>
        <v>4.9316560157959195</v>
      </c>
      <c r="M5" s="3">
        <f>(M3+M2)/(M4)</f>
        <v>1.4120154070313884</v>
      </c>
      <c r="N5" s="2" t="s">
        <v>43</v>
      </c>
      <c r="O5" s="2"/>
      <c r="P5" s="2">
        <f>M5</f>
        <v>1.4120154070313884</v>
      </c>
    </row>
    <row r="6" spans="1:19" x14ac:dyDescent="0.3">
      <c r="A6">
        <v>5.9</v>
      </c>
      <c r="B6">
        <v>5.8</v>
      </c>
      <c r="C6">
        <v>5.3147877013177176</v>
      </c>
      <c r="D6">
        <v>5.4679355783308887</v>
      </c>
      <c r="E6">
        <f t="shared" si="0"/>
        <v>0.19432818351558334</v>
      </c>
      <c r="F6">
        <f t="shared" si="1"/>
        <v>0.34247343452900131</v>
      </c>
      <c r="G6">
        <f t="shared" si="2"/>
        <v>0.11026678013844123</v>
      </c>
      <c r="H6">
        <v>177.90128843338192</v>
      </c>
      <c r="I6">
        <v>162.98770131771641</v>
      </c>
      <c r="J6">
        <v>242.63557833089328</v>
      </c>
      <c r="K6">
        <f t="shared" si="3"/>
        <v>5.657532705898717</v>
      </c>
      <c r="L6">
        <f t="shared" si="4"/>
        <v>5.8441762233321164</v>
      </c>
    </row>
    <row r="7" spans="1:19" x14ac:dyDescent="0.3">
      <c r="A7">
        <v>5.7</v>
      </c>
      <c r="B7">
        <v>6.3</v>
      </c>
      <c r="C7">
        <v>5.3147877013177176</v>
      </c>
      <c r="D7">
        <v>5.4679355783308887</v>
      </c>
      <c r="E7">
        <f t="shared" si="0"/>
        <v>0.32052144852290232</v>
      </c>
      <c r="F7">
        <f t="shared" si="1"/>
        <v>0.14838851505608808</v>
      </c>
      <c r="G7">
        <f t="shared" si="2"/>
        <v>0.69233120180755237</v>
      </c>
      <c r="H7">
        <v>177.90128843338192</v>
      </c>
      <c r="I7">
        <v>162.98770131771641</v>
      </c>
      <c r="J7">
        <v>242.63557833089328</v>
      </c>
      <c r="K7">
        <f t="shared" si="3"/>
        <v>6.0197118335303728</v>
      </c>
      <c r="L7">
        <f t="shared" si="4"/>
        <v>6.2417502413580834</v>
      </c>
      <c r="N7" t="s">
        <v>13</v>
      </c>
      <c r="O7">
        <f>Q2/Q3</f>
        <v>0.91616931362894183</v>
      </c>
      <c r="R7" t="s">
        <v>11</v>
      </c>
      <c r="S7">
        <v>0.11940490939026843</v>
      </c>
    </row>
    <row r="8" spans="1:19" x14ac:dyDescent="0.3">
      <c r="A8">
        <v>5.3</v>
      </c>
      <c r="B8">
        <v>5.5</v>
      </c>
      <c r="C8">
        <v>5.3147877013177176</v>
      </c>
      <c r="D8">
        <v>5.4679355783308887</v>
      </c>
      <c r="E8">
        <f t="shared" si="0"/>
        <v>-4.7415909056817545E-4</v>
      </c>
      <c r="F8">
        <f t="shared" si="1"/>
        <v>2.1867611026203226E-4</v>
      </c>
      <c r="G8">
        <f t="shared" si="2"/>
        <v>1.0281271369745727E-3</v>
      </c>
      <c r="H8">
        <v>177.90128843338192</v>
      </c>
      <c r="I8">
        <v>162.98770131771641</v>
      </c>
      <c r="J8">
        <v>242.63557833089328</v>
      </c>
      <c r="K8">
        <f t="shared" si="3"/>
        <v>5.3377345524404198</v>
      </c>
      <c r="L8">
        <f t="shared" si="4"/>
        <v>5.4931249696082753</v>
      </c>
      <c r="N8" t="s">
        <v>14</v>
      </c>
      <c r="O8">
        <f>0.5987</f>
        <v>0.59870000000000001</v>
      </c>
      <c r="R8" t="s">
        <v>9</v>
      </c>
      <c r="S8">
        <v>0.13033061423690984</v>
      </c>
    </row>
    <row r="9" spans="1:19" x14ac:dyDescent="0.3">
      <c r="A9">
        <v>5.6</v>
      </c>
      <c r="B9">
        <v>6</v>
      </c>
      <c r="C9">
        <v>5.3147877013177176</v>
      </c>
      <c r="D9">
        <v>5.4679355783308887</v>
      </c>
      <c r="E9">
        <f t="shared" si="0"/>
        <v>0.15175131675130621</v>
      </c>
      <c r="F9">
        <f t="shared" si="1"/>
        <v>8.1346055319631266E-2</v>
      </c>
      <c r="G9">
        <f t="shared" si="2"/>
        <v>0.28309254880608586</v>
      </c>
      <c r="H9">
        <v>177.90128843338192</v>
      </c>
      <c r="I9">
        <v>162.98770131771641</v>
      </c>
      <c r="J9">
        <v>242.63557833089328</v>
      </c>
      <c r="K9">
        <f t="shared" si="3"/>
        <v>5.7710877612382596</v>
      </c>
      <c r="L9">
        <f t="shared" si="4"/>
        <v>5.9688287396538691</v>
      </c>
      <c r="R9" t="s">
        <v>12</v>
      </c>
      <c r="S9">
        <v>0.17775500244021464</v>
      </c>
    </row>
    <row r="10" spans="1:19" x14ac:dyDescent="0.3">
      <c r="A10">
        <v>5.4</v>
      </c>
      <c r="B10">
        <v>5.2</v>
      </c>
      <c r="C10">
        <v>5.3147877013177176</v>
      </c>
      <c r="D10">
        <v>5.4679355783308887</v>
      </c>
      <c r="E10">
        <f t="shared" si="0"/>
        <v>-2.2831406528341841E-2</v>
      </c>
      <c r="F10">
        <f t="shared" si="1"/>
        <v>7.2611358467185661E-3</v>
      </c>
      <c r="G10">
        <f t="shared" si="2"/>
        <v>7.1789474135507708E-2</v>
      </c>
      <c r="H10">
        <v>177.90128843338192</v>
      </c>
      <c r="I10">
        <v>162.98770131771641</v>
      </c>
      <c r="J10">
        <v>242.63557833089328</v>
      </c>
      <c r="K10">
        <f t="shared" si="3"/>
        <v>5.11758011261478</v>
      </c>
      <c r="L10">
        <f t="shared" si="4"/>
        <v>5.2514553687119108</v>
      </c>
    </row>
    <row r="11" spans="1:19" x14ac:dyDescent="0.3">
      <c r="A11">
        <v>5.5</v>
      </c>
      <c r="B11">
        <v>5.5</v>
      </c>
      <c r="C11">
        <v>5.3147877013177176</v>
      </c>
      <c r="D11">
        <v>5.4679355783308887</v>
      </c>
      <c r="E11">
        <f t="shared" si="0"/>
        <v>5.9387252432540859E-3</v>
      </c>
      <c r="F11">
        <f t="shared" si="1"/>
        <v>3.4303595583174987E-2</v>
      </c>
      <c r="G11">
        <f t="shared" si="2"/>
        <v>1.0281271369745727E-3</v>
      </c>
      <c r="H11">
        <v>177.90128843338192</v>
      </c>
      <c r="I11">
        <v>162.98770131771641</v>
      </c>
      <c r="J11">
        <v>242.63557833089328</v>
      </c>
      <c r="K11">
        <f t="shared" si="3"/>
        <v>5.366204184906894</v>
      </c>
      <c r="L11">
        <f t="shared" si="4"/>
        <v>5.5243768704161269</v>
      </c>
    </row>
    <row r="12" spans="1:19" x14ac:dyDescent="0.3">
      <c r="A12">
        <v>5.4</v>
      </c>
      <c r="B12">
        <v>5.8</v>
      </c>
      <c r="C12">
        <v>5.3147877013177176</v>
      </c>
      <c r="D12">
        <v>5.4679355783308887</v>
      </c>
      <c r="E12">
        <f t="shared" si="0"/>
        <v>2.8295972681027778E-2</v>
      </c>
      <c r="F12">
        <f t="shared" si="1"/>
        <v>7.2611358467185661E-3</v>
      </c>
      <c r="G12">
        <f t="shared" si="2"/>
        <v>0.11026678013844123</v>
      </c>
      <c r="H12">
        <v>177.90128843338192</v>
      </c>
      <c r="I12">
        <v>162.98770131771641</v>
      </c>
      <c r="J12">
        <v>242.63557833089328</v>
      </c>
      <c r="K12">
        <f t="shared" si="3"/>
        <v>5.5863586247325339</v>
      </c>
      <c r="L12">
        <f t="shared" si="4"/>
        <v>5.7660464713124906</v>
      </c>
      <c r="M12" t="s">
        <v>18</v>
      </c>
      <c r="N12">
        <f>M5</f>
        <v>1.4120154070313884</v>
      </c>
    </row>
    <row r="13" spans="1:19" x14ac:dyDescent="0.3">
      <c r="A13">
        <v>6.2</v>
      </c>
      <c r="B13">
        <v>6.7</v>
      </c>
      <c r="C13">
        <v>5.3147877013177176</v>
      </c>
      <c r="D13">
        <v>5.4679355783308887</v>
      </c>
      <c r="E13">
        <f t="shared" si="0"/>
        <v>1.0906385788303712</v>
      </c>
      <c r="F13">
        <f t="shared" si="1"/>
        <v>0.78360081373837065</v>
      </c>
      <c r="G13">
        <f t="shared" si="2"/>
        <v>1.517982739142842</v>
      </c>
      <c r="H13">
        <v>177.90128843338192</v>
      </c>
      <c r="I13">
        <v>162.98770131771641</v>
      </c>
      <c r="J13">
        <v>242.63557833089328</v>
      </c>
      <c r="K13">
        <f t="shared" si="3"/>
        <v>6.4034049227750591</v>
      </c>
      <c r="L13">
        <f t="shared" si="4"/>
        <v>6.662940728444763</v>
      </c>
    </row>
    <row r="14" spans="1:19" x14ac:dyDescent="0.3">
      <c r="A14">
        <v>5.2</v>
      </c>
      <c r="B14">
        <v>5.4</v>
      </c>
      <c r="C14">
        <v>5.3147877013177176</v>
      </c>
      <c r="D14">
        <v>5.4679355783308887</v>
      </c>
      <c r="E14">
        <f t="shared" si="0"/>
        <v>7.7981688742924105E-3</v>
      </c>
      <c r="F14">
        <f t="shared" si="1"/>
        <v>1.3176216373805507E-2</v>
      </c>
      <c r="G14">
        <f t="shared" si="2"/>
        <v>4.615242803152269E-3</v>
      </c>
      <c r="H14">
        <v>177.90128843338192</v>
      </c>
      <c r="I14">
        <v>162.98770131771641</v>
      </c>
      <c r="J14">
        <v>242.63557833089328</v>
      </c>
      <c r="K14">
        <f t="shared" si="3"/>
        <v>5.2453699841875583</v>
      </c>
      <c r="L14">
        <f t="shared" si="4"/>
        <v>5.391733835437587</v>
      </c>
      <c r="M14" t="s">
        <v>19</v>
      </c>
      <c r="O14">
        <f>D2-N12*C2</f>
        <v>-2.0366265410306656</v>
      </c>
    </row>
    <row r="15" spans="1:19" x14ac:dyDescent="0.3">
      <c r="A15">
        <v>6</v>
      </c>
      <c r="B15">
        <v>6.3</v>
      </c>
      <c r="C15">
        <v>5.3147877013177176</v>
      </c>
      <c r="D15">
        <v>5.4679355783308887</v>
      </c>
      <c r="E15">
        <f t="shared" si="0"/>
        <v>0.57014077502363547</v>
      </c>
      <c r="F15">
        <f t="shared" si="1"/>
        <v>0.46951589426545737</v>
      </c>
      <c r="G15">
        <f t="shared" si="2"/>
        <v>0.69233120180755237</v>
      </c>
      <c r="H15">
        <v>177.90128843338192</v>
      </c>
      <c r="I15">
        <v>162.98770131771641</v>
      </c>
      <c r="J15">
        <v>242.63557833089328</v>
      </c>
      <c r="K15">
        <f t="shared" si="3"/>
        <v>6.0624162822300836</v>
      </c>
      <c r="L15">
        <f t="shared" si="4"/>
        <v>6.2886280925698603</v>
      </c>
    </row>
    <row r="16" spans="1:19" x14ac:dyDescent="0.3">
      <c r="A16">
        <v>5.3</v>
      </c>
      <c r="B16">
        <v>5.4</v>
      </c>
      <c r="C16">
        <v>5.3147877013177176</v>
      </c>
      <c r="D16">
        <v>5.4679355783308887</v>
      </c>
      <c r="E16">
        <f t="shared" si="0"/>
        <v>1.0046110412035977E-3</v>
      </c>
      <c r="F16">
        <f t="shared" si="1"/>
        <v>2.1867611026203226E-4</v>
      </c>
      <c r="G16">
        <f t="shared" si="2"/>
        <v>4.615242803152269E-3</v>
      </c>
      <c r="H16">
        <v>177.90128843338192</v>
      </c>
      <c r="I16">
        <v>162.98770131771641</v>
      </c>
      <c r="J16">
        <v>242.63557833089328</v>
      </c>
      <c r="K16">
        <f t="shared" si="3"/>
        <v>5.2596048004207958</v>
      </c>
      <c r="L16">
        <f t="shared" si="4"/>
        <v>5.4073597858415132</v>
      </c>
    </row>
    <row r="17" spans="1:12" x14ac:dyDescent="0.3">
      <c r="A17">
        <v>4.9000000000000004</v>
      </c>
      <c r="B17">
        <v>5.2</v>
      </c>
      <c r="C17">
        <v>5.3147877013177176</v>
      </c>
      <c r="D17">
        <v>5.4679355783308887</v>
      </c>
      <c r="E17">
        <f t="shared" si="0"/>
        <v>0.11113638263710243</v>
      </c>
      <c r="F17">
        <f t="shared" si="1"/>
        <v>0.17204883716443581</v>
      </c>
      <c r="G17">
        <f t="shared" si="2"/>
        <v>7.1789474135507708E-2</v>
      </c>
      <c r="H17">
        <v>177.90128843338192</v>
      </c>
      <c r="I17">
        <v>162.98770131771641</v>
      </c>
      <c r="J17">
        <v>242.63557833089328</v>
      </c>
      <c r="K17">
        <f t="shared" si="3"/>
        <v>5.0464060314485977</v>
      </c>
      <c r="L17">
        <f t="shared" si="4"/>
        <v>5.1733256166922859</v>
      </c>
    </row>
    <row r="18" spans="1:12" x14ac:dyDescent="0.3">
      <c r="A18">
        <v>5.5</v>
      </c>
      <c r="B18">
        <v>5.3</v>
      </c>
      <c r="C18">
        <v>5.3147877013177176</v>
      </c>
      <c r="D18">
        <v>5.4679355783308887</v>
      </c>
      <c r="E18">
        <f t="shared" si="0"/>
        <v>-3.1103734493202428E-2</v>
      </c>
      <c r="F18">
        <f t="shared" si="1"/>
        <v>3.4303595583174987E-2</v>
      </c>
      <c r="G18">
        <f t="shared" si="2"/>
        <v>2.8202358469330124E-2</v>
      </c>
      <c r="H18">
        <v>177.90128843338192</v>
      </c>
      <c r="I18">
        <v>162.98770131771641</v>
      </c>
      <c r="J18">
        <v>242.63557833089328</v>
      </c>
      <c r="K18">
        <f t="shared" si="3"/>
        <v>5.2099446808676424</v>
      </c>
      <c r="L18">
        <f t="shared" si="4"/>
        <v>5.3528465028826</v>
      </c>
    </row>
    <row r="19" spans="1:12" x14ac:dyDescent="0.3">
      <c r="A19">
        <v>5.7</v>
      </c>
      <c r="B19">
        <v>6.5</v>
      </c>
      <c r="C19">
        <v>5.3147877013177176</v>
      </c>
      <c r="D19">
        <v>5.4679355783308887</v>
      </c>
      <c r="E19">
        <f t="shared" si="0"/>
        <v>0.39756390825935894</v>
      </c>
      <c r="F19">
        <f t="shared" si="1"/>
        <v>0.14838851505608808</v>
      </c>
      <c r="G19">
        <f t="shared" si="2"/>
        <v>1.0651569704751971</v>
      </c>
      <c r="H19">
        <v>177.90128843338192</v>
      </c>
      <c r="I19">
        <v>162.98770131771641</v>
      </c>
      <c r="J19">
        <v>242.63557833089328</v>
      </c>
      <c r="K19">
        <f t="shared" si="3"/>
        <v>6.1759713375696252</v>
      </c>
      <c r="L19">
        <f t="shared" si="4"/>
        <v>6.4132806088916112</v>
      </c>
    </row>
    <row r="20" spans="1:12" x14ac:dyDescent="0.3">
      <c r="A20">
        <v>5.5</v>
      </c>
      <c r="B20">
        <v>5.3</v>
      </c>
      <c r="C20">
        <v>5.3147877013177176</v>
      </c>
      <c r="D20">
        <v>5.4679355783308887</v>
      </c>
      <c r="E20">
        <f t="shared" si="0"/>
        <v>-3.1103734493202428E-2</v>
      </c>
      <c r="F20">
        <f t="shared" si="1"/>
        <v>3.4303595583174987E-2</v>
      </c>
      <c r="G20">
        <f t="shared" si="2"/>
        <v>2.8202358469330124E-2</v>
      </c>
      <c r="H20">
        <v>177.90128843338192</v>
      </c>
      <c r="I20">
        <v>162.98770131771641</v>
      </c>
      <c r="J20">
        <v>242.63557833089328</v>
      </c>
      <c r="K20">
        <f t="shared" si="3"/>
        <v>5.2099446808676424</v>
      </c>
      <c r="L20">
        <f t="shared" si="4"/>
        <v>5.3528465028826</v>
      </c>
    </row>
    <row r="21" spans="1:12" x14ac:dyDescent="0.3">
      <c r="A21">
        <v>5.2</v>
      </c>
      <c r="B21">
        <v>5.2</v>
      </c>
      <c r="C21">
        <v>5.3147877013177176</v>
      </c>
      <c r="D21">
        <v>5.4679355783308887</v>
      </c>
      <c r="E21">
        <f t="shared" si="0"/>
        <v>3.0755709137835915E-2</v>
      </c>
      <c r="F21">
        <f t="shared" si="1"/>
        <v>1.3176216373805507E-2</v>
      </c>
      <c r="G21">
        <f t="shared" si="2"/>
        <v>7.1789474135507708E-2</v>
      </c>
      <c r="H21">
        <v>177.90128843338192</v>
      </c>
      <c r="I21">
        <v>162.98770131771641</v>
      </c>
      <c r="J21">
        <v>242.63557833089328</v>
      </c>
      <c r="K21">
        <f t="shared" si="3"/>
        <v>5.0891104801483067</v>
      </c>
      <c r="L21">
        <f t="shared" si="4"/>
        <v>5.2202034679040601</v>
      </c>
    </row>
    <row r="22" spans="1:12" x14ac:dyDescent="0.3">
      <c r="A22">
        <v>5.4</v>
      </c>
      <c r="B22">
        <v>5.0999999999999996</v>
      </c>
      <c r="C22">
        <v>5.3147877013177176</v>
      </c>
      <c r="D22">
        <v>5.4679355783308887</v>
      </c>
      <c r="E22">
        <f t="shared" si="0"/>
        <v>-3.1352636396570162E-2</v>
      </c>
      <c r="F22">
        <f t="shared" si="1"/>
        <v>7.2611358467185661E-3</v>
      </c>
      <c r="G22">
        <f t="shared" si="2"/>
        <v>0.13537658980168582</v>
      </c>
      <c r="H22">
        <v>177.90128843338192</v>
      </c>
      <c r="I22">
        <v>162.98770131771641</v>
      </c>
      <c r="J22">
        <v>242.63557833089328</v>
      </c>
      <c r="K22">
        <f t="shared" si="3"/>
        <v>5.0394503605951542</v>
      </c>
      <c r="L22">
        <f t="shared" si="4"/>
        <v>5.1656901849451478</v>
      </c>
    </row>
    <row r="23" spans="1:12" x14ac:dyDescent="0.3">
      <c r="A23">
        <v>5.0999999999999996</v>
      </c>
      <c r="B23">
        <v>5.4</v>
      </c>
      <c r="C23">
        <v>5.3147877013177176</v>
      </c>
      <c r="D23">
        <v>5.4679355783308887</v>
      </c>
      <c r="E23">
        <f t="shared" si="0"/>
        <v>1.4591726707381283E-2</v>
      </c>
      <c r="F23">
        <f t="shared" si="1"/>
        <v>4.613375663734922E-2</v>
      </c>
      <c r="G23">
        <f t="shared" si="2"/>
        <v>4.615242803152269E-3</v>
      </c>
      <c r="H23">
        <v>177.90128843338192</v>
      </c>
      <c r="I23">
        <v>162.98770131771641</v>
      </c>
      <c r="J23">
        <v>242.63557833089328</v>
      </c>
      <c r="K23">
        <f t="shared" si="3"/>
        <v>5.2311351679543217</v>
      </c>
      <c r="L23">
        <f t="shared" si="4"/>
        <v>5.3761078850336625</v>
      </c>
    </row>
    <row r="24" spans="1:12" x14ac:dyDescent="0.3">
      <c r="A24">
        <v>5.3</v>
      </c>
      <c r="B24">
        <v>5.2</v>
      </c>
      <c r="C24">
        <v>5.3147877013177176</v>
      </c>
      <c r="D24">
        <v>5.4679355783308887</v>
      </c>
      <c r="E24">
        <f t="shared" si="0"/>
        <v>3.9621513047471569E-3</v>
      </c>
      <c r="F24">
        <f t="shared" si="1"/>
        <v>2.1867611026203226E-4</v>
      </c>
      <c r="G24">
        <f t="shared" si="2"/>
        <v>7.1789474135507708E-2</v>
      </c>
      <c r="H24">
        <v>177.90128843338192</v>
      </c>
      <c r="I24">
        <v>162.98770131771641</v>
      </c>
      <c r="J24">
        <v>242.63557833089328</v>
      </c>
      <c r="K24">
        <f t="shared" si="3"/>
        <v>5.1033452963815442</v>
      </c>
      <c r="L24">
        <f t="shared" si="4"/>
        <v>5.2358294183079863</v>
      </c>
    </row>
    <row r="25" spans="1:12" x14ac:dyDescent="0.3">
      <c r="A25">
        <v>5.3</v>
      </c>
      <c r="B25">
        <v>5.3</v>
      </c>
      <c r="C25">
        <v>5.3147877013177176</v>
      </c>
      <c r="D25">
        <v>5.4679355783308887</v>
      </c>
      <c r="E25">
        <f t="shared" si="0"/>
        <v>2.4833811729753838E-3</v>
      </c>
      <c r="F25">
        <f t="shared" si="1"/>
        <v>2.1867611026203226E-4</v>
      </c>
      <c r="G25">
        <f t="shared" si="2"/>
        <v>2.8202358469330124E-2</v>
      </c>
      <c r="H25">
        <v>177.90128843338192</v>
      </c>
      <c r="I25">
        <v>162.98770131771641</v>
      </c>
      <c r="J25">
        <v>242.63557833089328</v>
      </c>
      <c r="K25">
        <f t="shared" si="3"/>
        <v>5.1814750484011682</v>
      </c>
      <c r="L25">
        <f t="shared" si="4"/>
        <v>5.3215946020747484</v>
      </c>
    </row>
    <row r="26" spans="1:12" x14ac:dyDescent="0.3">
      <c r="A26">
        <v>5.0999999999999996</v>
      </c>
      <c r="B26">
        <v>5.4</v>
      </c>
      <c r="C26">
        <v>5.3147877013177176</v>
      </c>
      <c r="D26">
        <v>5.4679355783308887</v>
      </c>
      <c r="E26">
        <f t="shared" si="0"/>
        <v>1.4591726707381283E-2</v>
      </c>
      <c r="F26">
        <f t="shared" si="1"/>
        <v>4.613375663734922E-2</v>
      </c>
      <c r="G26">
        <f t="shared" si="2"/>
        <v>4.615242803152269E-3</v>
      </c>
      <c r="H26">
        <v>177.90128843338192</v>
      </c>
      <c r="I26">
        <v>162.98770131771641</v>
      </c>
      <c r="J26">
        <v>242.63557833089328</v>
      </c>
      <c r="K26">
        <f t="shared" si="3"/>
        <v>5.2311351679543217</v>
      </c>
      <c r="L26">
        <f t="shared" si="4"/>
        <v>5.3761078850336625</v>
      </c>
    </row>
    <row r="27" spans="1:12" x14ac:dyDescent="0.3">
      <c r="A27">
        <v>5.2</v>
      </c>
      <c r="B27">
        <v>5.2</v>
      </c>
      <c r="C27">
        <v>5.3147877013177176</v>
      </c>
      <c r="D27">
        <v>5.4679355783308887</v>
      </c>
      <c r="E27">
        <f t="shared" si="0"/>
        <v>3.0755709137835915E-2</v>
      </c>
      <c r="F27">
        <f t="shared" si="1"/>
        <v>1.3176216373805507E-2</v>
      </c>
      <c r="G27">
        <f t="shared" si="2"/>
        <v>7.1789474135507708E-2</v>
      </c>
      <c r="H27">
        <v>177.90128843338192</v>
      </c>
      <c r="I27">
        <v>162.98770131771641</v>
      </c>
      <c r="J27">
        <v>242.63557833089328</v>
      </c>
      <c r="K27">
        <f t="shared" si="3"/>
        <v>5.0891104801483067</v>
      </c>
      <c r="L27">
        <f t="shared" si="4"/>
        <v>5.2202034679040601</v>
      </c>
    </row>
    <row r="28" spans="1:12" x14ac:dyDescent="0.3">
      <c r="A28">
        <v>5.5</v>
      </c>
      <c r="B28">
        <v>5.9</v>
      </c>
      <c r="C28">
        <v>5.3147877013177176</v>
      </c>
      <c r="D28">
        <v>5.4679355783308887</v>
      </c>
      <c r="E28">
        <f t="shared" si="0"/>
        <v>8.0023644716167103E-2</v>
      </c>
      <c r="F28">
        <f t="shared" si="1"/>
        <v>3.4303595583174987E-2</v>
      </c>
      <c r="G28">
        <f t="shared" si="2"/>
        <v>0.18667966447226389</v>
      </c>
      <c r="H28">
        <v>177.90128843338192</v>
      </c>
      <c r="I28">
        <v>162.98770131771641</v>
      </c>
      <c r="J28">
        <v>242.63557833089328</v>
      </c>
      <c r="K28">
        <f t="shared" si="3"/>
        <v>5.6787231929853972</v>
      </c>
      <c r="L28">
        <f t="shared" si="4"/>
        <v>5.8674376054831807</v>
      </c>
    </row>
    <row r="29" spans="1:12" x14ac:dyDescent="0.3">
      <c r="A29">
        <v>5.5</v>
      </c>
      <c r="B29">
        <v>5.7</v>
      </c>
      <c r="C29">
        <v>5.3147877013177176</v>
      </c>
      <c r="D29">
        <v>5.4679355783308887</v>
      </c>
      <c r="E29">
        <f t="shared" si="0"/>
        <v>4.2981184979710596E-2</v>
      </c>
      <c r="F29">
        <f t="shared" si="1"/>
        <v>3.4303595583174987E-2</v>
      </c>
      <c r="G29">
        <f t="shared" si="2"/>
        <v>5.3853895804619169E-2</v>
      </c>
      <c r="H29">
        <v>177.90128843338192</v>
      </c>
      <c r="I29">
        <v>162.98770131771641</v>
      </c>
      <c r="J29">
        <v>242.63557833089328</v>
      </c>
      <c r="K29">
        <f t="shared" si="3"/>
        <v>5.5224636889461456</v>
      </c>
      <c r="L29">
        <f t="shared" si="4"/>
        <v>5.6959072379496538</v>
      </c>
    </row>
    <row r="30" spans="1:12" x14ac:dyDescent="0.3">
      <c r="A30">
        <v>5</v>
      </c>
      <c r="B30">
        <v>5.0999999999999996</v>
      </c>
      <c r="C30">
        <v>5.3147877013177176</v>
      </c>
      <c r="D30">
        <v>5.4679355783308887</v>
      </c>
      <c r="E30">
        <f t="shared" si="0"/>
        <v>0.1158215949357856</v>
      </c>
      <c r="F30">
        <f t="shared" si="1"/>
        <v>9.9091296900892592E-2</v>
      </c>
      <c r="G30">
        <f t="shared" si="2"/>
        <v>0.13537658980168582</v>
      </c>
      <c r="H30">
        <v>177.90128843338192</v>
      </c>
      <c r="I30">
        <v>162.98770131771641</v>
      </c>
      <c r="J30">
        <v>242.63557833089328</v>
      </c>
      <c r="K30">
        <f t="shared" si="3"/>
        <v>4.9825110956622076</v>
      </c>
      <c r="L30">
        <f t="shared" si="4"/>
        <v>5.1031863833294464</v>
      </c>
    </row>
    <row r="31" spans="1:12" x14ac:dyDescent="0.3">
      <c r="A31">
        <v>5.4</v>
      </c>
      <c r="B31">
        <v>5.4</v>
      </c>
      <c r="C31">
        <v>5.3147877013177176</v>
      </c>
      <c r="D31">
        <v>5.4679355783308887</v>
      </c>
      <c r="E31">
        <f t="shared" si="0"/>
        <v>-5.7889467918852758E-3</v>
      </c>
      <c r="F31">
        <f t="shared" si="1"/>
        <v>7.2611358467185661E-3</v>
      </c>
      <c r="G31">
        <f t="shared" si="2"/>
        <v>4.615242803152269E-3</v>
      </c>
      <c r="H31">
        <v>177.90128843338192</v>
      </c>
      <c r="I31">
        <v>162.98770131771641</v>
      </c>
      <c r="J31">
        <v>242.63557833089328</v>
      </c>
      <c r="K31">
        <f t="shared" si="3"/>
        <v>5.2738396166540316</v>
      </c>
      <c r="L31">
        <f t="shared" si="4"/>
        <v>5.4229857362454377</v>
      </c>
    </row>
    <row r="32" spans="1:12" x14ac:dyDescent="0.3">
      <c r="A32">
        <v>6.1</v>
      </c>
      <c r="B32">
        <v>6.3</v>
      </c>
      <c r="C32">
        <v>5.3147877013177176</v>
      </c>
      <c r="D32">
        <v>5.4679355783308887</v>
      </c>
      <c r="E32">
        <f t="shared" si="0"/>
        <v>0.65334721719054634</v>
      </c>
      <c r="F32">
        <f t="shared" si="1"/>
        <v>0.61655835400191328</v>
      </c>
      <c r="G32">
        <f t="shared" si="2"/>
        <v>0.69233120180755237</v>
      </c>
      <c r="H32">
        <v>177.90128843338192</v>
      </c>
      <c r="I32">
        <v>162.98770131771641</v>
      </c>
      <c r="J32">
        <v>242.63557833089328</v>
      </c>
      <c r="K32">
        <f t="shared" si="3"/>
        <v>6.0766510984633193</v>
      </c>
      <c r="L32">
        <f t="shared" si="4"/>
        <v>6.3042540429737839</v>
      </c>
    </row>
    <row r="33" spans="1:12" x14ac:dyDescent="0.3">
      <c r="A33">
        <v>5.8</v>
      </c>
      <c r="B33">
        <v>5.9</v>
      </c>
      <c r="C33">
        <v>5.3147877013177176</v>
      </c>
      <c r="D33">
        <v>5.4679355783308887</v>
      </c>
      <c r="E33">
        <f t="shared" si="0"/>
        <v>0.20964297121690051</v>
      </c>
      <c r="F33">
        <f t="shared" si="1"/>
        <v>0.23543097479254424</v>
      </c>
      <c r="G33">
        <f t="shared" si="2"/>
        <v>0.18667966447226389</v>
      </c>
      <c r="H33">
        <v>177.90128843338192</v>
      </c>
      <c r="I33">
        <v>162.98770131771641</v>
      </c>
      <c r="J33">
        <v>242.63557833089328</v>
      </c>
      <c r="K33">
        <f t="shared" si="3"/>
        <v>5.7214276416851062</v>
      </c>
      <c r="L33">
        <f t="shared" si="4"/>
        <v>5.914315456694955</v>
      </c>
    </row>
    <row r="34" spans="1:12" x14ac:dyDescent="0.3">
      <c r="A34">
        <v>5.9</v>
      </c>
      <c r="B34">
        <v>6.1</v>
      </c>
      <c r="C34">
        <v>5.3147877013177176</v>
      </c>
      <c r="D34">
        <v>5.4679355783308887</v>
      </c>
      <c r="E34">
        <f t="shared" si="0"/>
        <v>0.36989187312026806</v>
      </c>
      <c r="F34">
        <f t="shared" si="1"/>
        <v>0.34247343452900131</v>
      </c>
      <c r="G34">
        <f t="shared" si="2"/>
        <v>0.39950543313990766</v>
      </c>
      <c r="H34">
        <v>177.90128843338192</v>
      </c>
      <c r="I34">
        <v>162.98770131771641</v>
      </c>
      <c r="J34">
        <v>242.63557833089328</v>
      </c>
      <c r="K34">
        <f t="shared" si="3"/>
        <v>5.8919219619575944</v>
      </c>
      <c r="L34">
        <f t="shared" si="4"/>
        <v>6.1014717746324072</v>
      </c>
    </row>
    <row r="35" spans="1:12" x14ac:dyDescent="0.3">
      <c r="A35">
        <v>5.3</v>
      </c>
      <c r="B35">
        <v>5.4</v>
      </c>
      <c r="C35">
        <v>5.3147877013177176</v>
      </c>
      <c r="D35">
        <v>5.4679355783308887</v>
      </c>
      <c r="E35">
        <f t="shared" si="0"/>
        <v>1.0046110412035977E-3</v>
      </c>
      <c r="F35">
        <f t="shared" si="1"/>
        <v>2.1867611026203226E-4</v>
      </c>
      <c r="G35">
        <f t="shared" si="2"/>
        <v>4.615242803152269E-3</v>
      </c>
      <c r="H35">
        <v>177.90128843338192</v>
      </c>
      <c r="I35">
        <v>162.98770131771641</v>
      </c>
      <c r="J35">
        <v>242.63557833089328</v>
      </c>
      <c r="K35">
        <f t="shared" si="3"/>
        <v>5.2596048004207958</v>
      </c>
      <c r="L35">
        <f t="shared" si="4"/>
        <v>5.4073597858415132</v>
      </c>
    </row>
    <row r="36" spans="1:12" x14ac:dyDescent="0.3">
      <c r="A36">
        <v>5.6</v>
      </c>
      <c r="B36">
        <v>5.6</v>
      </c>
      <c r="C36">
        <v>5.3147877013177176</v>
      </c>
      <c r="D36">
        <v>5.4679355783308887</v>
      </c>
      <c r="E36">
        <f t="shared" si="0"/>
        <v>3.7666397278393306E-2</v>
      </c>
      <c r="F36">
        <f t="shared" si="1"/>
        <v>8.1346055319631266E-2</v>
      </c>
      <c r="G36">
        <f t="shared" si="2"/>
        <v>1.7441011470796734E-2</v>
      </c>
      <c r="H36">
        <v>177.90128843338192</v>
      </c>
      <c r="I36">
        <v>162.98770131771641</v>
      </c>
      <c r="J36">
        <v>242.63557833089328</v>
      </c>
      <c r="K36">
        <f t="shared" si="3"/>
        <v>5.4585687531597555</v>
      </c>
      <c r="L36">
        <f t="shared" si="4"/>
        <v>5.6257680045868144</v>
      </c>
    </row>
    <row r="37" spans="1:12" x14ac:dyDescent="0.3">
      <c r="A37">
        <v>5</v>
      </c>
      <c r="B37">
        <v>5.0999999999999996</v>
      </c>
      <c r="C37">
        <v>5.3147877013177176</v>
      </c>
      <c r="D37">
        <v>5.4679355783308887</v>
      </c>
      <c r="E37">
        <f t="shared" si="0"/>
        <v>0.1158215949357856</v>
      </c>
      <c r="F37">
        <f t="shared" si="1"/>
        <v>9.9091296900892592E-2</v>
      </c>
      <c r="G37">
        <f t="shared" si="2"/>
        <v>0.13537658980168582</v>
      </c>
      <c r="H37">
        <v>177.90128843338192</v>
      </c>
      <c r="I37">
        <v>162.98770131771641</v>
      </c>
      <c r="J37">
        <v>242.63557833089328</v>
      </c>
      <c r="K37">
        <f t="shared" si="3"/>
        <v>4.9825110956622076</v>
      </c>
      <c r="L37">
        <f t="shared" si="4"/>
        <v>5.1031863833294464</v>
      </c>
    </row>
    <row r="38" spans="1:12" x14ac:dyDescent="0.3">
      <c r="A38">
        <v>6.1</v>
      </c>
      <c r="B38">
        <v>7.6</v>
      </c>
      <c r="C38">
        <v>5.3147877013177176</v>
      </c>
      <c r="D38">
        <v>5.4679355783308887</v>
      </c>
      <c r="E38">
        <f t="shared" si="0"/>
        <v>1.6741232054775128</v>
      </c>
      <c r="F38">
        <f t="shared" si="1"/>
        <v>0.61655835400191328</v>
      </c>
      <c r="G38">
        <f t="shared" si="2"/>
        <v>4.5456986981472403</v>
      </c>
      <c r="H38">
        <v>177.90128843338192</v>
      </c>
      <c r="I38">
        <v>162.98770131771641</v>
      </c>
      <c r="J38">
        <v>242.63557833089328</v>
      </c>
      <c r="K38">
        <f t="shared" si="3"/>
        <v>7.0923378747184538</v>
      </c>
      <c r="L38">
        <f t="shared" si="4"/>
        <v>7.4192014319417083</v>
      </c>
    </row>
    <row r="39" spans="1:12" x14ac:dyDescent="0.3">
      <c r="A39">
        <v>6.1</v>
      </c>
      <c r="B39">
        <v>6.4</v>
      </c>
      <c r="C39">
        <v>5.3147877013177176</v>
      </c>
      <c r="D39">
        <v>5.4679355783308887</v>
      </c>
      <c r="E39">
        <f t="shared" si="0"/>
        <v>0.73186844705877496</v>
      </c>
      <c r="F39">
        <f t="shared" si="1"/>
        <v>0.61655835400191328</v>
      </c>
      <c r="G39">
        <f t="shared" si="2"/>
        <v>0.86874408614137555</v>
      </c>
      <c r="H39">
        <v>177.90128843338192</v>
      </c>
      <c r="I39">
        <v>162.98770131771641</v>
      </c>
      <c r="J39">
        <v>242.63557833089328</v>
      </c>
      <c r="K39">
        <f t="shared" si="3"/>
        <v>6.1547808504829451</v>
      </c>
      <c r="L39">
        <f t="shared" si="4"/>
        <v>6.3900192267405478</v>
      </c>
    </row>
    <row r="40" spans="1:12" x14ac:dyDescent="0.3">
      <c r="A40">
        <v>5.0999999999999996</v>
      </c>
      <c r="B40">
        <v>5.7</v>
      </c>
      <c r="C40">
        <v>5.3147877013177176</v>
      </c>
      <c r="D40">
        <v>5.4679355783308887</v>
      </c>
      <c r="E40">
        <f t="shared" si="0"/>
        <v>-4.9844583687934069E-2</v>
      </c>
      <c r="F40">
        <f t="shared" si="1"/>
        <v>4.613375663734922E-2</v>
      </c>
      <c r="G40">
        <f t="shared" si="2"/>
        <v>5.3853895804619169E-2</v>
      </c>
      <c r="H40">
        <v>177.90128843338192</v>
      </c>
      <c r="I40">
        <v>162.98770131771641</v>
      </c>
      <c r="J40">
        <v>242.63557833089328</v>
      </c>
      <c r="K40">
        <f t="shared" si="3"/>
        <v>5.465524424013199</v>
      </c>
      <c r="L40">
        <f t="shared" si="4"/>
        <v>5.6334034363339525</v>
      </c>
    </row>
    <row r="41" spans="1:12" x14ac:dyDescent="0.3">
      <c r="A41">
        <v>5</v>
      </c>
      <c r="B41">
        <v>5.0999999999999996</v>
      </c>
      <c r="C41">
        <v>5.3147877013177176</v>
      </c>
      <c r="D41">
        <v>5.4679355783308887</v>
      </c>
      <c r="E41">
        <f t="shared" si="0"/>
        <v>0.1158215949357856</v>
      </c>
      <c r="F41">
        <f t="shared" si="1"/>
        <v>9.9091296900892592E-2</v>
      </c>
      <c r="G41">
        <f t="shared" si="2"/>
        <v>0.13537658980168582</v>
      </c>
      <c r="H41">
        <v>177.90128843338192</v>
      </c>
      <c r="I41">
        <v>162.98770131771641</v>
      </c>
      <c r="J41">
        <v>242.63557833089328</v>
      </c>
      <c r="K41">
        <f t="shared" si="3"/>
        <v>4.9825110956622076</v>
      </c>
      <c r="L41">
        <f t="shared" si="4"/>
        <v>5.1031863833294464</v>
      </c>
    </row>
    <row r="42" spans="1:12" x14ac:dyDescent="0.3">
      <c r="A42">
        <v>6</v>
      </c>
      <c r="B42">
        <v>6</v>
      </c>
      <c r="C42">
        <v>5.3147877013177176</v>
      </c>
      <c r="D42">
        <v>5.4679355783308887</v>
      </c>
      <c r="E42">
        <f t="shared" si="0"/>
        <v>0.3645770854189509</v>
      </c>
      <c r="F42">
        <f t="shared" si="1"/>
        <v>0.46951589426545737</v>
      </c>
      <c r="G42">
        <f t="shared" si="2"/>
        <v>0.28309254880608586</v>
      </c>
      <c r="H42">
        <v>177.90128843338192</v>
      </c>
      <c r="I42">
        <v>162.98770131771641</v>
      </c>
      <c r="J42">
        <v>242.63557833089328</v>
      </c>
      <c r="K42">
        <f t="shared" si="3"/>
        <v>5.8280270261712062</v>
      </c>
      <c r="L42">
        <f t="shared" si="4"/>
        <v>6.0313325412695695</v>
      </c>
    </row>
    <row r="43" spans="1:12" x14ac:dyDescent="0.3">
      <c r="A43">
        <v>6</v>
      </c>
      <c r="B43">
        <v>6.5</v>
      </c>
      <c r="C43">
        <v>5.3147877013177176</v>
      </c>
      <c r="D43">
        <v>5.4679355783308887</v>
      </c>
      <c r="E43">
        <f t="shared" si="0"/>
        <v>0.70718323476009215</v>
      </c>
      <c r="F43">
        <f t="shared" si="1"/>
        <v>0.46951589426545737</v>
      </c>
      <c r="G43">
        <f t="shared" si="2"/>
        <v>1.0651569704751971</v>
      </c>
      <c r="H43">
        <v>177.90128843338192</v>
      </c>
      <c r="I43">
        <v>162.98770131771641</v>
      </c>
      <c r="J43">
        <v>242.63557833089328</v>
      </c>
      <c r="K43">
        <f t="shared" si="3"/>
        <v>6.2186757862693351</v>
      </c>
      <c r="L43">
        <f t="shared" si="4"/>
        <v>6.4601584601033872</v>
      </c>
    </row>
    <row r="44" spans="1:12" x14ac:dyDescent="0.3">
      <c r="A44">
        <v>5.8</v>
      </c>
      <c r="B44">
        <v>5.6</v>
      </c>
      <c r="C44">
        <v>5.3147877013177176</v>
      </c>
      <c r="D44">
        <v>5.4679355783308887</v>
      </c>
      <c r="E44">
        <f t="shared" si="0"/>
        <v>6.4079281612215516E-2</v>
      </c>
      <c r="F44">
        <f t="shared" si="1"/>
        <v>0.23543097479254424</v>
      </c>
      <c r="G44">
        <f t="shared" si="2"/>
        <v>1.7441011470796734E-2</v>
      </c>
      <c r="H44">
        <v>177.90128843338192</v>
      </c>
      <c r="I44">
        <v>162.98770131771641</v>
      </c>
      <c r="J44">
        <v>242.63557833089328</v>
      </c>
      <c r="K44">
        <f t="shared" si="3"/>
        <v>5.4870383856262288</v>
      </c>
      <c r="L44">
        <f t="shared" si="4"/>
        <v>5.6570199053946641</v>
      </c>
    </row>
    <row r="45" spans="1:12" x14ac:dyDescent="0.3">
      <c r="A45">
        <v>5</v>
      </c>
      <c r="B45">
        <v>5.2</v>
      </c>
      <c r="C45">
        <v>5.3147877013177176</v>
      </c>
      <c r="D45">
        <v>5.4679355783308887</v>
      </c>
      <c r="E45">
        <f t="shared" si="0"/>
        <v>8.4342824804013672E-2</v>
      </c>
      <c r="F45">
        <f t="shared" si="1"/>
        <v>9.9091296900892592E-2</v>
      </c>
      <c r="G45">
        <f t="shared" si="2"/>
        <v>7.1789474135507708E-2</v>
      </c>
      <c r="H45">
        <v>177.90128843338192</v>
      </c>
      <c r="I45">
        <v>162.98770131771641</v>
      </c>
      <c r="J45">
        <v>242.63557833089328</v>
      </c>
      <c r="K45">
        <f t="shared" si="3"/>
        <v>5.0606408476818334</v>
      </c>
      <c r="L45">
        <f t="shared" si="4"/>
        <v>5.1889515670962103</v>
      </c>
    </row>
    <row r="46" spans="1:12" x14ac:dyDescent="0.3">
      <c r="A46">
        <v>5.0999999999999996</v>
      </c>
      <c r="B46">
        <v>5.5</v>
      </c>
      <c r="C46">
        <v>5.3147877013177176</v>
      </c>
      <c r="D46">
        <v>5.4679355783308887</v>
      </c>
      <c r="E46">
        <f t="shared" si="0"/>
        <v>-6.8870434243904367E-3</v>
      </c>
      <c r="F46">
        <f t="shared" si="1"/>
        <v>4.613375663734922E-2</v>
      </c>
      <c r="G46">
        <f t="shared" si="2"/>
        <v>1.0281271369745727E-3</v>
      </c>
      <c r="H46">
        <v>177.90128843338192</v>
      </c>
      <c r="I46">
        <v>162.98770131771641</v>
      </c>
      <c r="J46">
        <v>242.63557833089328</v>
      </c>
      <c r="K46">
        <f t="shared" si="3"/>
        <v>5.3092649199739474</v>
      </c>
      <c r="L46">
        <f t="shared" si="4"/>
        <v>5.4618730688004256</v>
      </c>
    </row>
    <row r="47" spans="1:12" x14ac:dyDescent="0.3">
      <c r="A47">
        <v>5.5</v>
      </c>
      <c r="B47">
        <v>5.3</v>
      </c>
      <c r="C47">
        <v>5.3147877013177176</v>
      </c>
      <c r="D47">
        <v>5.4679355783308887</v>
      </c>
      <c r="E47">
        <f t="shared" si="0"/>
        <v>-3.1103734493202428E-2</v>
      </c>
      <c r="F47">
        <f t="shared" si="1"/>
        <v>3.4303595583174987E-2</v>
      </c>
      <c r="G47">
        <f t="shared" si="2"/>
        <v>2.8202358469330124E-2</v>
      </c>
      <c r="H47">
        <v>177.90128843338192</v>
      </c>
      <c r="I47">
        <v>162.98770131771641</v>
      </c>
      <c r="J47">
        <v>242.63557833089328</v>
      </c>
      <c r="K47">
        <f t="shared" si="3"/>
        <v>5.2099446808676424</v>
      </c>
      <c r="L47">
        <f t="shared" si="4"/>
        <v>5.3528465028826</v>
      </c>
    </row>
    <row r="48" spans="1:12" x14ac:dyDescent="0.3">
      <c r="A48">
        <v>5.0999999999999996</v>
      </c>
      <c r="B48">
        <v>5.0999999999999996</v>
      </c>
      <c r="C48">
        <v>5.3147877013177176</v>
      </c>
      <c r="D48">
        <v>5.4679355783308887</v>
      </c>
      <c r="E48">
        <f t="shared" si="0"/>
        <v>7.9028037102696819E-2</v>
      </c>
      <c r="F48">
        <f t="shared" si="1"/>
        <v>4.613375663734922E-2</v>
      </c>
      <c r="G48">
        <f t="shared" si="2"/>
        <v>0.13537658980168582</v>
      </c>
      <c r="H48">
        <v>177.90128843338192</v>
      </c>
      <c r="I48">
        <v>162.98770131771641</v>
      </c>
      <c r="J48">
        <v>242.63557833089328</v>
      </c>
      <c r="K48">
        <f t="shared" si="3"/>
        <v>4.9967459118954443</v>
      </c>
      <c r="L48">
        <f t="shared" si="4"/>
        <v>5.1188123337333717</v>
      </c>
    </row>
    <row r="49" spans="1:12" x14ac:dyDescent="0.3">
      <c r="A49">
        <v>5.2</v>
      </c>
      <c r="B49">
        <v>5.3</v>
      </c>
      <c r="C49">
        <v>5.3147877013177176</v>
      </c>
      <c r="D49">
        <v>5.4679355783308887</v>
      </c>
      <c r="E49">
        <f t="shared" si="0"/>
        <v>1.9276939006064215E-2</v>
      </c>
      <c r="F49">
        <f t="shared" si="1"/>
        <v>1.3176216373805507E-2</v>
      </c>
      <c r="G49">
        <f t="shared" si="2"/>
        <v>2.8202358469330124E-2</v>
      </c>
      <c r="H49">
        <v>177.90128843338192</v>
      </c>
      <c r="I49">
        <v>162.98770131771641</v>
      </c>
      <c r="J49">
        <v>242.63557833089328</v>
      </c>
      <c r="K49">
        <f t="shared" si="3"/>
        <v>5.1672402321679325</v>
      </c>
      <c r="L49">
        <f t="shared" si="4"/>
        <v>5.305968651670824</v>
      </c>
    </row>
    <row r="50" spans="1:12" x14ac:dyDescent="0.3">
      <c r="A50">
        <v>5.7</v>
      </c>
      <c r="B50">
        <v>6.2</v>
      </c>
      <c r="C50">
        <v>5.3147877013177176</v>
      </c>
      <c r="D50">
        <v>5.4679355783308887</v>
      </c>
      <c r="E50">
        <f t="shared" si="0"/>
        <v>0.28200021865467423</v>
      </c>
      <c r="F50">
        <f t="shared" si="1"/>
        <v>0.14838851505608808</v>
      </c>
      <c r="G50">
        <f t="shared" si="2"/>
        <v>0.53591831747373064</v>
      </c>
      <c r="H50">
        <v>177.90128843338192</v>
      </c>
      <c r="I50">
        <v>162.98770131771641</v>
      </c>
      <c r="J50">
        <v>242.63557833089328</v>
      </c>
      <c r="K50">
        <f t="shared" si="3"/>
        <v>5.941582081510747</v>
      </c>
      <c r="L50">
        <f t="shared" si="4"/>
        <v>6.1559850575913204</v>
      </c>
    </row>
    <row r="51" spans="1:12" x14ac:dyDescent="0.3">
      <c r="A51">
        <v>5.3</v>
      </c>
      <c r="B51">
        <v>5.3</v>
      </c>
      <c r="C51">
        <v>5.3147877013177176</v>
      </c>
      <c r="D51">
        <v>5.4679355783308887</v>
      </c>
      <c r="E51">
        <f t="shared" si="0"/>
        <v>2.4833811729753838E-3</v>
      </c>
      <c r="F51">
        <f t="shared" si="1"/>
        <v>2.1867611026203226E-4</v>
      </c>
      <c r="G51">
        <f t="shared" si="2"/>
        <v>2.8202358469330124E-2</v>
      </c>
      <c r="H51">
        <v>177.90128843338192</v>
      </c>
      <c r="I51">
        <v>162.98770131771641</v>
      </c>
      <c r="J51">
        <v>242.63557833089328</v>
      </c>
      <c r="K51">
        <f t="shared" si="3"/>
        <v>5.1814750484011682</v>
      </c>
      <c r="L51">
        <f t="shared" si="4"/>
        <v>5.3215946020747484</v>
      </c>
    </row>
    <row r="52" spans="1:12" x14ac:dyDescent="0.3">
      <c r="A52">
        <v>5.6</v>
      </c>
      <c r="B52">
        <v>5.5</v>
      </c>
      <c r="C52">
        <v>5.3147877013177176</v>
      </c>
      <c r="D52">
        <v>5.4679355783308887</v>
      </c>
      <c r="E52">
        <f t="shared" si="0"/>
        <v>9.1451674101652013E-3</v>
      </c>
      <c r="F52">
        <f t="shared" si="1"/>
        <v>8.1346055319631266E-2</v>
      </c>
      <c r="G52">
        <f t="shared" si="2"/>
        <v>1.0281271369745727E-3</v>
      </c>
      <c r="H52">
        <v>177.90128843338192</v>
      </c>
      <c r="I52">
        <v>162.98770131771641</v>
      </c>
      <c r="J52">
        <v>242.63557833089328</v>
      </c>
      <c r="K52">
        <f t="shared" si="3"/>
        <v>5.3804390011401306</v>
      </c>
      <c r="L52">
        <f t="shared" si="4"/>
        <v>5.5400028208200514</v>
      </c>
    </row>
    <row r="53" spans="1:12" x14ac:dyDescent="0.3">
      <c r="A53">
        <v>5.8</v>
      </c>
      <c r="B53">
        <v>5.8</v>
      </c>
      <c r="C53">
        <v>5.3147877013177176</v>
      </c>
      <c r="D53">
        <v>5.4679355783308887</v>
      </c>
      <c r="E53">
        <f t="shared" si="0"/>
        <v>0.16112174134867205</v>
      </c>
      <c r="F53">
        <f t="shared" si="1"/>
        <v>0.23543097479254424</v>
      </c>
      <c r="G53">
        <f t="shared" si="2"/>
        <v>0.11026678013844123</v>
      </c>
      <c r="H53">
        <v>177.90128843338192</v>
      </c>
      <c r="I53">
        <v>162.98770131771641</v>
      </c>
      <c r="J53">
        <v>242.63557833089328</v>
      </c>
      <c r="K53">
        <f t="shared" si="3"/>
        <v>5.6432978896654804</v>
      </c>
      <c r="L53">
        <f t="shared" si="4"/>
        <v>5.8285502729281911</v>
      </c>
    </row>
    <row r="54" spans="1:12" x14ac:dyDescent="0.3">
      <c r="A54">
        <v>5.6</v>
      </c>
      <c r="B54">
        <v>5.2</v>
      </c>
      <c r="C54">
        <v>5.3147877013177176</v>
      </c>
      <c r="D54">
        <v>5.4679355783308887</v>
      </c>
      <c r="E54">
        <f t="shared" si="0"/>
        <v>-7.6418522194519362E-2</v>
      </c>
      <c r="F54">
        <f t="shared" si="1"/>
        <v>8.1346055319631266E-2</v>
      </c>
      <c r="G54">
        <f t="shared" si="2"/>
        <v>7.1789474135507708E-2</v>
      </c>
      <c r="H54">
        <v>177.90128843338192</v>
      </c>
      <c r="I54">
        <v>162.98770131771641</v>
      </c>
      <c r="J54">
        <v>242.63557833089328</v>
      </c>
      <c r="K54">
        <f t="shared" si="3"/>
        <v>5.1460497450812532</v>
      </c>
      <c r="L54">
        <f t="shared" si="4"/>
        <v>5.2827072695197614</v>
      </c>
    </row>
    <row r="55" spans="1:12" x14ac:dyDescent="0.3">
      <c r="A55">
        <v>5.3</v>
      </c>
      <c r="B55">
        <v>5.6</v>
      </c>
      <c r="C55">
        <v>5.3147877013177176</v>
      </c>
      <c r="D55">
        <v>5.4679355783308887</v>
      </c>
      <c r="E55">
        <f t="shared" si="0"/>
        <v>-1.9529292223399485E-3</v>
      </c>
      <c r="F55">
        <f t="shared" si="1"/>
        <v>2.1867611026203226E-4</v>
      </c>
      <c r="G55">
        <f t="shared" si="2"/>
        <v>1.7441011470796734E-2</v>
      </c>
      <c r="H55">
        <v>177.90128843338192</v>
      </c>
      <c r="I55">
        <v>162.98770131771641</v>
      </c>
      <c r="J55">
        <v>242.63557833089328</v>
      </c>
      <c r="K55">
        <f t="shared" si="3"/>
        <v>5.4158643044600456</v>
      </c>
      <c r="L55">
        <f t="shared" si="4"/>
        <v>5.5788901533750384</v>
      </c>
    </row>
    <row r="56" spans="1:12" x14ac:dyDescent="0.3">
      <c r="A56">
        <v>5.8</v>
      </c>
      <c r="B56">
        <v>5.7</v>
      </c>
      <c r="C56">
        <v>5.3147877013177176</v>
      </c>
      <c r="D56">
        <v>5.4679355783308887</v>
      </c>
      <c r="E56">
        <f t="shared" si="0"/>
        <v>0.11260051148044399</v>
      </c>
      <c r="F56">
        <f t="shared" si="1"/>
        <v>0.23543097479254424</v>
      </c>
      <c r="G56">
        <f t="shared" si="2"/>
        <v>5.3853895804619169E-2</v>
      </c>
      <c r="H56">
        <v>177.90128843338192</v>
      </c>
      <c r="I56">
        <v>162.98770131771641</v>
      </c>
      <c r="J56">
        <v>242.63557833089328</v>
      </c>
      <c r="K56">
        <f t="shared" si="3"/>
        <v>5.5651681376458555</v>
      </c>
      <c r="L56">
        <f t="shared" si="4"/>
        <v>5.7427850891614289</v>
      </c>
    </row>
    <row r="57" spans="1:12" x14ac:dyDescent="0.3">
      <c r="A57">
        <v>5.6</v>
      </c>
      <c r="B57">
        <v>5.6</v>
      </c>
      <c r="C57">
        <v>5.3147877013177176</v>
      </c>
      <c r="D57">
        <v>5.4679355783308887</v>
      </c>
      <c r="E57">
        <f t="shared" si="0"/>
        <v>3.7666397278393306E-2</v>
      </c>
      <c r="F57">
        <f t="shared" si="1"/>
        <v>8.1346055319631266E-2</v>
      </c>
      <c r="G57">
        <f t="shared" si="2"/>
        <v>1.7441011470796734E-2</v>
      </c>
      <c r="H57">
        <v>177.90128843338192</v>
      </c>
      <c r="I57">
        <v>162.98770131771641</v>
      </c>
      <c r="J57">
        <v>242.63557833089328</v>
      </c>
      <c r="K57">
        <f t="shared" si="3"/>
        <v>5.4585687531597555</v>
      </c>
      <c r="L57">
        <f t="shared" si="4"/>
        <v>5.6257680045868144</v>
      </c>
    </row>
    <row r="58" spans="1:12" x14ac:dyDescent="0.3">
      <c r="A58">
        <v>6</v>
      </c>
      <c r="B58">
        <v>6.1</v>
      </c>
      <c r="C58">
        <v>5.3147877013177176</v>
      </c>
      <c r="D58">
        <v>5.4679355783308887</v>
      </c>
      <c r="E58">
        <f t="shared" si="0"/>
        <v>0.4330983152871789</v>
      </c>
      <c r="F58">
        <f t="shared" si="1"/>
        <v>0.46951589426545737</v>
      </c>
      <c r="G58">
        <f t="shared" si="2"/>
        <v>0.39950543313990766</v>
      </c>
      <c r="H58">
        <v>177.90128843338192</v>
      </c>
      <c r="I58">
        <v>162.98770131771641</v>
      </c>
      <c r="J58">
        <v>242.63557833089328</v>
      </c>
      <c r="K58">
        <f t="shared" si="3"/>
        <v>5.906156778190832</v>
      </c>
      <c r="L58">
        <f t="shared" si="4"/>
        <v>6.1170977250363334</v>
      </c>
    </row>
    <row r="59" spans="1:12" x14ac:dyDescent="0.3">
      <c r="A59">
        <v>5.4</v>
      </c>
      <c r="B59">
        <v>5.7</v>
      </c>
      <c r="C59">
        <v>5.3147877013177176</v>
      </c>
      <c r="D59">
        <v>5.4679355783308887</v>
      </c>
      <c r="E59">
        <f t="shared" si="0"/>
        <v>1.9774742812799534E-2</v>
      </c>
      <c r="F59">
        <f t="shared" si="1"/>
        <v>7.2611358467185661E-3</v>
      </c>
      <c r="G59">
        <f t="shared" si="2"/>
        <v>5.3853895804619169E-2</v>
      </c>
      <c r="H59">
        <v>177.90128843338192</v>
      </c>
      <c r="I59">
        <v>162.98770131771641</v>
      </c>
      <c r="J59">
        <v>242.63557833089328</v>
      </c>
      <c r="K59">
        <f t="shared" si="3"/>
        <v>5.508228872712909</v>
      </c>
      <c r="L59">
        <f t="shared" si="4"/>
        <v>5.6802812875457285</v>
      </c>
    </row>
    <row r="60" spans="1:12" x14ac:dyDescent="0.3">
      <c r="A60">
        <v>4.9000000000000004</v>
      </c>
      <c r="B60">
        <v>5.3</v>
      </c>
      <c r="C60">
        <v>5.3147877013177176</v>
      </c>
      <c r="D60">
        <v>5.4679355783308887</v>
      </c>
      <c r="E60">
        <f t="shared" si="0"/>
        <v>6.9657612505330854E-2</v>
      </c>
      <c r="F60">
        <f t="shared" si="1"/>
        <v>0.17204883716443581</v>
      </c>
      <c r="G60">
        <f t="shared" si="2"/>
        <v>2.8202358469330124E-2</v>
      </c>
      <c r="H60">
        <v>177.90128843338192</v>
      </c>
      <c r="I60">
        <v>162.98770131771641</v>
      </c>
      <c r="J60">
        <v>242.63557833089328</v>
      </c>
      <c r="K60">
        <f t="shared" si="3"/>
        <v>5.1245357834682226</v>
      </c>
      <c r="L60">
        <f t="shared" si="4"/>
        <v>5.259090800459048</v>
      </c>
    </row>
    <row r="61" spans="1:12" x14ac:dyDescent="0.3">
      <c r="A61">
        <v>5</v>
      </c>
      <c r="B61">
        <v>4.9000000000000004</v>
      </c>
      <c r="C61">
        <v>5.3147877013177176</v>
      </c>
      <c r="D61">
        <v>5.4679355783308887</v>
      </c>
      <c r="E61">
        <f t="shared" si="0"/>
        <v>0.17877913519932889</v>
      </c>
      <c r="F61">
        <f t="shared" si="1"/>
        <v>9.9091296900892592E-2</v>
      </c>
      <c r="G61">
        <f t="shared" si="2"/>
        <v>0.32255082113404066</v>
      </c>
      <c r="H61">
        <v>177.90128843338192</v>
      </c>
      <c r="I61">
        <v>162.98770131771641</v>
      </c>
      <c r="J61">
        <v>242.63557833089328</v>
      </c>
      <c r="K61">
        <f t="shared" si="3"/>
        <v>4.826251591622956</v>
      </c>
      <c r="L61">
        <f t="shared" si="4"/>
        <v>4.9316560157959195</v>
      </c>
    </row>
    <row r="62" spans="1:12" x14ac:dyDescent="0.3">
      <c r="A62">
        <v>5.4</v>
      </c>
      <c r="B62">
        <v>5.3</v>
      </c>
      <c r="C62">
        <v>5.3147877013177176</v>
      </c>
      <c r="D62">
        <v>5.4679355783308887</v>
      </c>
      <c r="E62">
        <f t="shared" si="0"/>
        <v>-1.4310176660113597E-2</v>
      </c>
      <c r="F62">
        <f t="shared" si="1"/>
        <v>7.2611358467185661E-3</v>
      </c>
      <c r="G62">
        <f t="shared" si="2"/>
        <v>2.8202358469330124E-2</v>
      </c>
      <c r="H62">
        <v>177.90128843338192</v>
      </c>
      <c r="I62">
        <v>162.98770131771641</v>
      </c>
      <c r="J62">
        <v>242.63557833089328</v>
      </c>
      <c r="K62">
        <f t="shared" si="3"/>
        <v>5.1957098646344058</v>
      </c>
      <c r="L62">
        <f t="shared" si="4"/>
        <v>5.3372205524786747</v>
      </c>
    </row>
    <row r="63" spans="1:12" x14ac:dyDescent="0.3">
      <c r="A63">
        <v>5.8</v>
      </c>
      <c r="B63">
        <v>5.4</v>
      </c>
      <c r="C63">
        <v>5.3147877013177176</v>
      </c>
      <c r="D63">
        <v>5.4679355783308887</v>
      </c>
      <c r="E63">
        <f t="shared" si="0"/>
        <v>-3.2963178124240586E-2</v>
      </c>
      <c r="F63">
        <f t="shared" si="1"/>
        <v>0.23543097479254424</v>
      </c>
      <c r="G63">
        <f t="shared" si="2"/>
        <v>4.615242803152269E-3</v>
      </c>
      <c r="H63">
        <v>177.90128843338192</v>
      </c>
      <c r="I63">
        <v>162.98770131771641</v>
      </c>
      <c r="J63">
        <v>242.63557833089328</v>
      </c>
      <c r="K63">
        <f t="shared" si="3"/>
        <v>5.3307788815869781</v>
      </c>
      <c r="L63">
        <f t="shared" si="4"/>
        <v>5.485489537861139</v>
      </c>
    </row>
    <row r="64" spans="1:12" x14ac:dyDescent="0.3">
      <c r="A64">
        <v>5</v>
      </c>
      <c r="B64">
        <v>5.2</v>
      </c>
      <c r="C64">
        <v>5.3147877013177176</v>
      </c>
      <c r="D64">
        <v>5.4679355783308887</v>
      </c>
      <c r="E64">
        <f t="shared" si="0"/>
        <v>8.4342824804013672E-2</v>
      </c>
      <c r="F64">
        <f t="shared" si="1"/>
        <v>9.9091296900892592E-2</v>
      </c>
      <c r="G64">
        <f t="shared" si="2"/>
        <v>7.1789474135507708E-2</v>
      </c>
      <c r="H64">
        <v>177.90128843338192</v>
      </c>
      <c r="I64">
        <v>162.98770131771641</v>
      </c>
      <c r="J64">
        <v>242.63557833089328</v>
      </c>
      <c r="K64">
        <f t="shared" si="3"/>
        <v>5.0606408476818334</v>
      </c>
      <c r="L64">
        <f t="shared" si="4"/>
        <v>5.1889515670962103</v>
      </c>
    </row>
    <row r="65" spans="1:12" x14ac:dyDescent="0.3">
      <c r="A65">
        <v>6.2</v>
      </c>
      <c r="B65">
        <v>7.4</v>
      </c>
      <c r="C65">
        <v>5.3147877013177176</v>
      </c>
      <c r="D65">
        <v>5.4679355783308887</v>
      </c>
      <c r="E65">
        <f t="shared" si="0"/>
        <v>1.7102871879079691</v>
      </c>
      <c r="F65">
        <f t="shared" si="1"/>
        <v>0.78360081373837065</v>
      </c>
      <c r="G65">
        <f t="shared" si="2"/>
        <v>3.7328729294795986</v>
      </c>
      <c r="H65">
        <v>177.90128843338192</v>
      </c>
      <c r="I65">
        <v>162.98770131771641</v>
      </c>
      <c r="J65">
        <v>242.63557833089328</v>
      </c>
      <c r="K65">
        <f t="shared" si="3"/>
        <v>6.9503131869124397</v>
      </c>
      <c r="L65">
        <f t="shared" si="4"/>
        <v>7.2632970148121077</v>
      </c>
    </row>
    <row r="66" spans="1:12" x14ac:dyDescent="0.3">
      <c r="A66">
        <v>5.3</v>
      </c>
      <c r="B66">
        <v>5.5</v>
      </c>
      <c r="C66">
        <v>5.3147877013177176</v>
      </c>
      <c r="D66">
        <v>5.4679355783308887</v>
      </c>
      <c r="E66">
        <f t="shared" si="0"/>
        <v>-4.7415909056817545E-4</v>
      </c>
      <c r="F66">
        <f t="shared" si="1"/>
        <v>2.1867611026203226E-4</v>
      </c>
      <c r="G66">
        <f t="shared" si="2"/>
        <v>1.0281271369745727E-3</v>
      </c>
      <c r="H66">
        <v>177.90128843338192</v>
      </c>
      <c r="I66">
        <v>162.98770131771641</v>
      </c>
      <c r="J66">
        <v>242.63557833089328</v>
      </c>
      <c r="K66">
        <f t="shared" si="3"/>
        <v>5.3377345524404198</v>
      </c>
      <c r="L66">
        <f t="shared" si="4"/>
        <v>5.4931249696082753</v>
      </c>
    </row>
    <row r="67" spans="1:12" x14ac:dyDescent="0.3">
      <c r="A67">
        <v>5.6</v>
      </c>
      <c r="B67">
        <v>5.4</v>
      </c>
      <c r="C67">
        <v>5.3147877013177176</v>
      </c>
      <c r="D67">
        <v>5.4679355783308887</v>
      </c>
      <c r="E67">
        <f t="shared" ref="E67:E130" si="5">(A67-C67)*(B67-D67)</f>
        <v>-1.93760624580629E-2</v>
      </c>
      <c r="F67">
        <f t="shared" ref="F67:F130" si="6">(A67-C67)^2</f>
        <v>8.1346055319631266E-2</v>
      </c>
      <c r="G67">
        <f t="shared" ref="G67:G130" si="7">(B67-D67)^2</f>
        <v>4.615242803152269E-3</v>
      </c>
      <c r="H67">
        <v>177.90128843338192</v>
      </c>
      <c r="I67">
        <v>162.98770131771641</v>
      </c>
      <c r="J67">
        <v>242.63557833089328</v>
      </c>
      <c r="K67">
        <f t="shared" ref="K67:K130" si="8">(1.097727582*(B67+0.366253474)+0.2*A67)/(0.2+1.097727582^2)</f>
        <v>5.3023092491205048</v>
      </c>
      <c r="L67">
        <f t="shared" ref="L67:L130" si="9">1.097727582*K67-0.366253474</f>
        <v>5.4542376370532883</v>
      </c>
    </row>
    <row r="68" spans="1:12" x14ac:dyDescent="0.3">
      <c r="A68">
        <v>5.5</v>
      </c>
      <c r="B68">
        <v>5.2</v>
      </c>
      <c r="C68">
        <v>5.3147877013177176</v>
      </c>
      <c r="D68">
        <v>5.4679355783308887</v>
      </c>
      <c r="E68">
        <f t="shared" si="5"/>
        <v>-4.9624964361430601E-2</v>
      </c>
      <c r="F68">
        <f t="shared" si="6"/>
        <v>3.4303595583174987E-2</v>
      </c>
      <c r="G68">
        <f t="shared" si="7"/>
        <v>7.1789474135507708E-2</v>
      </c>
      <c r="H68">
        <v>177.90128843338192</v>
      </c>
      <c r="I68">
        <v>162.98770131771641</v>
      </c>
      <c r="J68">
        <v>242.63557833089328</v>
      </c>
      <c r="K68">
        <f t="shared" si="8"/>
        <v>5.1318149288480166</v>
      </c>
      <c r="L68">
        <f t="shared" si="9"/>
        <v>5.2670813191158361</v>
      </c>
    </row>
    <row r="69" spans="1:12" x14ac:dyDescent="0.3">
      <c r="A69">
        <v>5</v>
      </c>
      <c r="B69">
        <v>5.0999999999999996</v>
      </c>
      <c r="C69">
        <v>5.3147877013177176</v>
      </c>
      <c r="D69">
        <v>5.4679355783308887</v>
      </c>
      <c r="E69">
        <f t="shared" si="5"/>
        <v>0.1158215949357856</v>
      </c>
      <c r="F69">
        <f t="shared" si="6"/>
        <v>9.9091296900892592E-2</v>
      </c>
      <c r="G69">
        <f t="shared" si="7"/>
        <v>0.13537658980168582</v>
      </c>
      <c r="H69">
        <v>177.90128843338192</v>
      </c>
      <c r="I69">
        <v>162.98770131771641</v>
      </c>
      <c r="J69">
        <v>242.63557833089328</v>
      </c>
      <c r="K69">
        <f t="shared" si="8"/>
        <v>4.9825110956622076</v>
      </c>
      <c r="L69">
        <f t="shared" si="9"/>
        <v>5.1031863833294464</v>
      </c>
    </row>
    <row r="70" spans="1:12" x14ac:dyDescent="0.3">
      <c r="A70">
        <v>5.9</v>
      </c>
      <c r="B70">
        <v>6.1</v>
      </c>
      <c r="C70">
        <v>5.3147877013177176</v>
      </c>
      <c r="D70">
        <v>5.4679355783308887</v>
      </c>
      <c r="E70">
        <f t="shared" si="5"/>
        <v>0.36989187312026806</v>
      </c>
      <c r="F70">
        <f t="shared" si="6"/>
        <v>0.34247343452900131</v>
      </c>
      <c r="G70">
        <f t="shared" si="7"/>
        <v>0.39950543313990766</v>
      </c>
      <c r="H70">
        <v>177.90128843338192</v>
      </c>
      <c r="I70">
        <v>162.98770131771641</v>
      </c>
      <c r="J70">
        <v>242.63557833089328</v>
      </c>
      <c r="K70">
        <f t="shared" si="8"/>
        <v>5.8919219619575944</v>
      </c>
      <c r="L70">
        <f t="shared" si="9"/>
        <v>6.1014717746324072</v>
      </c>
    </row>
    <row r="71" spans="1:12" x14ac:dyDescent="0.3">
      <c r="A71">
        <v>4.5999999999999996</v>
      </c>
      <c r="B71">
        <v>5.0999999999999996</v>
      </c>
      <c r="C71">
        <v>5.3147877013177176</v>
      </c>
      <c r="D71">
        <v>5.4679355783308887</v>
      </c>
      <c r="E71">
        <f t="shared" si="5"/>
        <v>0.26299582626814139</v>
      </c>
      <c r="F71">
        <f t="shared" si="6"/>
        <v>0.51092145795506716</v>
      </c>
      <c r="G71">
        <f t="shared" si="7"/>
        <v>0.13537658980168582</v>
      </c>
      <c r="H71">
        <v>177.90128843338192</v>
      </c>
      <c r="I71">
        <v>162.98770131771641</v>
      </c>
      <c r="J71">
        <v>242.63557833089328</v>
      </c>
      <c r="K71">
        <f t="shared" si="8"/>
        <v>4.9255718307292611</v>
      </c>
      <c r="L71">
        <f t="shared" si="9"/>
        <v>5.0406825817137459</v>
      </c>
    </row>
    <row r="72" spans="1:12" x14ac:dyDescent="0.3">
      <c r="A72">
        <v>5.9</v>
      </c>
      <c r="B72">
        <v>6.4</v>
      </c>
      <c r="C72">
        <v>5.3147877013177176</v>
      </c>
      <c r="D72">
        <v>5.4679355783308887</v>
      </c>
      <c r="E72">
        <f t="shared" si="5"/>
        <v>0.54545556272495332</v>
      </c>
      <c r="F72">
        <f t="shared" si="6"/>
        <v>0.34247343452900131</v>
      </c>
      <c r="G72">
        <f t="shared" si="7"/>
        <v>0.86874408614137555</v>
      </c>
      <c r="H72">
        <v>177.90128843338192</v>
      </c>
      <c r="I72">
        <v>162.98770131771641</v>
      </c>
      <c r="J72">
        <v>242.63557833089328</v>
      </c>
      <c r="K72">
        <f t="shared" si="8"/>
        <v>6.1263112180164727</v>
      </c>
      <c r="L72">
        <f t="shared" si="9"/>
        <v>6.358767325932698</v>
      </c>
    </row>
    <row r="73" spans="1:12" x14ac:dyDescent="0.3">
      <c r="A73">
        <v>5.2</v>
      </c>
      <c r="B73">
        <v>5.3</v>
      </c>
      <c r="C73">
        <v>5.3147877013177176</v>
      </c>
      <c r="D73">
        <v>5.4679355783308887</v>
      </c>
      <c r="E73">
        <f t="shared" si="5"/>
        <v>1.9276939006064215E-2</v>
      </c>
      <c r="F73">
        <f t="shared" si="6"/>
        <v>1.3176216373805507E-2</v>
      </c>
      <c r="G73">
        <f t="shared" si="7"/>
        <v>2.8202358469330124E-2</v>
      </c>
      <c r="H73">
        <v>177.90128843338192</v>
      </c>
      <c r="I73">
        <v>162.98770131771641</v>
      </c>
      <c r="J73">
        <v>242.63557833089328</v>
      </c>
      <c r="K73">
        <f t="shared" si="8"/>
        <v>5.1672402321679325</v>
      </c>
      <c r="L73">
        <f t="shared" si="9"/>
        <v>5.305968651670824</v>
      </c>
    </row>
    <row r="74" spans="1:12" x14ac:dyDescent="0.3">
      <c r="A74">
        <v>5</v>
      </c>
      <c r="B74">
        <v>4.7</v>
      </c>
      <c r="C74">
        <v>5.3147877013177176</v>
      </c>
      <c r="D74">
        <v>5.4679355783308887</v>
      </c>
      <c r="E74">
        <f t="shared" si="5"/>
        <v>0.24173667546287247</v>
      </c>
      <c r="F74">
        <f t="shared" si="6"/>
        <v>9.9091296900892592E-2</v>
      </c>
      <c r="G74">
        <f t="shared" si="7"/>
        <v>0.58972505246639628</v>
      </c>
      <c r="H74">
        <v>177.90128843338192</v>
      </c>
      <c r="I74">
        <v>162.98770131771641</v>
      </c>
      <c r="J74">
        <v>242.63557833089328</v>
      </c>
      <c r="K74">
        <f t="shared" si="8"/>
        <v>4.6699920875837044</v>
      </c>
      <c r="L74">
        <f t="shared" si="9"/>
        <v>4.7601256482623926</v>
      </c>
    </row>
    <row r="75" spans="1:12" x14ac:dyDescent="0.3">
      <c r="A75">
        <v>5</v>
      </c>
      <c r="B75">
        <v>5.2</v>
      </c>
      <c r="C75">
        <v>5.3147877013177176</v>
      </c>
      <c r="D75">
        <v>5.4679355783308887</v>
      </c>
      <c r="E75">
        <f t="shared" si="5"/>
        <v>8.4342824804013672E-2</v>
      </c>
      <c r="F75">
        <f t="shared" si="6"/>
        <v>9.9091296900892592E-2</v>
      </c>
      <c r="G75">
        <f t="shared" si="7"/>
        <v>7.1789474135507708E-2</v>
      </c>
      <c r="H75">
        <v>177.90128843338192</v>
      </c>
      <c r="I75">
        <v>162.98770131771641</v>
      </c>
      <c r="J75">
        <v>242.63557833089328</v>
      </c>
      <c r="K75">
        <f t="shared" si="8"/>
        <v>5.0606408476818334</v>
      </c>
      <c r="L75">
        <f t="shared" si="9"/>
        <v>5.1889515670962103</v>
      </c>
    </row>
    <row r="76" spans="1:12" x14ac:dyDescent="0.3">
      <c r="A76">
        <v>5</v>
      </c>
      <c r="B76">
        <v>5.0999999999999996</v>
      </c>
      <c r="C76">
        <v>5.3147877013177176</v>
      </c>
      <c r="D76">
        <v>5.4679355783308887</v>
      </c>
      <c r="E76">
        <f t="shared" si="5"/>
        <v>0.1158215949357856</v>
      </c>
      <c r="F76">
        <f t="shared" si="6"/>
        <v>9.9091296900892592E-2</v>
      </c>
      <c r="G76">
        <f t="shared" si="7"/>
        <v>0.13537658980168582</v>
      </c>
      <c r="H76">
        <v>177.90128843338192</v>
      </c>
      <c r="I76">
        <v>162.98770131771641</v>
      </c>
      <c r="J76">
        <v>242.63557833089328</v>
      </c>
      <c r="K76">
        <f t="shared" si="8"/>
        <v>4.9825110956622076</v>
      </c>
      <c r="L76">
        <f t="shared" si="9"/>
        <v>5.1031863833294464</v>
      </c>
    </row>
    <row r="77" spans="1:12" x14ac:dyDescent="0.3">
      <c r="A77">
        <v>4.8</v>
      </c>
      <c r="B77">
        <v>5</v>
      </c>
      <c r="C77">
        <v>5.3147877013177176</v>
      </c>
      <c r="D77">
        <v>5.4679355783308887</v>
      </c>
      <c r="E77">
        <f t="shared" si="5"/>
        <v>0.24088748073373509</v>
      </c>
      <c r="F77">
        <f t="shared" si="6"/>
        <v>0.26500637742797983</v>
      </c>
      <c r="G77">
        <f t="shared" si="7"/>
        <v>0.21896370546786328</v>
      </c>
      <c r="H77">
        <v>177.90128843338192</v>
      </c>
      <c r="I77">
        <v>162.98770131771641</v>
      </c>
      <c r="J77">
        <v>242.63557833089328</v>
      </c>
      <c r="K77">
        <f t="shared" si="8"/>
        <v>4.8759117111761086</v>
      </c>
      <c r="L77">
        <f t="shared" si="9"/>
        <v>4.9861692987548327</v>
      </c>
    </row>
    <row r="78" spans="1:12" x14ac:dyDescent="0.3">
      <c r="A78">
        <v>5.5</v>
      </c>
      <c r="B78">
        <v>5.3</v>
      </c>
      <c r="C78">
        <v>5.3147877013177176</v>
      </c>
      <c r="D78">
        <v>5.4679355783308887</v>
      </c>
      <c r="E78">
        <f t="shared" si="5"/>
        <v>-3.1103734493202428E-2</v>
      </c>
      <c r="F78">
        <f t="shared" si="6"/>
        <v>3.4303595583174987E-2</v>
      </c>
      <c r="G78">
        <f t="shared" si="7"/>
        <v>2.8202358469330124E-2</v>
      </c>
      <c r="H78">
        <v>177.90128843338192</v>
      </c>
      <c r="I78">
        <v>162.98770131771641</v>
      </c>
      <c r="J78">
        <v>242.63557833089328</v>
      </c>
      <c r="K78">
        <f t="shared" si="8"/>
        <v>5.2099446808676424</v>
      </c>
      <c r="L78">
        <f t="shared" si="9"/>
        <v>5.3528465028826</v>
      </c>
    </row>
    <row r="79" spans="1:12" x14ac:dyDescent="0.3">
      <c r="A79">
        <v>5</v>
      </c>
      <c r="B79">
        <v>5.5</v>
      </c>
      <c r="C79">
        <v>5.3147877013177176</v>
      </c>
      <c r="D79">
        <v>5.4679355783308887</v>
      </c>
      <c r="E79">
        <f t="shared" si="5"/>
        <v>-1.0093485591301552E-2</v>
      </c>
      <c r="F79">
        <f t="shared" si="6"/>
        <v>9.9091296900892592E-2</v>
      </c>
      <c r="G79">
        <f t="shared" si="7"/>
        <v>1.0281271369745727E-3</v>
      </c>
      <c r="H79">
        <v>177.90128843338192</v>
      </c>
      <c r="I79">
        <v>162.98770131771641</v>
      </c>
      <c r="J79">
        <v>242.63557833089328</v>
      </c>
      <c r="K79">
        <f t="shared" si="8"/>
        <v>5.2950301037407108</v>
      </c>
      <c r="L79">
        <f t="shared" si="9"/>
        <v>5.4462471183965002</v>
      </c>
    </row>
    <row r="80" spans="1:12" x14ac:dyDescent="0.3">
      <c r="A80">
        <v>5.0999999999999996</v>
      </c>
      <c r="B80">
        <v>5.3</v>
      </c>
      <c r="C80">
        <v>5.3147877013177176</v>
      </c>
      <c r="D80">
        <v>5.4679355783308887</v>
      </c>
      <c r="E80">
        <f t="shared" si="5"/>
        <v>3.6070496839153192E-2</v>
      </c>
      <c r="F80">
        <f t="shared" si="6"/>
        <v>4.613375663734922E-2</v>
      </c>
      <c r="G80">
        <f t="shared" si="7"/>
        <v>2.8202358469330124E-2</v>
      </c>
      <c r="H80">
        <v>177.90128843338192</v>
      </c>
      <c r="I80">
        <v>162.98770131771641</v>
      </c>
      <c r="J80">
        <v>242.63557833089328</v>
      </c>
      <c r="K80">
        <f t="shared" si="8"/>
        <v>5.1530054159346959</v>
      </c>
      <c r="L80">
        <f t="shared" si="9"/>
        <v>5.2903427012668987</v>
      </c>
    </row>
    <row r="81" spans="1:12" x14ac:dyDescent="0.3">
      <c r="A81">
        <v>5.4</v>
      </c>
      <c r="B81">
        <v>5.7</v>
      </c>
      <c r="C81">
        <v>5.3147877013177176</v>
      </c>
      <c r="D81">
        <v>5.4679355783308887</v>
      </c>
      <c r="E81">
        <f t="shared" si="5"/>
        <v>1.9774742812799534E-2</v>
      </c>
      <c r="F81">
        <f t="shared" si="6"/>
        <v>7.2611358467185661E-3</v>
      </c>
      <c r="G81">
        <f t="shared" si="7"/>
        <v>5.3853895804619169E-2</v>
      </c>
      <c r="H81">
        <v>177.90128843338192</v>
      </c>
      <c r="I81">
        <v>162.98770131771641</v>
      </c>
      <c r="J81">
        <v>242.63557833089328</v>
      </c>
      <c r="K81">
        <f t="shared" si="8"/>
        <v>5.508228872712909</v>
      </c>
      <c r="L81">
        <f t="shared" si="9"/>
        <v>5.6802812875457285</v>
      </c>
    </row>
    <row r="82" spans="1:12" x14ac:dyDescent="0.3">
      <c r="A82">
        <v>5.5</v>
      </c>
      <c r="B82">
        <v>5.5</v>
      </c>
      <c r="C82">
        <v>5.3147877013177176</v>
      </c>
      <c r="D82">
        <v>5.4679355783308887</v>
      </c>
      <c r="E82">
        <f t="shared" si="5"/>
        <v>5.9387252432540859E-3</v>
      </c>
      <c r="F82">
        <f t="shared" si="6"/>
        <v>3.4303595583174987E-2</v>
      </c>
      <c r="G82">
        <f t="shared" si="7"/>
        <v>1.0281271369745727E-3</v>
      </c>
      <c r="H82">
        <v>177.90128843338192</v>
      </c>
      <c r="I82">
        <v>162.98770131771641</v>
      </c>
      <c r="J82">
        <v>242.63557833089328</v>
      </c>
      <c r="K82">
        <f t="shared" si="8"/>
        <v>5.366204184906894</v>
      </c>
      <c r="L82">
        <f t="shared" si="9"/>
        <v>5.5243768704161269</v>
      </c>
    </row>
    <row r="83" spans="1:12" x14ac:dyDescent="0.3">
      <c r="A83">
        <v>5.5</v>
      </c>
      <c r="B83">
        <v>5.7</v>
      </c>
      <c r="C83">
        <v>5.3147877013177176</v>
      </c>
      <c r="D83">
        <v>5.4679355783308887</v>
      </c>
      <c r="E83">
        <f t="shared" si="5"/>
        <v>4.2981184979710596E-2</v>
      </c>
      <c r="F83">
        <f t="shared" si="6"/>
        <v>3.4303595583174987E-2</v>
      </c>
      <c r="G83">
        <f t="shared" si="7"/>
        <v>5.3853895804619169E-2</v>
      </c>
      <c r="H83">
        <v>177.90128843338192</v>
      </c>
      <c r="I83">
        <v>162.98770131771641</v>
      </c>
      <c r="J83">
        <v>242.63557833089328</v>
      </c>
      <c r="K83">
        <f t="shared" si="8"/>
        <v>5.5224636889461456</v>
      </c>
      <c r="L83">
        <f t="shared" si="9"/>
        <v>5.6959072379496538</v>
      </c>
    </row>
    <row r="84" spans="1:12" x14ac:dyDescent="0.3">
      <c r="A84">
        <v>4.5</v>
      </c>
      <c r="B84">
        <v>4.8</v>
      </c>
      <c r="C84">
        <v>5.3147877013177176</v>
      </c>
      <c r="D84">
        <v>5.4679355783308887</v>
      </c>
      <c r="E84">
        <f t="shared" si="5"/>
        <v>0.54422569449654523</v>
      </c>
      <c r="F84">
        <f t="shared" si="6"/>
        <v>0.66387899821861018</v>
      </c>
      <c r="G84">
        <f t="shared" si="7"/>
        <v>0.44613793680021901</v>
      </c>
      <c r="H84">
        <v>177.90128843338192</v>
      </c>
      <c r="I84">
        <v>162.98770131771641</v>
      </c>
      <c r="J84">
        <v>242.63557833089328</v>
      </c>
      <c r="K84">
        <f t="shared" si="8"/>
        <v>4.6769477584371471</v>
      </c>
      <c r="L84">
        <f t="shared" si="9"/>
        <v>4.7677610800095307</v>
      </c>
    </row>
    <row r="85" spans="1:12" x14ac:dyDescent="0.3">
      <c r="A85">
        <v>5.4</v>
      </c>
      <c r="B85">
        <v>5.0999999999999996</v>
      </c>
      <c r="C85">
        <v>5.3147877013177176</v>
      </c>
      <c r="D85">
        <v>5.4679355783308887</v>
      </c>
      <c r="E85">
        <f t="shared" si="5"/>
        <v>-3.1352636396570162E-2</v>
      </c>
      <c r="F85">
        <f t="shared" si="6"/>
        <v>7.2611358467185661E-3</v>
      </c>
      <c r="G85">
        <f t="shared" si="7"/>
        <v>0.13537658980168582</v>
      </c>
      <c r="H85">
        <v>177.90128843338192</v>
      </c>
      <c r="I85">
        <v>162.98770131771641</v>
      </c>
      <c r="J85">
        <v>242.63557833089328</v>
      </c>
      <c r="K85">
        <f t="shared" si="8"/>
        <v>5.0394503605951542</v>
      </c>
      <c r="L85">
        <f t="shared" si="9"/>
        <v>5.1656901849451478</v>
      </c>
    </row>
    <row r="86" spans="1:12" x14ac:dyDescent="0.3">
      <c r="A86">
        <v>5.0999999999999996</v>
      </c>
      <c r="B86">
        <v>5.3</v>
      </c>
      <c r="C86">
        <v>5.3147877013177176</v>
      </c>
      <c r="D86">
        <v>5.4679355783308887</v>
      </c>
      <c r="E86">
        <f t="shared" si="5"/>
        <v>3.6070496839153192E-2</v>
      </c>
      <c r="F86">
        <f t="shared" si="6"/>
        <v>4.613375663734922E-2</v>
      </c>
      <c r="G86">
        <f t="shared" si="7"/>
        <v>2.8202358469330124E-2</v>
      </c>
      <c r="H86">
        <v>177.90128843338192</v>
      </c>
      <c r="I86">
        <v>162.98770131771641</v>
      </c>
      <c r="J86">
        <v>242.63557833089328</v>
      </c>
      <c r="K86">
        <f t="shared" si="8"/>
        <v>5.1530054159346959</v>
      </c>
      <c r="L86">
        <f t="shared" si="9"/>
        <v>5.2903427012668987</v>
      </c>
    </row>
    <row r="87" spans="1:12" x14ac:dyDescent="0.3">
      <c r="A87">
        <v>5.3</v>
      </c>
      <c r="B87">
        <v>5.0999999999999996</v>
      </c>
      <c r="C87">
        <v>5.3147877013177176</v>
      </c>
      <c r="D87">
        <v>5.4679355783308887</v>
      </c>
      <c r="E87">
        <f t="shared" si="5"/>
        <v>5.440921436518943E-3</v>
      </c>
      <c r="F87">
        <f t="shared" si="6"/>
        <v>2.1867611026203226E-4</v>
      </c>
      <c r="G87">
        <f t="shared" si="7"/>
        <v>0.13537658980168582</v>
      </c>
      <c r="H87">
        <v>177.90128843338192</v>
      </c>
      <c r="I87">
        <v>162.98770131771641</v>
      </c>
      <c r="J87">
        <v>242.63557833089328</v>
      </c>
      <c r="K87">
        <f t="shared" si="8"/>
        <v>5.0252155443619166</v>
      </c>
      <c r="L87">
        <f t="shared" si="9"/>
        <v>5.1500642345412215</v>
      </c>
    </row>
    <row r="88" spans="1:12" x14ac:dyDescent="0.3">
      <c r="A88">
        <v>4.8</v>
      </c>
      <c r="B88">
        <v>5.0999999999999996</v>
      </c>
      <c r="C88">
        <v>5.3147877013177176</v>
      </c>
      <c r="D88">
        <v>5.4679355783308887</v>
      </c>
      <c r="E88">
        <f t="shared" si="5"/>
        <v>0.18940871060196349</v>
      </c>
      <c r="F88">
        <f t="shared" si="6"/>
        <v>0.26500637742797983</v>
      </c>
      <c r="G88">
        <f t="shared" si="7"/>
        <v>0.13537658980168582</v>
      </c>
      <c r="H88">
        <v>177.90128843338192</v>
      </c>
      <c r="I88">
        <v>162.98770131771641</v>
      </c>
      <c r="J88">
        <v>242.63557833089328</v>
      </c>
      <c r="K88">
        <f t="shared" si="8"/>
        <v>4.9540414631957344</v>
      </c>
      <c r="L88">
        <f t="shared" si="9"/>
        <v>5.0719344825215966</v>
      </c>
    </row>
    <row r="89" spans="1:12" x14ac:dyDescent="0.3">
      <c r="A89">
        <v>5.6</v>
      </c>
      <c r="B89">
        <v>5.7</v>
      </c>
      <c r="C89">
        <v>5.3147877013177176</v>
      </c>
      <c r="D89">
        <v>5.4679355783308887</v>
      </c>
      <c r="E89">
        <f t="shared" si="5"/>
        <v>6.6187627146621658E-2</v>
      </c>
      <c r="F89">
        <f t="shared" si="6"/>
        <v>8.1346055319631266E-2</v>
      </c>
      <c r="G89">
        <f t="shared" si="7"/>
        <v>5.3853895804619169E-2</v>
      </c>
      <c r="H89">
        <v>177.90128843338192</v>
      </c>
      <c r="I89">
        <v>162.98770131771641</v>
      </c>
      <c r="J89">
        <v>242.63557833089328</v>
      </c>
      <c r="K89">
        <f t="shared" si="8"/>
        <v>5.5366985051793822</v>
      </c>
      <c r="L89">
        <f t="shared" si="9"/>
        <v>5.7115331883535783</v>
      </c>
    </row>
    <row r="90" spans="1:12" x14ac:dyDescent="0.3">
      <c r="A90">
        <v>5.5</v>
      </c>
      <c r="B90">
        <v>5.8</v>
      </c>
      <c r="C90">
        <v>5.3147877013177176</v>
      </c>
      <c r="D90">
        <v>5.4679355783308887</v>
      </c>
      <c r="E90">
        <f t="shared" si="5"/>
        <v>6.1502414847938773E-2</v>
      </c>
      <c r="F90">
        <f t="shared" si="6"/>
        <v>3.4303595583174987E-2</v>
      </c>
      <c r="G90">
        <f t="shared" si="7"/>
        <v>0.11026678013844123</v>
      </c>
      <c r="H90">
        <v>177.90128843338192</v>
      </c>
      <c r="I90">
        <v>162.98770131771641</v>
      </c>
      <c r="J90">
        <v>242.63557833089328</v>
      </c>
      <c r="K90">
        <f t="shared" si="8"/>
        <v>5.6005934409657705</v>
      </c>
      <c r="L90">
        <f t="shared" si="9"/>
        <v>5.7816724217164159</v>
      </c>
    </row>
    <row r="91" spans="1:12" x14ac:dyDescent="0.3">
      <c r="A91">
        <v>5.4</v>
      </c>
      <c r="B91">
        <v>5.4</v>
      </c>
      <c r="C91">
        <v>5.3147877013177176</v>
      </c>
      <c r="D91">
        <v>5.4679355783308887</v>
      </c>
      <c r="E91">
        <f t="shared" si="5"/>
        <v>-5.7889467918852758E-3</v>
      </c>
      <c r="F91">
        <f t="shared" si="6"/>
        <v>7.2611358467185661E-3</v>
      </c>
      <c r="G91">
        <f t="shared" si="7"/>
        <v>4.615242803152269E-3</v>
      </c>
      <c r="H91">
        <v>177.90128843338192</v>
      </c>
      <c r="I91">
        <v>162.98770131771641</v>
      </c>
      <c r="J91">
        <v>242.63557833089328</v>
      </c>
      <c r="K91">
        <f t="shared" si="8"/>
        <v>5.2738396166540316</v>
      </c>
      <c r="L91">
        <f t="shared" si="9"/>
        <v>5.4229857362454377</v>
      </c>
    </row>
    <row r="92" spans="1:12" x14ac:dyDescent="0.3">
      <c r="A92">
        <v>5</v>
      </c>
      <c r="B92">
        <v>5.2</v>
      </c>
      <c r="C92">
        <v>5.3147877013177176</v>
      </c>
      <c r="D92">
        <v>5.4679355783308887</v>
      </c>
      <c r="E92">
        <f t="shared" si="5"/>
        <v>8.4342824804013672E-2</v>
      </c>
      <c r="F92">
        <f t="shared" si="6"/>
        <v>9.9091296900892592E-2</v>
      </c>
      <c r="G92">
        <f t="shared" si="7"/>
        <v>7.1789474135507708E-2</v>
      </c>
      <c r="H92">
        <v>177.90128843338192</v>
      </c>
      <c r="I92">
        <v>162.98770131771641</v>
      </c>
      <c r="J92">
        <v>242.63557833089328</v>
      </c>
      <c r="K92">
        <f t="shared" si="8"/>
        <v>5.0606408476818334</v>
      </c>
      <c r="L92">
        <f t="shared" si="9"/>
        <v>5.1889515670962103</v>
      </c>
    </row>
    <row r="93" spans="1:12" x14ac:dyDescent="0.3">
      <c r="A93">
        <v>5.6</v>
      </c>
      <c r="B93">
        <v>5.6</v>
      </c>
      <c r="C93">
        <v>5.3147877013177176</v>
      </c>
      <c r="D93">
        <v>5.4679355783308887</v>
      </c>
      <c r="E93">
        <f t="shared" si="5"/>
        <v>3.7666397278393306E-2</v>
      </c>
      <c r="F93">
        <f t="shared" si="6"/>
        <v>8.1346055319631266E-2</v>
      </c>
      <c r="G93">
        <f t="shared" si="7"/>
        <v>1.7441011470796734E-2</v>
      </c>
      <c r="H93">
        <v>177.90128843338192</v>
      </c>
      <c r="I93">
        <v>162.98770131771641</v>
      </c>
      <c r="J93">
        <v>242.63557833089328</v>
      </c>
      <c r="K93">
        <f t="shared" si="8"/>
        <v>5.4585687531597555</v>
      </c>
      <c r="L93">
        <f t="shared" si="9"/>
        <v>5.6257680045868144</v>
      </c>
    </row>
    <row r="94" spans="1:12" x14ac:dyDescent="0.3">
      <c r="A94">
        <v>5</v>
      </c>
      <c r="B94">
        <v>5.5</v>
      </c>
      <c r="C94">
        <v>5.3147877013177176</v>
      </c>
      <c r="D94">
        <v>5.4679355783308887</v>
      </c>
      <c r="E94">
        <f t="shared" si="5"/>
        <v>-1.0093485591301552E-2</v>
      </c>
      <c r="F94">
        <f t="shared" si="6"/>
        <v>9.9091296900892592E-2</v>
      </c>
      <c r="G94">
        <f t="shared" si="7"/>
        <v>1.0281271369745727E-3</v>
      </c>
      <c r="H94">
        <v>177.90128843338192</v>
      </c>
      <c r="I94">
        <v>162.98770131771641</v>
      </c>
      <c r="J94">
        <v>242.63557833089328</v>
      </c>
      <c r="K94">
        <f t="shared" si="8"/>
        <v>5.2950301037407108</v>
      </c>
      <c r="L94">
        <f t="shared" si="9"/>
        <v>5.4462471183965002</v>
      </c>
    </row>
    <row r="95" spans="1:12" x14ac:dyDescent="0.3">
      <c r="A95">
        <v>5.2</v>
      </c>
      <c r="B95">
        <v>5.3</v>
      </c>
      <c r="C95">
        <v>5.3147877013177176</v>
      </c>
      <c r="D95">
        <v>5.4679355783308887</v>
      </c>
      <c r="E95">
        <f t="shared" si="5"/>
        <v>1.9276939006064215E-2</v>
      </c>
      <c r="F95">
        <f t="shared" si="6"/>
        <v>1.3176216373805507E-2</v>
      </c>
      <c r="G95">
        <f t="shared" si="7"/>
        <v>2.8202358469330124E-2</v>
      </c>
      <c r="H95">
        <v>177.90128843338192</v>
      </c>
      <c r="I95">
        <v>162.98770131771641</v>
      </c>
      <c r="J95">
        <v>242.63557833089328</v>
      </c>
      <c r="K95">
        <f t="shared" si="8"/>
        <v>5.1672402321679325</v>
      </c>
      <c r="L95">
        <f t="shared" si="9"/>
        <v>5.305968651670824</v>
      </c>
    </row>
    <row r="96" spans="1:12" x14ac:dyDescent="0.3">
      <c r="A96">
        <v>5.2</v>
      </c>
      <c r="B96">
        <v>5.4</v>
      </c>
      <c r="C96">
        <v>5.3147877013177176</v>
      </c>
      <c r="D96">
        <v>5.4679355783308887</v>
      </c>
      <c r="E96">
        <f t="shared" si="5"/>
        <v>7.7981688742924105E-3</v>
      </c>
      <c r="F96">
        <f t="shared" si="6"/>
        <v>1.3176216373805507E-2</v>
      </c>
      <c r="G96">
        <f t="shared" si="7"/>
        <v>4.615242803152269E-3</v>
      </c>
      <c r="H96">
        <v>177.90128843338192</v>
      </c>
      <c r="I96">
        <v>162.98770131771641</v>
      </c>
      <c r="J96">
        <v>242.63557833089328</v>
      </c>
      <c r="K96">
        <f t="shared" si="8"/>
        <v>5.2453699841875583</v>
      </c>
      <c r="L96">
        <f t="shared" si="9"/>
        <v>5.391733835437587</v>
      </c>
    </row>
    <row r="97" spans="1:12" x14ac:dyDescent="0.3">
      <c r="A97">
        <v>5.6</v>
      </c>
      <c r="B97">
        <v>5.8</v>
      </c>
      <c r="C97">
        <v>5.3147877013177176</v>
      </c>
      <c r="D97">
        <v>5.4679355783308887</v>
      </c>
      <c r="E97">
        <f t="shared" si="5"/>
        <v>9.4708857014849768E-2</v>
      </c>
      <c r="F97">
        <f t="shared" si="6"/>
        <v>8.1346055319631266E-2</v>
      </c>
      <c r="G97">
        <f t="shared" si="7"/>
        <v>0.11026678013844123</v>
      </c>
      <c r="H97">
        <v>177.90128843338192</v>
      </c>
      <c r="I97">
        <v>162.98770131771641</v>
      </c>
      <c r="J97">
        <v>242.63557833089328</v>
      </c>
      <c r="K97">
        <f t="shared" si="8"/>
        <v>5.6148282571990071</v>
      </c>
      <c r="L97">
        <f t="shared" si="9"/>
        <v>5.7972983721203413</v>
      </c>
    </row>
    <row r="98" spans="1:12" x14ac:dyDescent="0.3">
      <c r="A98">
        <v>5.2</v>
      </c>
      <c r="B98">
        <v>5.6</v>
      </c>
      <c r="C98">
        <v>5.3147877013177176</v>
      </c>
      <c r="D98">
        <v>5.4679355783308887</v>
      </c>
      <c r="E98">
        <f t="shared" si="5"/>
        <v>-1.5159371389250994E-2</v>
      </c>
      <c r="F98">
        <f t="shared" si="6"/>
        <v>1.3176216373805507E-2</v>
      </c>
      <c r="G98">
        <f t="shared" si="7"/>
        <v>1.7441011470796734E-2</v>
      </c>
      <c r="H98">
        <v>177.90128843338192</v>
      </c>
      <c r="I98">
        <v>162.98770131771641</v>
      </c>
      <c r="J98">
        <v>242.63557833089328</v>
      </c>
      <c r="K98">
        <f t="shared" si="8"/>
        <v>5.401629488226809</v>
      </c>
      <c r="L98">
        <f t="shared" si="9"/>
        <v>5.563264202971113</v>
      </c>
    </row>
    <row r="99" spans="1:12" x14ac:dyDescent="0.3">
      <c r="A99">
        <v>5.0999999999999996</v>
      </c>
      <c r="B99">
        <v>5.2</v>
      </c>
      <c r="C99">
        <v>5.3147877013177176</v>
      </c>
      <c r="D99">
        <v>5.4679355783308887</v>
      </c>
      <c r="E99">
        <f t="shared" si="5"/>
        <v>5.7549266970924912E-2</v>
      </c>
      <c r="F99">
        <f t="shared" si="6"/>
        <v>4.613375663734922E-2</v>
      </c>
      <c r="G99">
        <f t="shared" si="7"/>
        <v>7.1789474135507708E-2</v>
      </c>
      <c r="H99">
        <v>177.90128843338192</v>
      </c>
      <c r="I99">
        <v>162.98770131771641</v>
      </c>
      <c r="J99">
        <v>242.63557833089328</v>
      </c>
      <c r="K99">
        <f t="shared" si="8"/>
        <v>5.0748756639150701</v>
      </c>
      <c r="L99">
        <f t="shared" si="9"/>
        <v>5.2045775175001356</v>
      </c>
    </row>
    <row r="100" spans="1:12" x14ac:dyDescent="0.3">
      <c r="A100">
        <v>5.2</v>
      </c>
      <c r="B100">
        <v>5.6</v>
      </c>
      <c r="C100">
        <v>5.3147877013177176</v>
      </c>
      <c r="D100">
        <v>5.4679355783308887</v>
      </c>
      <c r="E100">
        <f t="shared" si="5"/>
        <v>-1.5159371389250994E-2</v>
      </c>
      <c r="F100">
        <f t="shared" si="6"/>
        <v>1.3176216373805507E-2</v>
      </c>
      <c r="G100">
        <f t="shared" si="7"/>
        <v>1.7441011470796734E-2</v>
      </c>
      <c r="H100">
        <v>177.90128843338192</v>
      </c>
      <c r="I100">
        <v>162.98770131771641</v>
      </c>
      <c r="J100">
        <v>242.63557833089328</v>
      </c>
      <c r="K100">
        <f t="shared" si="8"/>
        <v>5.401629488226809</v>
      </c>
      <c r="L100">
        <f t="shared" si="9"/>
        <v>5.563264202971113</v>
      </c>
    </row>
    <row r="101" spans="1:12" x14ac:dyDescent="0.3">
      <c r="A101">
        <v>5</v>
      </c>
      <c r="B101">
        <v>5.3</v>
      </c>
      <c r="C101">
        <v>5.3147877013177176</v>
      </c>
      <c r="D101">
        <v>5.4679355783308887</v>
      </c>
      <c r="E101">
        <f t="shared" si="5"/>
        <v>5.2864054672242027E-2</v>
      </c>
      <c r="F101">
        <f t="shared" si="6"/>
        <v>9.9091296900892592E-2</v>
      </c>
      <c r="G101">
        <f t="shared" si="7"/>
        <v>2.8202358469330124E-2</v>
      </c>
      <c r="H101">
        <v>177.90128843338192</v>
      </c>
      <c r="I101">
        <v>162.98770131771641</v>
      </c>
      <c r="J101">
        <v>242.63557833089328</v>
      </c>
      <c r="K101">
        <f t="shared" si="8"/>
        <v>5.1387705997014592</v>
      </c>
      <c r="L101">
        <f t="shared" si="9"/>
        <v>5.2747167508629733</v>
      </c>
    </row>
    <row r="102" spans="1:12" x14ac:dyDescent="0.3">
      <c r="A102">
        <v>5.2</v>
      </c>
      <c r="B102">
        <v>5.4</v>
      </c>
      <c r="C102">
        <v>5.3147877013177176</v>
      </c>
      <c r="D102">
        <v>5.4679355783308887</v>
      </c>
      <c r="E102">
        <f t="shared" si="5"/>
        <v>7.7981688742924105E-3</v>
      </c>
      <c r="F102">
        <f t="shared" si="6"/>
        <v>1.3176216373805507E-2</v>
      </c>
      <c r="G102">
        <f t="shared" si="7"/>
        <v>4.615242803152269E-3</v>
      </c>
      <c r="H102">
        <v>177.90128843338192</v>
      </c>
      <c r="I102">
        <v>162.98770131771641</v>
      </c>
      <c r="J102">
        <v>242.63557833089328</v>
      </c>
      <c r="K102">
        <f t="shared" si="8"/>
        <v>5.2453699841875583</v>
      </c>
      <c r="L102">
        <f t="shared" si="9"/>
        <v>5.391733835437587</v>
      </c>
    </row>
    <row r="103" spans="1:12" x14ac:dyDescent="0.3">
      <c r="A103">
        <v>5.2</v>
      </c>
      <c r="B103">
        <v>5</v>
      </c>
      <c r="C103">
        <v>5.3147877013177176</v>
      </c>
      <c r="D103">
        <v>5.4679355783308887</v>
      </c>
      <c r="E103">
        <f t="shared" si="5"/>
        <v>5.371324940137942E-2</v>
      </c>
      <c r="F103">
        <f t="shared" si="6"/>
        <v>1.3176216373805507E-2</v>
      </c>
      <c r="G103">
        <f t="shared" si="7"/>
        <v>0.21896370546786328</v>
      </c>
      <c r="H103">
        <v>177.90128843338192</v>
      </c>
      <c r="I103">
        <v>162.98770131771641</v>
      </c>
      <c r="J103">
        <v>242.63557833089328</v>
      </c>
      <c r="K103">
        <f t="shared" si="8"/>
        <v>4.9328509761090551</v>
      </c>
      <c r="L103">
        <f t="shared" si="9"/>
        <v>5.0486731003705341</v>
      </c>
    </row>
    <row r="104" spans="1:12" x14ac:dyDescent="0.3">
      <c r="A104">
        <v>5.0999999999999996</v>
      </c>
      <c r="B104">
        <v>4.9000000000000004</v>
      </c>
      <c r="C104">
        <v>5.3147877013177176</v>
      </c>
      <c r="D104">
        <v>5.4679355783308887</v>
      </c>
      <c r="E104">
        <f t="shared" si="5"/>
        <v>0.12198557736624026</v>
      </c>
      <c r="F104">
        <f t="shared" si="6"/>
        <v>4.613375663734922E-2</v>
      </c>
      <c r="G104">
        <f t="shared" si="7"/>
        <v>0.32255082113404066</v>
      </c>
      <c r="H104">
        <v>177.90128843338192</v>
      </c>
      <c r="I104">
        <v>162.98770131771641</v>
      </c>
      <c r="J104">
        <v>242.63557833089328</v>
      </c>
      <c r="K104">
        <f t="shared" si="8"/>
        <v>4.8404864078561927</v>
      </c>
      <c r="L104">
        <f t="shared" si="9"/>
        <v>4.9472819661998448</v>
      </c>
    </row>
    <row r="105" spans="1:12" x14ac:dyDescent="0.3">
      <c r="A105">
        <v>5.2</v>
      </c>
      <c r="B105">
        <v>5.5</v>
      </c>
      <c r="C105">
        <v>5.3147877013177176</v>
      </c>
      <c r="D105">
        <v>5.4679355783308887</v>
      </c>
      <c r="E105">
        <f t="shared" si="5"/>
        <v>-3.6806012574792917E-3</v>
      </c>
      <c r="F105">
        <f t="shared" si="6"/>
        <v>1.3176216373805507E-2</v>
      </c>
      <c r="G105">
        <f t="shared" si="7"/>
        <v>1.0281271369745727E-3</v>
      </c>
      <c r="H105">
        <v>177.90128843338192</v>
      </c>
      <c r="I105">
        <v>162.98770131771641</v>
      </c>
      <c r="J105">
        <v>242.63557833089328</v>
      </c>
      <c r="K105">
        <f t="shared" si="8"/>
        <v>5.3234997362071841</v>
      </c>
      <c r="L105">
        <f t="shared" si="9"/>
        <v>5.4774990192043509</v>
      </c>
    </row>
    <row r="106" spans="1:12" x14ac:dyDescent="0.3">
      <c r="A106">
        <v>5.4</v>
      </c>
      <c r="B106">
        <v>5.0999999999999996</v>
      </c>
      <c r="C106">
        <v>5.3147877013177176</v>
      </c>
      <c r="D106">
        <v>5.4679355783308887</v>
      </c>
      <c r="E106">
        <f t="shared" si="5"/>
        <v>-3.1352636396570162E-2</v>
      </c>
      <c r="F106">
        <f t="shared" si="6"/>
        <v>7.2611358467185661E-3</v>
      </c>
      <c r="G106">
        <f t="shared" si="7"/>
        <v>0.13537658980168582</v>
      </c>
      <c r="H106">
        <v>177.90128843338192</v>
      </c>
      <c r="I106">
        <v>162.98770131771641</v>
      </c>
      <c r="J106">
        <v>242.63557833089328</v>
      </c>
      <c r="K106">
        <f t="shared" si="8"/>
        <v>5.0394503605951542</v>
      </c>
      <c r="L106">
        <f t="shared" si="9"/>
        <v>5.1656901849451478</v>
      </c>
    </row>
    <row r="107" spans="1:12" x14ac:dyDescent="0.3">
      <c r="A107">
        <v>5.7</v>
      </c>
      <c r="B107">
        <v>5.7</v>
      </c>
      <c r="C107">
        <v>5.3147877013177176</v>
      </c>
      <c r="D107">
        <v>5.4679355783308887</v>
      </c>
      <c r="E107">
        <f t="shared" si="5"/>
        <v>8.9394069313532928E-2</v>
      </c>
      <c r="F107">
        <f t="shared" si="6"/>
        <v>0.14838851505608808</v>
      </c>
      <c r="G107">
        <f t="shared" si="7"/>
        <v>5.3853895804619169E-2</v>
      </c>
      <c r="H107">
        <v>177.90128843338192</v>
      </c>
      <c r="I107">
        <v>162.98770131771641</v>
      </c>
      <c r="J107">
        <v>242.63557833089328</v>
      </c>
      <c r="K107">
        <f t="shared" si="8"/>
        <v>5.550933321412618</v>
      </c>
      <c r="L107">
        <f t="shared" si="9"/>
        <v>5.7271591387575027</v>
      </c>
    </row>
    <row r="108" spans="1:12" x14ac:dyDescent="0.3">
      <c r="A108">
        <v>4.5999999999999996</v>
      </c>
      <c r="B108">
        <v>5.2</v>
      </c>
      <c r="C108">
        <v>5.3147877013177176</v>
      </c>
      <c r="D108">
        <v>5.4679355783308887</v>
      </c>
      <c r="E108">
        <f t="shared" si="5"/>
        <v>0.19151705613636918</v>
      </c>
      <c r="F108">
        <f t="shared" si="6"/>
        <v>0.51092145795506716</v>
      </c>
      <c r="G108">
        <f t="shared" si="7"/>
        <v>7.1789474135507708E-2</v>
      </c>
      <c r="H108">
        <v>177.90128843338192</v>
      </c>
      <c r="I108">
        <v>162.98770131771641</v>
      </c>
      <c r="J108">
        <v>242.63557833089328</v>
      </c>
      <c r="K108">
        <f t="shared" si="8"/>
        <v>5.0037015827488878</v>
      </c>
      <c r="L108">
        <f t="shared" si="9"/>
        <v>5.1264477654805107</v>
      </c>
    </row>
    <row r="109" spans="1:12" x14ac:dyDescent="0.3">
      <c r="A109">
        <v>5.7</v>
      </c>
      <c r="B109">
        <v>5.4</v>
      </c>
      <c r="C109">
        <v>5.3147877013177176</v>
      </c>
      <c r="D109">
        <v>5.4679355783308887</v>
      </c>
      <c r="E109">
        <f t="shared" si="5"/>
        <v>-2.6169620291151774E-2</v>
      </c>
      <c r="F109">
        <f t="shared" si="6"/>
        <v>0.14838851505608808</v>
      </c>
      <c r="G109">
        <f t="shared" si="7"/>
        <v>4.615242803152269E-3</v>
      </c>
      <c r="H109">
        <v>177.90128843338192</v>
      </c>
      <c r="I109">
        <v>162.98770131771641</v>
      </c>
      <c r="J109">
        <v>242.63557833089328</v>
      </c>
      <c r="K109">
        <f t="shared" si="8"/>
        <v>5.3165440653537424</v>
      </c>
      <c r="L109">
        <f t="shared" si="9"/>
        <v>5.4698635874572146</v>
      </c>
    </row>
    <row r="110" spans="1:12" x14ac:dyDescent="0.3">
      <c r="A110">
        <v>5</v>
      </c>
      <c r="B110">
        <v>5.2</v>
      </c>
      <c r="C110">
        <v>5.3147877013177176</v>
      </c>
      <c r="D110">
        <v>5.4679355783308887</v>
      </c>
      <c r="E110">
        <f t="shared" si="5"/>
        <v>8.4342824804013672E-2</v>
      </c>
      <c r="F110">
        <f t="shared" si="6"/>
        <v>9.9091296900892592E-2</v>
      </c>
      <c r="G110">
        <f t="shared" si="7"/>
        <v>7.1789474135507708E-2</v>
      </c>
      <c r="H110">
        <v>177.90128843338192</v>
      </c>
      <c r="I110">
        <v>162.98770131771641</v>
      </c>
      <c r="J110">
        <v>242.63557833089328</v>
      </c>
      <c r="K110">
        <f t="shared" si="8"/>
        <v>5.0606408476818334</v>
      </c>
      <c r="L110">
        <f t="shared" si="9"/>
        <v>5.1889515670962103</v>
      </c>
    </row>
    <row r="111" spans="1:12" x14ac:dyDescent="0.3">
      <c r="A111">
        <v>4.8</v>
      </c>
      <c r="B111">
        <v>5.3</v>
      </c>
      <c r="C111">
        <v>5.3147877013177176</v>
      </c>
      <c r="D111">
        <v>5.4679355783308887</v>
      </c>
      <c r="E111">
        <f t="shared" si="5"/>
        <v>8.6451170338419828E-2</v>
      </c>
      <c r="F111">
        <f t="shared" si="6"/>
        <v>0.26500637742797983</v>
      </c>
      <c r="G111">
        <f t="shared" si="7"/>
        <v>2.8202358469330124E-2</v>
      </c>
      <c r="H111">
        <v>177.90128843338192</v>
      </c>
      <c r="I111">
        <v>162.98770131771641</v>
      </c>
      <c r="J111">
        <v>242.63557833089328</v>
      </c>
      <c r="K111">
        <f t="shared" si="8"/>
        <v>5.1103009672349859</v>
      </c>
      <c r="L111">
        <f t="shared" si="9"/>
        <v>5.2434648500551235</v>
      </c>
    </row>
    <row r="112" spans="1:12" x14ac:dyDescent="0.3">
      <c r="A112">
        <v>5.3</v>
      </c>
      <c r="B112">
        <v>5.3</v>
      </c>
      <c r="C112">
        <v>5.3147877013177176</v>
      </c>
      <c r="D112">
        <v>5.4679355783308887</v>
      </c>
      <c r="E112">
        <f t="shared" si="5"/>
        <v>2.4833811729753838E-3</v>
      </c>
      <c r="F112">
        <f t="shared" si="6"/>
        <v>2.1867611026203226E-4</v>
      </c>
      <c r="G112">
        <f t="shared" si="7"/>
        <v>2.8202358469330124E-2</v>
      </c>
      <c r="H112">
        <v>177.90128843338192</v>
      </c>
      <c r="I112">
        <v>162.98770131771641</v>
      </c>
      <c r="J112">
        <v>242.63557833089328</v>
      </c>
      <c r="K112">
        <f t="shared" si="8"/>
        <v>5.1814750484011682</v>
      </c>
      <c r="L112">
        <f t="shared" si="9"/>
        <v>5.3215946020747484</v>
      </c>
    </row>
    <row r="113" spans="1:12" x14ac:dyDescent="0.3">
      <c r="A113">
        <v>4.8</v>
      </c>
      <c r="B113">
        <v>5.4</v>
      </c>
      <c r="C113">
        <v>5.3147877013177176</v>
      </c>
      <c r="D113">
        <v>5.4679355783308887</v>
      </c>
      <c r="E113">
        <f t="shared" si="5"/>
        <v>3.4972400206647783E-2</v>
      </c>
      <c r="F113">
        <f t="shared" si="6"/>
        <v>0.26500637742797983</v>
      </c>
      <c r="G113">
        <f t="shared" si="7"/>
        <v>4.615242803152269E-3</v>
      </c>
      <c r="H113">
        <v>177.90128843338192</v>
      </c>
      <c r="I113">
        <v>162.98770131771641</v>
      </c>
      <c r="J113">
        <v>242.63557833089328</v>
      </c>
      <c r="K113">
        <f t="shared" si="8"/>
        <v>5.1884307192546126</v>
      </c>
      <c r="L113">
        <f t="shared" si="9"/>
        <v>5.3292300338218874</v>
      </c>
    </row>
    <row r="114" spans="1:12" x14ac:dyDescent="0.3">
      <c r="A114">
        <v>5.4</v>
      </c>
      <c r="B114">
        <v>5.3</v>
      </c>
      <c r="C114">
        <v>5.3147877013177176</v>
      </c>
      <c r="D114">
        <v>5.4679355783308887</v>
      </c>
      <c r="E114">
        <f t="shared" si="5"/>
        <v>-1.4310176660113597E-2</v>
      </c>
      <c r="F114">
        <f t="shared" si="6"/>
        <v>7.2611358467185661E-3</v>
      </c>
      <c r="G114">
        <f t="shared" si="7"/>
        <v>2.8202358469330124E-2</v>
      </c>
      <c r="H114">
        <v>177.90128843338192</v>
      </c>
      <c r="I114">
        <v>162.98770131771641</v>
      </c>
      <c r="J114">
        <v>242.63557833089328</v>
      </c>
      <c r="K114">
        <f t="shared" si="8"/>
        <v>5.1957098646344058</v>
      </c>
      <c r="L114">
        <f t="shared" si="9"/>
        <v>5.3372205524786747</v>
      </c>
    </row>
    <row r="115" spans="1:12" x14ac:dyDescent="0.3">
      <c r="A115">
        <v>4.8</v>
      </c>
      <c r="B115">
        <v>4.8</v>
      </c>
      <c r="C115">
        <v>5.3147877013177176</v>
      </c>
      <c r="D115">
        <v>5.4679355783308887</v>
      </c>
      <c r="E115">
        <f t="shared" si="5"/>
        <v>0.34384502099727871</v>
      </c>
      <c r="F115">
        <f t="shared" si="6"/>
        <v>0.26500637742797983</v>
      </c>
      <c r="G115">
        <f t="shared" si="7"/>
        <v>0.44613793680021901</v>
      </c>
      <c r="H115">
        <v>177.90128843338192</v>
      </c>
      <c r="I115">
        <v>162.98770131771641</v>
      </c>
      <c r="J115">
        <v>242.63557833089328</v>
      </c>
      <c r="K115">
        <f t="shared" si="8"/>
        <v>4.719652207136857</v>
      </c>
      <c r="L115">
        <f t="shared" si="9"/>
        <v>4.8146389312213058</v>
      </c>
    </row>
    <row r="116" spans="1:12" x14ac:dyDescent="0.3">
      <c r="A116">
        <v>5</v>
      </c>
      <c r="B116">
        <v>5.4</v>
      </c>
      <c r="C116">
        <v>5.3147877013177176</v>
      </c>
      <c r="D116">
        <v>5.4679355783308887</v>
      </c>
      <c r="E116">
        <f t="shared" si="5"/>
        <v>2.1385284540470097E-2</v>
      </c>
      <c r="F116">
        <f t="shared" si="6"/>
        <v>9.9091296900892592E-2</v>
      </c>
      <c r="G116">
        <f t="shared" si="7"/>
        <v>4.615242803152269E-3</v>
      </c>
      <c r="H116">
        <v>177.90128843338192</v>
      </c>
      <c r="I116">
        <v>162.98770131771641</v>
      </c>
      <c r="J116">
        <v>242.63557833089328</v>
      </c>
      <c r="K116">
        <f t="shared" si="8"/>
        <v>5.2169003517210859</v>
      </c>
      <c r="L116">
        <f t="shared" si="9"/>
        <v>5.3604819346297381</v>
      </c>
    </row>
    <row r="117" spans="1:12" x14ac:dyDescent="0.3">
      <c r="A117">
        <v>5.9</v>
      </c>
      <c r="B117">
        <v>5.8</v>
      </c>
      <c r="C117">
        <v>5.3147877013177176</v>
      </c>
      <c r="D117">
        <v>5.4679355783308887</v>
      </c>
      <c r="E117">
        <f t="shared" si="5"/>
        <v>0.19432818351558334</v>
      </c>
      <c r="F117">
        <f t="shared" si="6"/>
        <v>0.34247343452900131</v>
      </c>
      <c r="G117">
        <f t="shared" si="7"/>
        <v>0.11026678013844123</v>
      </c>
      <c r="H117">
        <v>177.90128843338192</v>
      </c>
      <c r="I117">
        <v>162.98770131771641</v>
      </c>
      <c r="J117">
        <v>242.63557833089328</v>
      </c>
      <c r="K117">
        <f t="shared" si="8"/>
        <v>5.657532705898717</v>
      </c>
      <c r="L117">
        <f t="shared" si="9"/>
        <v>5.8441762233321164</v>
      </c>
    </row>
    <row r="118" spans="1:12" x14ac:dyDescent="0.3">
      <c r="A118">
        <v>5</v>
      </c>
      <c r="B118">
        <v>5.3</v>
      </c>
      <c r="C118">
        <v>5.3147877013177176</v>
      </c>
      <c r="D118">
        <v>5.4679355783308887</v>
      </c>
      <c r="E118">
        <f t="shared" si="5"/>
        <v>5.2864054672242027E-2</v>
      </c>
      <c r="F118">
        <f t="shared" si="6"/>
        <v>9.9091296900892592E-2</v>
      </c>
      <c r="G118">
        <f t="shared" si="7"/>
        <v>2.8202358469330124E-2</v>
      </c>
      <c r="H118">
        <v>177.90128843338192</v>
      </c>
      <c r="I118">
        <v>162.98770131771641</v>
      </c>
      <c r="J118">
        <v>242.63557833089328</v>
      </c>
      <c r="K118">
        <f t="shared" si="8"/>
        <v>5.1387705997014592</v>
      </c>
      <c r="L118">
        <f t="shared" si="9"/>
        <v>5.2747167508629733</v>
      </c>
    </row>
    <row r="119" spans="1:12" x14ac:dyDescent="0.3">
      <c r="A119">
        <v>4.8</v>
      </c>
      <c r="B119">
        <v>4.8</v>
      </c>
      <c r="C119">
        <v>5.3147877013177176</v>
      </c>
      <c r="D119">
        <v>5.4679355783308887</v>
      </c>
      <c r="E119">
        <f t="shared" si="5"/>
        <v>0.34384502099727871</v>
      </c>
      <c r="F119">
        <f t="shared" si="6"/>
        <v>0.26500637742797983</v>
      </c>
      <c r="G119">
        <f t="shared" si="7"/>
        <v>0.44613793680021901</v>
      </c>
      <c r="H119">
        <v>177.90128843338192</v>
      </c>
      <c r="I119">
        <v>162.98770131771641</v>
      </c>
      <c r="J119">
        <v>242.63557833089328</v>
      </c>
      <c r="K119">
        <f t="shared" si="8"/>
        <v>4.719652207136857</v>
      </c>
      <c r="L119">
        <f t="shared" si="9"/>
        <v>4.8146389312213058</v>
      </c>
    </row>
    <row r="120" spans="1:12" x14ac:dyDescent="0.3">
      <c r="A120">
        <v>5.9</v>
      </c>
      <c r="B120">
        <v>5.7</v>
      </c>
      <c r="C120">
        <v>5.3147877013177176</v>
      </c>
      <c r="D120">
        <v>5.4679355783308887</v>
      </c>
      <c r="E120">
        <f t="shared" si="5"/>
        <v>0.13580695364735526</v>
      </c>
      <c r="F120">
        <f t="shared" si="6"/>
        <v>0.34247343452900131</v>
      </c>
      <c r="G120">
        <f t="shared" si="7"/>
        <v>5.3853895804619169E-2</v>
      </c>
      <c r="H120">
        <v>177.90128843338192</v>
      </c>
      <c r="I120">
        <v>162.98770131771641</v>
      </c>
      <c r="J120">
        <v>242.63557833089328</v>
      </c>
      <c r="K120">
        <f t="shared" si="8"/>
        <v>5.5794029538790921</v>
      </c>
      <c r="L120">
        <f t="shared" si="9"/>
        <v>5.7584110395653543</v>
      </c>
    </row>
    <row r="121" spans="1:12" x14ac:dyDescent="0.3">
      <c r="A121">
        <v>4.9000000000000004</v>
      </c>
      <c r="B121">
        <v>5.2</v>
      </c>
      <c r="C121">
        <v>5.3147877013177176</v>
      </c>
      <c r="D121">
        <v>5.4679355783308887</v>
      </c>
      <c r="E121">
        <f t="shared" si="5"/>
        <v>0.11113638263710243</v>
      </c>
      <c r="F121">
        <f t="shared" si="6"/>
        <v>0.17204883716443581</v>
      </c>
      <c r="G121">
        <f t="shared" si="7"/>
        <v>7.1789474135507708E-2</v>
      </c>
      <c r="H121">
        <v>177.90128843338192</v>
      </c>
      <c r="I121">
        <v>162.98770131771641</v>
      </c>
      <c r="J121">
        <v>242.63557833089328</v>
      </c>
      <c r="K121">
        <f t="shared" si="8"/>
        <v>5.0464060314485977</v>
      </c>
      <c r="L121">
        <f t="shared" si="9"/>
        <v>5.1733256166922859</v>
      </c>
    </row>
    <row r="122" spans="1:12" x14ac:dyDescent="0.3">
      <c r="A122">
        <v>4.8</v>
      </c>
      <c r="B122">
        <v>4.9000000000000004</v>
      </c>
      <c r="C122">
        <v>5.3147877013177176</v>
      </c>
      <c r="D122">
        <v>5.4679355783308887</v>
      </c>
      <c r="E122">
        <f t="shared" si="5"/>
        <v>0.29236625086550666</v>
      </c>
      <c r="F122">
        <f t="shared" si="6"/>
        <v>0.26500637742797983</v>
      </c>
      <c r="G122">
        <f t="shared" si="7"/>
        <v>0.32255082113404066</v>
      </c>
      <c r="H122">
        <v>177.90128843338192</v>
      </c>
      <c r="I122">
        <v>162.98770131771641</v>
      </c>
      <c r="J122">
        <v>242.63557833089328</v>
      </c>
      <c r="K122">
        <f t="shared" si="8"/>
        <v>4.7977819591564828</v>
      </c>
      <c r="L122">
        <f t="shared" si="9"/>
        <v>4.9004041149880697</v>
      </c>
    </row>
    <row r="123" spans="1:12" x14ac:dyDescent="0.3">
      <c r="A123">
        <v>5.4</v>
      </c>
      <c r="B123">
        <v>5.2</v>
      </c>
      <c r="C123">
        <v>5.3147877013177176</v>
      </c>
      <c r="D123">
        <v>5.4679355783308887</v>
      </c>
      <c r="E123">
        <f t="shared" si="5"/>
        <v>-2.2831406528341841E-2</v>
      </c>
      <c r="F123">
        <f t="shared" si="6"/>
        <v>7.2611358467185661E-3</v>
      </c>
      <c r="G123">
        <f t="shared" si="7"/>
        <v>7.1789474135507708E-2</v>
      </c>
      <c r="H123">
        <v>177.90128843338192</v>
      </c>
      <c r="I123">
        <v>162.98770131771641</v>
      </c>
      <c r="J123">
        <v>242.63557833089328</v>
      </c>
      <c r="K123">
        <f t="shared" si="8"/>
        <v>5.11758011261478</v>
      </c>
      <c r="L123">
        <f t="shared" si="9"/>
        <v>5.2514553687119108</v>
      </c>
    </row>
    <row r="124" spans="1:12" x14ac:dyDescent="0.3">
      <c r="A124">
        <v>5</v>
      </c>
      <c r="B124">
        <v>5.4</v>
      </c>
      <c r="C124">
        <v>5.3147877013177176</v>
      </c>
      <c r="D124">
        <v>5.4679355783308887</v>
      </c>
      <c r="E124">
        <f t="shared" si="5"/>
        <v>2.1385284540470097E-2</v>
      </c>
      <c r="F124">
        <f t="shared" si="6"/>
        <v>9.9091296900892592E-2</v>
      </c>
      <c r="G124">
        <f t="shared" si="7"/>
        <v>4.615242803152269E-3</v>
      </c>
      <c r="H124">
        <v>177.90128843338192</v>
      </c>
      <c r="I124">
        <v>162.98770131771641</v>
      </c>
      <c r="J124">
        <v>242.63557833089328</v>
      </c>
      <c r="K124">
        <f t="shared" si="8"/>
        <v>5.2169003517210859</v>
      </c>
      <c r="L124">
        <f t="shared" si="9"/>
        <v>5.3604819346297381</v>
      </c>
    </row>
    <row r="125" spans="1:12" x14ac:dyDescent="0.3">
      <c r="A125">
        <v>4.8</v>
      </c>
      <c r="B125">
        <v>5.2</v>
      </c>
      <c r="C125">
        <v>5.3147877013177176</v>
      </c>
      <c r="D125">
        <v>5.4679355783308887</v>
      </c>
      <c r="E125">
        <f t="shared" si="5"/>
        <v>0.13792994047019144</v>
      </c>
      <c r="F125">
        <f t="shared" si="6"/>
        <v>0.26500637742797983</v>
      </c>
      <c r="G125">
        <f t="shared" si="7"/>
        <v>7.1789474135507708E-2</v>
      </c>
      <c r="H125">
        <v>177.90128843338192</v>
      </c>
      <c r="I125">
        <v>162.98770131771641</v>
      </c>
      <c r="J125">
        <v>242.63557833089328</v>
      </c>
      <c r="K125">
        <f t="shared" si="8"/>
        <v>5.032171215215361</v>
      </c>
      <c r="L125">
        <f t="shared" si="9"/>
        <v>5.1576996662883605</v>
      </c>
    </row>
    <row r="126" spans="1:12" x14ac:dyDescent="0.3">
      <c r="A126">
        <v>5.2</v>
      </c>
      <c r="B126">
        <v>5.7</v>
      </c>
      <c r="C126">
        <v>5.3147877013177176</v>
      </c>
      <c r="D126">
        <v>5.4679355783308887</v>
      </c>
      <c r="E126">
        <f t="shared" si="5"/>
        <v>-2.6638141521022798E-2</v>
      </c>
      <c r="F126">
        <f t="shared" si="6"/>
        <v>1.3176216373805507E-2</v>
      </c>
      <c r="G126">
        <f t="shared" si="7"/>
        <v>5.3853895804619169E-2</v>
      </c>
      <c r="H126">
        <v>177.90128843338192</v>
      </c>
      <c r="I126">
        <v>162.98770131771641</v>
      </c>
      <c r="J126">
        <v>242.63557833089328</v>
      </c>
      <c r="K126">
        <f t="shared" si="8"/>
        <v>5.4797592402464357</v>
      </c>
      <c r="L126">
        <f t="shared" si="9"/>
        <v>5.6490293867378778</v>
      </c>
    </row>
    <row r="127" spans="1:12" x14ac:dyDescent="0.3">
      <c r="A127">
        <v>5.5</v>
      </c>
      <c r="B127">
        <v>5.9</v>
      </c>
      <c r="C127">
        <v>5.3147877013177176</v>
      </c>
      <c r="D127">
        <v>5.4679355783308887</v>
      </c>
      <c r="E127">
        <f t="shared" si="5"/>
        <v>8.0023644716167103E-2</v>
      </c>
      <c r="F127">
        <f t="shared" si="6"/>
        <v>3.4303595583174987E-2</v>
      </c>
      <c r="G127">
        <f t="shared" si="7"/>
        <v>0.18667966447226389</v>
      </c>
      <c r="H127">
        <v>177.90128843338192</v>
      </c>
      <c r="I127">
        <v>162.98770131771641</v>
      </c>
      <c r="J127">
        <v>242.63557833089328</v>
      </c>
      <c r="K127">
        <f t="shared" si="8"/>
        <v>5.6787231929853972</v>
      </c>
      <c r="L127">
        <f t="shared" si="9"/>
        <v>5.8674376054831807</v>
      </c>
    </row>
    <row r="128" spans="1:12" x14ac:dyDescent="0.3">
      <c r="A128">
        <v>5.4</v>
      </c>
      <c r="B128">
        <v>5.7</v>
      </c>
      <c r="C128">
        <v>5.3147877013177176</v>
      </c>
      <c r="D128">
        <v>5.4679355783308887</v>
      </c>
      <c r="E128">
        <f t="shared" si="5"/>
        <v>1.9774742812799534E-2</v>
      </c>
      <c r="F128">
        <f t="shared" si="6"/>
        <v>7.2611358467185661E-3</v>
      </c>
      <c r="G128">
        <f t="shared" si="7"/>
        <v>5.3853895804619169E-2</v>
      </c>
      <c r="H128">
        <v>177.90128843338192</v>
      </c>
      <c r="I128">
        <v>162.98770131771641</v>
      </c>
      <c r="J128">
        <v>242.63557833089328</v>
      </c>
      <c r="K128">
        <f t="shared" si="8"/>
        <v>5.508228872712909</v>
      </c>
      <c r="L128">
        <f t="shared" si="9"/>
        <v>5.6802812875457285</v>
      </c>
    </row>
    <row r="129" spans="1:12" x14ac:dyDescent="0.3">
      <c r="A129">
        <v>5.7</v>
      </c>
      <c r="B129">
        <v>5.6</v>
      </c>
      <c r="C129">
        <v>5.3147877013177176</v>
      </c>
      <c r="D129">
        <v>5.4679355783308887</v>
      </c>
      <c r="E129">
        <f t="shared" si="5"/>
        <v>5.087283944530447E-2</v>
      </c>
      <c r="F129">
        <f t="shared" si="6"/>
        <v>0.14838851505608808</v>
      </c>
      <c r="G129">
        <f t="shared" si="7"/>
        <v>1.7441011470796734E-2</v>
      </c>
      <c r="H129">
        <v>177.90128843338192</v>
      </c>
      <c r="I129">
        <v>162.98770131771641</v>
      </c>
      <c r="J129">
        <v>242.63557833089328</v>
      </c>
      <c r="K129">
        <f t="shared" si="8"/>
        <v>5.4728035693929922</v>
      </c>
      <c r="L129">
        <f t="shared" si="9"/>
        <v>5.6413939549907397</v>
      </c>
    </row>
    <row r="130" spans="1:12" x14ac:dyDescent="0.3">
      <c r="A130">
        <v>5.3</v>
      </c>
      <c r="B130">
        <v>5.5</v>
      </c>
      <c r="C130">
        <v>5.3147877013177176</v>
      </c>
      <c r="D130">
        <v>5.4679355783308887</v>
      </c>
      <c r="E130">
        <f t="shared" si="5"/>
        <v>-4.7415909056817545E-4</v>
      </c>
      <c r="F130">
        <f t="shared" si="6"/>
        <v>2.1867611026203226E-4</v>
      </c>
      <c r="G130">
        <f t="shared" si="7"/>
        <v>1.0281271369745727E-3</v>
      </c>
      <c r="H130">
        <v>177.90128843338192</v>
      </c>
      <c r="I130">
        <v>162.98770131771641</v>
      </c>
      <c r="J130">
        <v>242.63557833089328</v>
      </c>
      <c r="K130">
        <f t="shared" si="8"/>
        <v>5.3377345524404198</v>
      </c>
      <c r="L130">
        <f t="shared" si="9"/>
        <v>5.4931249696082753</v>
      </c>
    </row>
    <row r="131" spans="1:12" x14ac:dyDescent="0.3">
      <c r="A131">
        <v>5.5</v>
      </c>
      <c r="B131">
        <v>5.3</v>
      </c>
      <c r="C131">
        <v>5.3147877013177176</v>
      </c>
      <c r="D131">
        <v>5.4679355783308887</v>
      </c>
      <c r="E131">
        <f t="shared" ref="E131:E194" si="10">(A131-C131)*(B131-D131)</f>
        <v>-3.1103734493202428E-2</v>
      </c>
      <c r="F131">
        <f t="shared" ref="F131:F194" si="11">(A131-C131)^2</f>
        <v>3.4303595583174987E-2</v>
      </c>
      <c r="G131">
        <f t="shared" ref="G131:G194" si="12">(B131-D131)^2</f>
        <v>2.8202358469330124E-2</v>
      </c>
      <c r="H131">
        <v>177.90128843338192</v>
      </c>
      <c r="I131">
        <v>162.98770131771641</v>
      </c>
      <c r="J131">
        <v>242.63557833089328</v>
      </c>
      <c r="K131">
        <f t="shared" ref="K131:K194" si="13">(1.097727582*(B131+0.366253474)+0.2*A131)/(0.2+1.097727582^2)</f>
        <v>5.2099446808676424</v>
      </c>
      <c r="L131">
        <f t="shared" ref="L131:L194" si="14">1.097727582*K131-0.366253474</f>
        <v>5.3528465028826</v>
      </c>
    </row>
    <row r="132" spans="1:12" x14ac:dyDescent="0.3">
      <c r="A132">
        <v>5.5</v>
      </c>
      <c r="B132">
        <v>5.4</v>
      </c>
      <c r="C132">
        <v>5.3147877013177176</v>
      </c>
      <c r="D132">
        <v>5.4679355783308887</v>
      </c>
      <c r="E132">
        <f t="shared" si="10"/>
        <v>-1.2582504624974088E-2</v>
      </c>
      <c r="F132">
        <f t="shared" si="11"/>
        <v>3.4303595583174987E-2</v>
      </c>
      <c r="G132">
        <f t="shared" si="12"/>
        <v>4.615242803152269E-3</v>
      </c>
      <c r="H132">
        <v>177.90128843338192</v>
      </c>
      <c r="I132">
        <v>162.98770131771641</v>
      </c>
      <c r="J132">
        <v>242.63557833089328</v>
      </c>
      <c r="K132">
        <f t="shared" si="13"/>
        <v>5.2880744328872682</v>
      </c>
      <c r="L132">
        <f t="shared" si="14"/>
        <v>5.438611686649363</v>
      </c>
    </row>
    <row r="133" spans="1:12" x14ac:dyDescent="0.3">
      <c r="A133">
        <v>5</v>
      </c>
      <c r="B133">
        <v>5</v>
      </c>
      <c r="C133">
        <v>5.3147877013177176</v>
      </c>
      <c r="D133">
        <v>5.4679355783308887</v>
      </c>
      <c r="E133">
        <f t="shared" si="10"/>
        <v>0.14730036506755725</v>
      </c>
      <c r="F133">
        <f t="shared" si="11"/>
        <v>9.9091296900892592E-2</v>
      </c>
      <c r="G133">
        <f t="shared" si="12"/>
        <v>0.21896370546786328</v>
      </c>
      <c r="H133">
        <v>177.90128843338192</v>
      </c>
      <c r="I133">
        <v>162.98770131771641</v>
      </c>
      <c r="J133">
        <v>242.63557833089328</v>
      </c>
      <c r="K133">
        <f t="shared" si="13"/>
        <v>4.9043813436425818</v>
      </c>
      <c r="L133">
        <f t="shared" si="14"/>
        <v>5.0174211995626834</v>
      </c>
    </row>
    <row r="134" spans="1:12" x14ac:dyDescent="0.3">
      <c r="A134">
        <v>5.5</v>
      </c>
      <c r="B134">
        <v>5.3</v>
      </c>
      <c r="C134">
        <v>5.3147877013177176</v>
      </c>
      <c r="D134">
        <v>5.4679355783308887</v>
      </c>
      <c r="E134">
        <f t="shared" si="10"/>
        <v>-3.1103734493202428E-2</v>
      </c>
      <c r="F134">
        <f t="shared" si="11"/>
        <v>3.4303595583174987E-2</v>
      </c>
      <c r="G134">
        <f t="shared" si="12"/>
        <v>2.8202358469330124E-2</v>
      </c>
      <c r="H134">
        <v>177.90128843338192</v>
      </c>
      <c r="I134">
        <v>162.98770131771641</v>
      </c>
      <c r="J134">
        <v>242.63557833089328</v>
      </c>
      <c r="K134">
        <f t="shared" si="13"/>
        <v>5.2099446808676424</v>
      </c>
      <c r="L134">
        <f t="shared" si="14"/>
        <v>5.3528465028826</v>
      </c>
    </row>
    <row r="135" spans="1:12" x14ac:dyDescent="0.3">
      <c r="A135">
        <v>5.9</v>
      </c>
      <c r="B135">
        <v>6.3</v>
      </c>
      <c r="C135">
        <v>5.3147877013177176</v>
      </c>
      <c r="D135">
        <v>5.4679355783308887</v>
      </c>
      <c r="E135">
        <f t="shared" si="10"/>
        <v>0.48693433285672472</v>
      </c>
      <c r="F135">
        <f t="shared" si="11"/>
        <v>0.34247343452900131</v>
      </c>
      <c r="G135">
        <f t="shared" si="12"/>
        <v>0.69233120180755237</v>
      </c>
      <c r="H135">
        <v>177.90128843338192</v>
      </c>
      <c r="I135">
        <v>162.98770131771641</v>
      </c>
      <c r="J135">
        <v>242.63557833089328</v>
      </c>
      <c r="K135">
        <f t="shared" si="13"/>
        <v>6.048181465996846</v>
      </c>
      <c r="L135">
        <f t="shared" si="14"/>
        <v>6.2730021421659341</v>
      </c>
    </row>
    <row r="136" spans="1:12" x14ac:dyDescent="0.3">
      <c r="A136">
        <v>5</v>
      </c>
      <c r="B136">
        <v>5.2</v>
      </c>
      <c r="C136">
        <v>5.3147877013177176</v>
      </c>
      <c r="D136">
        <v>5.4679355783308887</v>
      </c>
      <c r="E136">
        <f t="shared" si="10"/>
        <v>8.4342824804013672E-2</v>
      </c>
      <c r="F136">
        <f t="shared" si="11"/>
        <v>9.9091296900892592E-2</v>
      </c>
      <c r="G136">
        <f t="shared" si="12"/>
        <v>7.1789474135507708E-2</v>
      </c>
      <c r="H136">
        <v>177.90128843338192</v>
      </c>
      <c r="I136">
        <v>162.98770131771641</v>
      </c>
      <c r="J136">
        <v>242.63557833089328</v>
      </c>
      <c r="K136">
        <f t="shared" si="13"/>
        <v>5.0606408476818334</v>
      </c>
      <c r="L136">
        <f t="shared" si="14"/>
        <v>5.1889515670962103</v>
      </c>
    </row>
    <row r="137" spans="1:12" x14ac:dyDescent="0.3">
      <c r="A137">
        <v>4.9000000000000004</v>
      </c>
      <c r="B137">
        <v>4.9000000000000004</v>
      </c>
      <c r="C137">
        <v>5.3147877013177176</v>
      </c>
      <c r="D137">
        <v>5.4679355783308887</v>
      </c>
      <c r="E137">
        <f t="shared" si="10"/>
        <v>0.23557269303241754</v>
      </c>
      <c r="F137">
        <f t="shared" si="11"/>
        <v>0.17204883716443581</v>
      </c>
      <c r="G137">
        <f t="shared" si="12"/>
        <v>0.32255082113404066</v>
      </c>
      <c r="H137">
        <v>177.90128843338192</v>
      </c>
      <c r="I137">
        <v>162.98770131771641</v>
      </c>
      <c r="J137">
        <v>242.63557833089328</v>
      </c>
      <c r="K137">
        <f t="shared" si="13"/>
        <v>4.8120167753897203</v>
      </c>
      <c r="L137">
        <f t="shared" si="14"/>
        <v>4.9160300653919959</v>
      </c>
    </row>
    <row r="138" spans="1:12" x14ac:dyDescent="0.3">
      <c r="A138">
        <v>5.0999999999999996</v>
      </c>
      <c r="B138">
        <v>5.4</v>
      </c>
      <c r="C138">
        <v>5.3147877013177176</v>
      </c>
      <c r="D138">
        <v>5.4679355783308887</v>
      </c>
      <c r="E138">
        <f t="shared" si="10"/>
        <v>1.4591726707381283E-2</v>
      </c>
      <c r="F138">
        <f t="shared" si="11"/>
        <v>4.613375663734922E-2</v>
      </c>
      <c r="G138">
        <f t="shared" si="12"/>
        <v>4.615242803152269E-3</v>
      </c>
      <c r="H138">
        <v>177.90128843338192</v>
      </c>
      <c r="I138">
        <v>162.98770131771641</v>
      </c>
      <c r="J138">
        <v>242.63557833089328</v>
      </c>
      <c r="K138">
        <f t="shared" si="13"/>
        <v>5.2311351679543217</v>
      </c>
      <c r="L138">
        <f t="shared" si="14"/>
        <v>5.3761078850336625</v>
      </c>
    </row>
    <row r="139" spans="1:12" x14ac:dyDescent="0.3">
      <c r="A139">
        <v>4.9000000000000004</v>
      </c>
      <c r="B139">
        <v>5.4</v>
      </c>
      <c r="C139">
        <v>5.3147877013177176</v>
      </c>
      <c r="D139">
        <v>5.4679355783308887</v>
      </c>
      <c r="E139">
        <f t="shared" si="10"/>
        <v>2.8178842373558909E-2</v>
      </c>
      <c r="F139">
        <f t="shared" si="11"/>
        <v>0.17204883716443581</v>
      </c>
      <c r="G139">
        <f t="shared" si="12"/>
        <v>4.615242803152269E-3</v>
      </c>
      <c r="H139">
        <v>177.90128843338192</v>
      </c>
      <c r="I139">
        <v>162.98770131771641</v>
      </c>
      <c r="J139">
        <v>242.63557833089328</v>
      </c>
      <c r="K139">
        <f t="shared" si="13"/>
        <v>5.2026655354878493</v>
      </c>
      <c r="L139">
        <f t="shared" si="14"/>
        <v>5.3448559842258128</v>
      </c>
    </row>
    <row r="140" spans="1:12" x14ac:dyDescent="0.3">
      <c r="A140">
        <v>5.3</v>
      </c>
      <c r="B140">
        <v>5.5</v>
      </c>
      <c r="C140">
        <v>5.3147877013177176</v>
      </c>
      <c r="D140">
        <v>5.4679355783308887</v>
      </c>
      <c r="E140">
        <f t="shared" si="10"/>
        <v>-4.7415909056817545E-4</v>
      </c>
      <c r="F140">
        <f t="shared" si="11"/>
        <v>2.1867611026203226E-4</v>
      </c>
      <c r="G140">
        <f t="shared" si="12"/>
        <v>1.0281271369745727E-3</v>
      </c>
      <c r="H140">
        <v>177.90128843338192</v>
      </c>
      <c r="I140">
        <v>162.98770131771641</v>
      </c>
      <c r="J140">
        <v>242.63557833089328</v>
      </c>
      <c r="K140">
        <f t="shared" si="13"/>
        <v>5.3377345524404198</v>
      </c>
      <c r="L140">
        <f t="shared" si="14"/>
        <v>5.4931249696082753</v>
      </c>
    </row>
    <row r="141" spans="1:12" x14ac:dyDescent="0.3">
      <c r="A141">
        <v>5.0999999999999996</v>
      </c>
      <c r="B141">
        <v>5.6</v>
      </c>
      <c r="C141">
        <v>5.3147877013177176</v>
      </c>
      <c r="D141">
        <v>5.4679355783308887</v>
      </c>
      <c r="E141">
        <f t="shared" si="10"/>
        <v>-2.8365813556162155E-2</v>
      </c>
      <c r="F141">
        <f t="shared" si="11"/>
        <v>4.613375663734922E-2</v>
      </c>
      <c r="G141">
        <f t="shared" si="12"/>
        <v>1.7441011470796734E-2</v>
      </c>
      <c r="H141">
        <v>177.90128843338192</v>
      </c>
      <c r="I141">
        <v>162.98770131771641</v>
      </c>
      <c r="J141">
        <v>242.63557833089328</v>
      </c>
      <c r="K141">
        <f t="shared" si="13"/>
        <v>5.3873946719935724</v>
      </c>
      <c r="L141">
        <f t="shared" si="14"/>
        <v>5.5476382525671886</v>
      </c>
    </row>
    <row r="142" spans="1:12" x14ac:dyDescent="0.3">
      <c r="A142">
        <v>5.5</v>
      </c>
      <c r="B142">
        <v>5.8</v>
      </c>
      <c r="C142">
        <v>5.3147877013177176</v>
      </c>
      <c r="D142">
        <v>5.4679355783308887</v>
      </c>
      <c r="E142">
        <f t="shared" si="10"/>
        <v>6.1502414847938773E-2</v>
      </c>
      <c r="F142">
        <f t="shared" si="11"/>
        <v>3.4303595583174987E-2</v>
      </c>
      <c r="G142">
        <f t="shared" si="12"/>
        <v>0.11026678013844123</v>
      </c>
      <c r="H142">
        <v>177.90128843338192</v>
      </c>
      <c r="I142">
        <v>162.98770131771641</v>
      </c>
      <c r="J142">
        <v>242.63557833089328</v>
      </c>
      <c r="K142">
        <f t="shared" si="13"/>
        <v>5.6005934409657705</v>
      </c>
      <c r="L142">
        <f t="shared" si="14"/>
        <v>5.7816724217164159</v>
      </c>
    </row>
    <row r="143" spans="1:12" x14ac:dyDescent="0.3">
      <c r="A143">
        <v>5.5</v>
      </c>
      <c r="B143">
        <v>5.3</v>
      </c>
      <c r="C143">
        <v>5.3147877013177176</v>
      </c>
      <c r="D143">
        <v>5.4679355783308887</v>
      </c>
      <c r="E143">
        <f t="shared" si="10"/>
        <v>-3.1103734493202428E-2</v>
      </c>
      <c r="F143">
        <f t="shared" si="11"/>
        <v>3.4303595583174987E-2</v>
      </c>
      <c r="G143">
        <f t="shared" si="12"/>
        <v>2.8202358469330124E-2</v>
      </c>
      <c r="H143">
        <v>177.90128843338192</v>
      </c>
      <c r="I143">
        <v>162.98770131771641</v>
      </c>
      <c r="J143">
        <v>242.63557833089328</v>
      </c>
      <c r="K143">
        <f t="shared" si="13"/>
        <v>5.2099446808676424</v>
      </c>
      <c r="L143">
        <f t="shared" si="14"/>
        <v>5.3528465028826</v>
      </c>
    </row>
    <row r="144" spans="1:12" x14ac:dyDescent="0.3">
      <c r="A144">
        <v>6.1</v>
      </c>
      <c r="B144">
        <v>6.5</v>
      </c>
      <c r="C144">
        <v>5.3147877013177176</v>
      </c>
      <c r="D144">
        <v>5.4679355783308887</v>
      </c>
      <c r="E144">
        <f t="shared" si="10"/>
        <v>0.81038967692700292</v>
      </c>
      <c r="F144">
        <f t="shared" si="11"/>
        <v>0.61655835400191328</v>
      </c>
      <c r="G144">
        <f t="shared" si="12"/>
        <v>1.0651569704751971</v>
      </c>
      <c r="H144">
        <v>177.90128843338192</v>
      </c>
      <c r="I144">
        <v>162.98770131771641</v>
      </c>
      <c r="J144">
        <v>242.63557833089328</v>
      </c>
      <c r="K144">
        <f t="shared" si="13"/>
        <v>6.2329106025025709</v>
      </c>
      <c r="L144">
        <f t="shared" si="14"/>
        <v>6.4757844105073108</v>
      </c>
    </row>
    <row r="145" spans="1:12" x14ac:dyDescent="0.3">
      <c r="A145">
        <v>4.5</v>
      </c>
      <c r="B145">
        <v>5.5</v>
      </c>
      <c r="C145">
        <v>5.3147877013177176</v>
      </c>
      <c r="D145">
        <v>5.4679355783308887</v>
      </c>
      <c r="E145">
        <f t="shared" si="10"/>
        <v>-2.612569642585719E-2</v>
      </c>
      <c r="F145">
        <f t="shared" si="11"/>
        <v>0.66387899821861018</v>
      </c>
      <c r="G145">
        <f t="shared" si="12"/>
        <v>1.0281271369745727E-3</v>
      </c>
      <c r="H145">
        <v>177.90128843338192</v>
      </c>
      <c r="I145">
        <v>162.98770131771641</v>
      </c>
      <c r="J145">
        <v>242.63557833089328</v>
      </c>
      <c r="K145">
        <f t="shared" si="13"/>
        <v>5.2238560225745276</v>
      </c>
      <c r="L145">
        <f t="shared" si="14"/>
        <v>5.3681173663768744</v>
      </c>
    </row>
    <row r="146" spans="1:12" x14ac:dyDescent="0.3">
      <c r="A146">
        <v>4.9000000000000004</v>
      </c>
      <c r="B146">
        <v>5</v>
      </c>
      <c r="C146">
        <v>5.3147877013177176</v>
      </c>
      <c r="D146">
        <v>5.4679355783308887</v>
      </c>
      <c r="E146">
        <f t="shared" si="10"/>
        <v>0.19409392290064595</v>
      </c>
      <c r="F146">
        <f t="shared" si="11"/>
        <v>0.17204883716443581</v>
      </c>
      <c r="G146">
        <f t="shared" si="12"/>
        <v>0.21896370546786328</v>
      </c>
      <c r="H146">
        <v>177.90128843338192</v>
      </c>
      <c r="I146">
        <v>162.98770131771641</v>
      </c>
      <c r="J146">
        <v>242.63557833089328</v>
      </c>
      <c r="K146">
        <f t="shared" si="13"/>
        <v>4.8901465274093461</v>
      </c>
      <c r="L146">
        <f t="shared" si="14"/>
        <v>5.0017952491587589</v>
      </c>
    </row>
    <row r="147" spans="1:12" x14ac:dyDescent="0.3">
      <c r="A147">
        <v>5.3</v>
      </c>
      <c r="B147">
        <v>5.2</v>
      </c>
      <c r="C147">
        <v>5.3147877013177176</v>
      </c>
      <c r="D147">
        <v>5.4679355783308887</v>
      </c>
      <c r="E147">
        <f t="shared" si="10"/>
        <v>3.9621513047471569E-3</v>
      </c>
      <c r="F147">
        <f t="shared" si="11"/>
        <v>2.1867611026203226E-4</v>
      </c>
      <c r="G147">
        <f t="shared" si="12"/>
        <v>7.1789474135507708E-2</v>
      </c>
      <c r="H147">
        <v>177.90128843338192</v>
      </c>
      <c r="I147">
        <v>162.98770131771641</v>
      </c>
      <c r="J147">
        <v>242.63557833089328</v>
      </c>
      <c r="K147">
        <f t="shared" si="13"/>
        <v>5.1033452963815442</v>
      </c>
      <c r="L147">
        <f t="shared" si="14"/>
        <v>5.2358294183079863</v>
      </c>
    </row>
    <row r="148" spans="1:12" x14ac:dyDescent="0.3">
      <c r="A148">
        <v>5.0999999999999996</v>
      </c>
      <c r="B148">
        <v>5.0999999999999996</v>
      </c>
      <c r="C148">
        <v>5.3147877013177176</v>
      </c>
      <c r="D148">
        <v>5.4679355783308887</v>
      </c>
      <c r="E148">
        <f t="shared" si="10"/>
        <v>7.9028037102696819E-2</v>
      </c>
      <c r="F148">
        <f t="shared" si="11"/>
        <v>4.613375663734922E-2</v>
      </c>
      <c r="G148">
        <f t="shared" si="12"/>
        <v>0.13537658980168582</v>
      </c>
      <c r="H148">
        <v>177.90128843338192</v>
      </c>
      <c r="I148">
        <v>162.98770131771641</v>
      </c>
      <c r="J148">
        <v>242.63557833089328</v>
      </c>
      <c r="K148">
        <f t="shared" si="13"/>
        <v>4.9967459118954443</v>
      </c>
      <c r="L148">
        <f t="shared" si="14"/>
        <v>5.1188123337333717</v>
      </c>
    </row>
    <row r="149" spans="1:12" x14ac:dyDescent="0.3">
      <c r="A149">
        <v>5.8</v>
      </c>
      <c r="B149">
        <v>6.1</v>
      </c>
      <c r="C149">
        <v>5.3147877013177176</v>
      </c>
      <c r="D149">
        <v>5.4679355783308887</v>
      </c>
      <c r="E149">
        <f t="shared" si="10"/>
        <v>0.3066854309533566</v>
      </c>
      <c r="F149">
        <f t="shared" si="11"/>
        <v>0.23543097479254424</v>
      </c>
      <c r="G149">
        <f t="shared" si="12"/>
        <v>0.39950543313990766</v>
      </c>
      <c r="H149">
        <v>177.90128843338192</v>
      </c>
      <c r="I149">
        <v>162.98770131771641</v>
      </c>
      <c r="J149">
        <v>242.63557833089328</v>
      </c>
      <c r="K149">
        <f t="shared" si="13"/>
        <v>5.8776871457243578</v>
      </c>
      <c r="L149">
        <f t="shared" si="14"/>
        <v>6.0858458242284819</v>
      </c>
    </row>
    <row r="150" spans="1:12" x14ac:dyDescent="0.3">
      <c r="A150">
        <v>4.7</v>
      </c>
      <c r="B150">
        <v>5.4</v>
      </c>
      <c r="C150">
        <v>5.3147877013177176</v>
      </c>
      <c r="D150">
        <v>5.4679355783308887</v>
      </c>
      <c r="E150">
        <f t="shared" si="10"/>
        <v>4.1765958039736595E-2</v>
      </c>
      <c r="F150">
        <f t="shared" si="11"/>
        <v>0.37796391769152293</v>
      </c>
      <c r="G150">
        <f t="shared" si="12"/>
        <v>4.615242803152269E-3</v>
      </c>
      <c r="H150">
        <v>177.90128843338192</v>
      </c>
      <c r="I150">
        <v>162.98770131771641</v>
      </c>
      <c r="J150">
        <v>242.63557833089328</v>
      </c>
      <c r="K150">
        <f t="shared" si="13"/>
        <v>5.174195903021376</v>
      </c>
      <c r="L150">
        <f t="shared" si="14"/>
        <v>5.3136040834179621</v>
      </c>
    </row>
    <row r="151" spans="1:12" x14ac:dyDescent="0.3">
      <c r="A151">
        <v>5.0999999999999996</v>
      </c>
      <c r="B151">
        <v>5.5</v>
      </c>
      <c r="C151">
        <v>5.3147877013177176</v>
      </c>
      <c r="D151">
        <v>5.4679355783308887</v>
      </c>
      <c r="E151">
        <f t="shared" si="10"/>
        <v>-6.8870434243904367E-3</v>
      </c>
      <c r="F151">
        <f t="shared" si="11"/>
        <v>4.613375663734922E-2</v>
      </c>
      <c r="G151">
        <f t="shared" si="12"/>
        <v>1.0281271369745727E-3</v>
      </c>
      <c r="H151">
        <v>177.90128843338192</v>
      </c>
      <c r="I151">
        <v>162.98770131771641</v>
      </c>
      <c r="J151">
        <v>242.63557833089328</v>
      </c>
      <c r="K151">
        <f t="shared" si="13"/>
        <v>5.3092649199739474</v>
      </c>
      <c r="L151">
        <f t="shared" si="14"/>
        <v>5.4618730688004256</v>
      </c>
    </row>
    <row r="152" spans="1:12" x14ac:dyDescent="0.3">
      <c r="A152">
        <v>5.2</v>
      </c>
      <c r="B152">
        <v>5.4</v>
      </c>
      <c r="C152">
        <v>5.3147877013177176</v>
      </c>
      <c r="D152">
        <v>5.4679355783308887</v>
      </c>
      <c r="E152">
        <f t="shared" si="10"/>
        <v>7.7981688742924105E-3</v>
      </c>
      <c r="F152">
        <f t="shared" si="11"/>
        <v>1.3176216373805507E-2</v>
      </c>
      <c r="G152">
        <f t="shared" si="12"/>
        <v>4.615242803152269E-3</v>
      </c>
      <c r="H152">
        <v>177.90128843338192</v>
      </c>
      <c r="I152">
        <v>162.98770131771641</v>
      </c>
      <c r="J152">
        <v>242.63557833089328</v>
      </c>
      <c r="K152">
        <f t="shared" si="13"/>
        <v>5.2453699841875583</v>
      </c>
      <c r="L152">
        <f t="shared" si="14"/>
        <v>5.391733835437587</v>
      </c>
    </row>
    <row r="153" spans="1:12" x14ac:dyDescent="0.3">
      <c r="A153">
        <v>5.0999999999999996</v>
      </c>
      <c r="B153">
        <v>5.3</v>
      </c>
      <c r="C153">
        <v>5.3147877013177176</v>
      </c>
      <c r="D153">
        <v>5.4679355783308887</v>
      </c>
      <c r="E153">
        <f t="shared" si="10"/>
        <v>3.6070496839153192E-2</v>
      </c>
      <c r="F153">
        <f t="shared" si="11"/>
        <v>4.613375663734922E-2</v>
      </c>
      <c r="G153">
        <f t="shared" si="12"/>
        <v>2.8202358469330124E-2</v>
      </c>
      <c r="H153">
        <v>177.90128843338192</v>
      </c>
      <c r="I153">
        <v>162.98770131771641</v>
      </c>
      <c r="J153">
        <v>242.63557833089328</v>
      </c>
      <c r="K153">
        <f t="shared" si="13"/>
        <v>5.1530054159346959</v>
      </c>
      <c r="L153">
        <f t="shared" si="14"/>
        <v>5.2903427012668987</v>
      </c>
    </row>
    <row r="154" spans="1:12" x14ac:dyDescent="0.3">
      <c r="A154">
        <v>5</v>
      </c>
      <c r="B154">
        <v>5.2</v>
      </c>
      <c r="C154">
        <v>5.3147877013177176</v>
      </c>
      <c r="D154">
        <v>5.4679355783308887</v>
      </c>
      <c r="E154">
        <f t="shared" si="10"/>
        <v>8.4342824804013672E-2</v>
      </c>
      <c r="F154">
        <f t="shared" si="11"/>
        <v>9.9091296900892592E-2</v>
      </c>
      <c r="G154">
        <f t="shared" si="12"/>
        <v>7.1789474135507708E-2</v>
      </c>
      <c r="H154">
        <v>177.90128843338192</v>
      </c>
      <c r="I154">
        <v>162.98770131771641</v>
      </c>
      <c r="J154">
        <v>242.63557833089328</v>
      </c>
      <c r="K154">
        <f t="shared" si="13"/>
        <v>5.0606408476818334</v>
      </c>
      <c r="L154">
        <f t="shared" si="14"/>
        <v>5.1889515670962103</v>
      </c>
    </row>
    <row r="155" spans="1:12" x14ac:dyDescent="0.3">
      <c r="A155">
        <v>5.4</v>
      </c>
      <c r="B155">
        <v>5.3</v>
      </c>
      <c r="C155">
        <v>5.3147877013177176</v>
      </c>
      <c r="D155">
        <v>5.4679355783308887</v>
      </c>
      <c r="E155">
        <f t="shared" si="10"/>
        <v>-1.4310176660113597E-2</v>
      </c>
      <c r="F155">
        <f t="shared" si="11"/>
        <v>7.2611358467185661E-3</v>
      </c>
      <c r="G155">
        <f t="shared" si="12"/>
        <v>2.8202358469330124E-2</v>
      </c>
      <c r="H155">
        <v>177.90128843338192</v>
      </c>
      <c r="I155">
        <v>162.98770131771641</v>
      </c>
      <c r="J155">
        <v>242.63557833089328</v>
      </c>
      <c r="K155">
        <f t="shared" si="13"/>
        <v>5.1957098646344058</v>
      </c>
      <c r="L155">
        <f t="shared" si="14"/>
        <v>5.3372205524786747</v>
      </c>
    </row>
    <row r="156" spans="1:12" x14ac:dyDescent="0.3">
      <c r="A156">
        <v>6</v>
      </c>
      <c r="B156">
        <v>6.3</v>
      </c>
      <c r="C156">
        <v>5.3147877013177176</v>
      </c>
      <c r="D156">
        <v>5.4679355783308887</v>
      </c>
      <c r="E156">
        <f t="shared" si="10"/>
        <v>0.57014077502363547</v>
      </c>
      <c r="F156">
        <f t="shared" si="11"/>
        <v>0.46951589426545737</v>
      </c>
      <c r="G156">
        <f t="shared" si="12"/>
        <v>0.69233120180755237</v>
      </c>
      <c r="H156">
        <v>177.90128843338192</v>
      </c>
      <c r="I156">
        <v>162.98770131771641</v>
      </c>
      <c r="J156">
        <v>242.63557833089328</v>
      </c>
      <c r="K156">
        <f t="shared" si="13"/>
        <v>6.0624162822300836</v>
      </c>
      <c r="L156">
        <f t="shared" si="14"/>
        <v>6.2886280925698603</v>
      </c>
    </row>
    <row r="157" spans="1:12" x14ac:dyDescent="0.3">
      <c r="A157">
        <v>6</v>
      </c>
      <c r="B157">
        <v>6</v>
      </c>
      <c r="C157">
        <v>5.3147877013177176</v>
      </c>
      <c r="D157">
        <v>5.4679355783308887</v>
      </c>
      <c r="E157">
        <f t="shared" si="10"/>
        <v>0.3645770854189509</v>
      </c>
      <c r="F157">
        <f t="shared" si="11"/>
        <v>0.46951589426545737</v>
      </c>
      <c r="G157">
        <f t="shared" si="12"/>
        <v>0.28309254880608586</v>
      </c>
      <c r="H157">
        <v>177.90128843338192</v>
      </c>
      <c r="I157">
        <v>162.98770131771641</v>
      </c>
      <c r="J157">
        <v>242.63557833089328</v>
      </c>
      <c r="K157">
        <f t="shared" si="13"/>
        <v>5.8280270261712062</v>
      </c>
      <c r="L157">
        <f t="shared" si="14"/>
        <v>6.0313325412695695</v>
      </c>
    </row>
    <row r="158" spans="1:12" x14ac:dyDescent="0.3">
      <c r="A158">
        <v>5.0999999999999996</v>
      </c>
      <c r="B158">
        <v>5.2</v>
      </c>
      <c r="C158">
        <v>5.3147877013177176</v>
      </c>
      <c r="D158">
        <v>5.4679355783308887</v>
      </c>
      <c r="E158">
        <f t="shared" si="10"/>
        <v>5.7549266970924912E-2</v>
      </c>
      <c r="F158">
        <f t="shared" si="11"/>
        <v>4.613375663734922E-2</v>
      </c>
      <c r="G158">
        <f t="shared" si="12"/>
        <v>7.1789474135507708E-2</v>
      </c>
      <c r="H158">
        <v>177.90128843338192</v>
      </c>
      <c r="I158">
        <v>162.98770131771641</v>
      </c>
      <c r="J158">
        <v>242.63557833089328</v>
      </c>
      <c r="K158">
        <f t="shared" si="13"/>
        <v>5.0748756639150701</v>
      </c>
      <c r="L158">
        <f t="shared" si="14"/>
        <v>5.2045775175001356</v>
      </c>
    </row>
    <row r="159" spans="1:12" x14ac:dyDescent="0.3">
      <c r="A159">
        <v>5.7</v>
      </c>
      <c r="B159">
        <v>5.7</v>
      </c>
      <c r="C159">
        <v>5.3147877013177176</v>
      </c>
      <c r="D159">
        <v>5.4679355783308887</v>
      </c>
      <c r="E159">
        <f t="shared" si="10"/>
        <v>8.9394069313532928E-2</v>
      </c>
      <c r="F159">
        <f t="shared" si="11"/>
        <v>0.14838851505608808</v>
      </c>
      <c r="G159">
        <f t="shared" si="12"/>
        <v>5.3853895804619169E-2</v>
      </c>
      <c r="H159">
        <v>177.90128843338192</v>
      </c>
      <c r="I159">
        <v>162.98770131771641</v>
      </c>
      <c r="J159">
        <v>242.63557833089328</v>
      </c>
      <c r="K159">
        <f t="shared" si="13"/>
        <v>5.550933321412618</v>
      </c>
      <c r="L159">
        <f t="shared" si="14"/>
        <v>5.7271591387575027</v>
      </c>
    </row>
    <row r="160" spans="1:12" x14ac:dyDescent="0.3">
      <c r="A160">
        <v>4.7</v>
      </c>
      <c r="B160">
        <v>5.2</v>
      </c>
      <c r="C160">
        <v>5.3147877013177176</v>
      </c>
      <c r="D160">
        <v>5.4679355783308887</v>
      </c>
      <c r="E160">
        <f t="shared" si="10"/>
        <v>0.1647234983032802</v>
      </c>
      <c r="F160">
        <f t="shared" si="11"/>
        <v>0.37796391769152293</v>
      </c>
      <c r="G160">
        <f t="shared" si="12"/>
        <v>7.1789474135507708E-2</v>
      </c>
      <c r="H160">
        <v>177.90128843338192</v>
      </c>
      <c r="I160">
        <v>162.98770131771641</v>
      </c>
      <c r="J160">
        <v>242.63557833089328</v>
      </c>
      <c r="K160">
        <f t="shared" si="13"/>
        <v>5.0179363989821244</v>
      </c>
      <c r="L160">
        <f t="shared" si="14"/>
        <v>5.1420737158844352</v>
      </c>
    </row>
    <row r="161" spans="1:12" x14ac:dyDescent="0.3">
      <c r="A161">
        <v>5.4</v>
      </c>
      <c r="B161">
        <v>5.4</v>
      </c>
      <c r="C161">
        <v>5.3147877013177176</v>
      </c>
      <c r="D161">
        <v>5.4679355783308887</v>
      </c>
      <c r="E161">
        <f t="shared" si="10"/>
        <v>-5.7889467918852758E-3</v>
      </c>
      <c r="F161">
        <f t="shared" si="11"/>
        <v>7.2611358467185661E-3</v>
      </c>
      <c r="G161">
        <f t="shared" si="12"/>
        <v>4.615242803152269E-3</v>
      </c>
      <c r="H161">
        <v>177.90128843338192</v>
      </c>
      <c r="I161">
        <v>162.98770131771641</v>
      </c>
      <c r="J161">
        <v>242.63557833089328</v>
      </c>
      <c r="K161">
        <f t="shared" si="13"/>
        <v>5.2738396166540316</v>
      </c>
      <c r="L161">
        <f t="shared" si="14"/>
        <v>5.4229857362454377</v>
      </c>
    </row>
    <row r="162" spans="1:12" x14ac:dyDescent="0.3">
      <c r="A162">
        <v>5.0999999999999996</v>
      </c>
      <c r="B162">
        <v>5.0999999999999996</v>
      </c>
      <c r="C162">
        <v>5.3147877013177176</v>
      </c>
      <c r="D162">
        <v>5.4679355783308887</v>
      </c>
      <c r="E162">
        <f t="shared" si="10"/>
        <v>7.9028037102696819E-2</v>
      </c>
      <c r="F162">
        <f t="shared" si="11"/>
        <v>4.613375663734922E-2</v>
      </c>
      <c r="G162">
        <f t="shared" si="12"/>
        <v>0.13537658980168582</v>
      </c>
      <c r="H162">
        <v>177.90128843338192</v>
      </c>
      <c r="I162">
        <v>162.98770131771641</v>
      </c>
      <c r="J162">
        <v>242.63557833089328</v>
      </c>
      <c r="K162">
        <f t="shared" si="13"/>
        <v>4.9967459118954443</v>
      </c>
      <c r="L162">
        <f t="shared" si="14"/>
        <v>5.1188123337333717</v>
      </c>
    </row>
    <row r="163" spans="1:12" x14ac:dyDescent="0.3">
      <c r="A163">
        <v>5.9</v>
      </c>
      <c r="B163">
        <v>5.9</v>
      </c>
      <c r="C163">
        <v>5.3147877013177176</v>
      </c>
      <c r="D163">
        <v>5.4679355783308887</v>
      </c>
      <c r="E163">
        <f t="shared" si="10"/>
        <v>0.25284941338381189</v>
      </c>
      <c r="F163">
        <f t="shared" si="11"/>
        <v>0.34247343452900131</v>
      </c>
      <c r="G163">
        <f t="shared" si="12"/>
        <v>0.18667966447226389</v>
      </c>
      <c r="H163">
        <v>177.90128843338192</v>
      </c>
      <c r="I163">
        <v>162.98770131771641</v>
      </c>
      <c r="J163">
        <v>242.63557833089328</v>
      </c>
      <c r="K163">
        <f t="shared" si="13"/>
        <v>5.7356624579183437</v>
      </c>
      <c r="L163">
        <f t="shared" si="14"/>
        <v>5.9299414070988812</v>
      </c>
    </row>
    <row r="164" spans="1:12" x14ac:dyDescent="0.3">
      <c r="A164">
        <v>5.9</v>
      </c>
      <c r="B164">
        <v>5.9</v>
      </c>
      <c r="C164">
        <v>5.3147877013177176</v>
      </c>
      <c r="D164">
        <v>5.4679355783308887</v>
      </c>
      <c r="E164">
        <f t="shared" si="10"/>
        <v>0.25284941338381189</v>
      </c>
      <c r="F164">
        <f t="shared" si="11"/>
        <v>0.34247343452900131</v>
      </c>
      <c r="G164">
        <f t="shared" si="12"/>
        <v>0.18667966447226389</v>
      </c>
      <c r="H164">
        <v>177.90128843338192</v>
      </c>
      <c r="I164">
        <v>162.98770131771641</v>
      </c>
      <c r="J164">
        <v>242.63557833089328</v>
      </c>
      <c r="K164">
        <f t="shared" si="13"/>
        <v>5.7356624579183437</v>
      </c>
      <c r="L164">
        <f t="shared" si="14"/>
        <v>5.9299414070988812</v>
      </c>
    </row>
    <row r="165" spans="1:12" x14ac:dyDescent="0.3">
      <c r="A165">
        <v>5.0999999999999996</v>
      </c>
      <c r="B165">
        <v>5.3</v>
      </c>
      <c r="C165">
        <v>5.3147877013177176</v>
      </c>
      <c r="D165">
        <v>5.4679355783308887</v>
      </c>
      <c r="E165">
        <f t="shared" si="10"/>
        <v>3.6070496839153192E-2</v>
      </c>
      <c r="F165">
        <f t="shared" si="11"/>
        <v>4.613375663734922E-2</v>
      </c>
      <c r="G165">
        <f t="shared" si="12"/>
        <v>2.8202358469330124E-2</v>
      </c>
      <c r="H165">
        <v>177.90128843338192</v>
      </c>
      <c r="I165">
        <v>162.98770131771641</v>
      </c>
      <c r="J165">
        <v>242.63557833089328</v>
      </c>
      <c r="K165">
        <f t="shared" si="13"/>
        <v>5.1530054159346959</v>
      </c>
      <c r="L165">
        <f t="shared" si="14"/>
        <v>5.2903427012668987</v>
      </c>
    </row>
    <row r="166" spans="1:12" x14ac:dyDescent="0.3">
      <c r="A166">
        <v>5.5</v>
      </c>
      <c r="B166">
        <v>5.6</v>
      </c>
      <c r="C166">
        <v>5.3147877013177176</v>
      </c>
      <c r="D166">
        <v>5.4679355783308887</v>
      </c>
      <c r="E166">
        <f t="shared" si="10"/>
        <v>2.4459955111482259E-2</v>
      </c>
      <c r="F166">
        <f t="shared" si="11"/>
        <v>3.4303595583174987E-2</v>
      </c>
      <c r="G166">
        <f t="shared" si="12"/>
        <v>1.7441011470796734E-2</v>
      </c>
      <c r="H166">
        <v>177.90128843338192</v>
      </c>
      <c r="I166">
        <v>162.98770131771641</v>
      </c>
      <c r="J166">
        <v>242.63557833089328</v>
      </c>
      <c r="K166">
        <f t="shared" si="13"/>
        <v>5.4443339369265189</v>
      </c>
      <c r="L166">
        <f t="shared" si="14"/>
        <v>5.610142054182889</v>
      </c>
    </row>
    <row r="167" spans="1:12" x14ac:dyDescent="0.3">
      <c r="A167">
        <v>5.3</v>
      </c>
      <c r="B167">
        <v>5.2</v>
      </c>
      <c r="C167">
        <v>5.3147877013177176</v>
      </c>
      <c r="D167">
        <v>5.4679355783308887</v>
      </c>
      <c r="E167">
        <f t="shared" si="10"/>
        <v>3.9621513047471569E-3</v>
      </c>
      <c r="F167">
        <f t="shared" si="11"/>
        <v>2.1867611026203226E-4</v>
      </c>
      <c r="G167">
        <f t="shared" si="12"/>
        <v>7.1789474135507708E-2</v>
      </c>
      <c r="H167">
        <v>177.90128843338192</v>
      </c>
      <c r="I167">
        <v>162.98770131771641</v>
      </c>
      <c r="J167">
        <v>242.63557833089328</v>
      </c>
      <c r="K167">
        <f t="shared" si="13"/>
        <v>5.1033452963815442</v>
      </c>
      <c r="L167">
        <f t="shared" si="14"/>
        <v>5.2358294183079863</v>
      </c>
    </row>
    <row r="168" spans="1:12" x14ac:dyDescent="0.3">
      <c r="A168">
        <v>5</v>
      </c>
      <c r="B168">
        <v>5.3</v>
      </c>
      <c r="C168">
        <v>5.3147877013177176</v>
      </c>
      <c r="D168">
        <v>5.4679355783308887</v>
      </c>
      <c r="E168">
        <f t="shared" si="10"/>
        <v>5.2864054672242027E-2</v>
      </c>
      <c r="F168">
        <f t="shared" si="11"/>
        <v>9.9091296900892592E-2</v>
      </c>
      <c r="G168">
        <f t="shared" si="12"/>
        <v>2.8202358469330124E-2</v>
      </c>
      <c r="H168">
        <v>177.90128843338192</v>
      </c>
      <c r="I168">
        <v>162.98770131771641</v>
      </c>
      <c r="J168">
        <v>242.63557833089328</v>
      </c>
      <c r="K168">
        <f t="shared" si="13"/>
        <v>5.1387705997014592</v>
      </c>
      <c r="L168">
        <f t="shared" si="14"/>
        <v>5.2747167508629733</v>
      </c>
    </row>
    <row r="169" spans="1:12" x14ac:dyDescent="0.3">
      <c r="A169">
        <v>5.0999999999999996</v>
      </c>
      <c r="B169">
        <v>5.0999999999999996</v>
      </c>
      <c r="C169">
        <v>5.3147877013177176</v>
      </c>
      <c r="D169">
        <v>5.4679355783308887</v>
      </c>
      <c r="E169">
        <f t="shared" si="10"/>
        <v>7.9028037102696819E-2</v>
      </c>
      <c r="F169">
        <f t="shared" si="11"/>
        <v>4.613375663734922E-2</v>
      </c>
      <c r="G169">
        <f t="shared" si="12"/>
        <v>0.13537658980168582</v>
      </c>
      <c r="H169">
        <v>177.90128843338192</v>
      </c>
      <c r="I169">
        <v>162.98770131771641</v>
      </c>
      <c r="J169">
        <v>242.63557833089328</v>
      </c>
      <c r="K169">
        <f t="shared" si="13"/>
        <v>4.9967459118954443</v>
      </c>
      <c r="L169">
        <f t="shared" si="14"/>
        <v>5.1188123337333717</v>
      </c>
    </row>
    <row r="170" spans="1:12" x14ac:dyDescent="0.3">
      <c r="A170">
        <v>5.0999999999999996</v>
      </c>
      <c r="B170">
        <v>5.4</v>
      </c>
      <c r="C170">
        <v>5.3147877013177176</v>
      </c>
      <c r="D170">
        <v>5.4679355783308887</v>
      </c>
      <c r="E170">
        <f t="shared" si="10"/>
        <v>1.4591726707381283E-2</v>
      </c>
      <c r="F170">
        <f t="shared" si="11"/>
        <v>4.613375663734922E-2</v>
      </c>
      <c r="G170">
        <f t="shared" si="12"/>
        <v>4.615242803152269E-3</v>
      </c>
      <c r="H170">
        <v>177.90128843338192</v>
      </c>
      <c r="I170">
        <v>162.98770131771641</v>
      </c>
      <c r="J170">
        <v>242.63557833089328</v>
      </c>
      <c r="K170">
        <f t="shared" si="13"/>
        <v>5.2311351679543217</v>
      </c>
      <c r="L170">
        <f t="shared" si="14"/>
        <v>5.3761078850336625</v>
      </c>
    </row>
    <row r="171" spans="1:12" x14ac:dyDescent="0.3">
      <c r="A171">
        <v>4.7</v>
      </c>
      <c r="B171">
        <v>5.0999999999999996</v>
      </c>
      <c r="C171">
        <v>5.3147877013177176</v>
      </c>
      <c r="D171">
        <v>5.4679355783308887</v>
      </c>
      <c r="E171">
        <f t="shared" si="10"/>
        <v>0.22620226843505226</v>
      </c>
      <c r="F171">
        <f t="shared" si="11"/>
        <v>0.37796391769152293</v>
      </c>
      <c r="G171">
        <f t="shared" si="12"/>
        <v>0.13537658980168582</v>
      </c>
      <c r="H171">
        <v>177.90128843338192</v>
      </c>
      <c r="I171">
        <v>162.98770131771641</v>
      </c>
      <c r="J171">
        <v>242.63557833089328</v>
      </c>
      <c r="K171">
        <f t="shared" si="13"/>
        <v>4.9398066469624977</v>
      </c>
      <c r="L171">
        <f t="shared" si="14"/>
        <v>5.0563085321176713</v>
      </c>
    </row>
    <row r="172" spans="1:12" x14ac:dyDescent="0.3">
      <c r="A172">
        <v>5.6</v>
      </c>
      <c r="B172">
        <v>5.5</v>
      </c>
      <c r="C172">
        <v>5.3147877013177176</v>
      </c>
      <c r="D172">
        <v>5.4679355783308887</v>
      </c>
      <c r="E172">
        <f t="shared" si="10"/>
        <v>9.1451674101652013E-3</v>
      </c>
      <c r="F172">
        <f t="shared" si="11"/>
        <v>8.1346055319631266E-2</v>
      </c>
      <c r="G172">
        <f t="shared" si="12"/>
        <v>1.0281271369745727E-3</v>
      </c>
      <c r="H172">
        <v>177.90128843338192</v>
      </c>
      <c r="I172">
        <v>162.98770131771641</v>
      </c>
      <c r="J172">
        <v>242.63557833089328</v>
      </c>
      <c r="K172">
        <f t="shared" si="13"/>
        <v>5.3804390011401306</v>
      </c>
      <c r="L172">
        <f t="shared" si="14"/>
        <v>5.5400028208200514</v>
      </c>
    </row>
    <row r="173" spans="1:12" x14ac:dyDescent="0.3">
      <c r="A173">
        <v>4.9000000000000004</v>
      </c>
      <c r="B173">
        <v>4.8</v>
      </c>
      <c r="C173">
        <v>5.3147877013177176</v>
      </c>
      <c r="D173">
        <v>5.4679355783308887</v>
      </c>
      <c r="E173">
        <f t="shared" si="10"/>
        <v>0.27705146316418949</v>
      </c>
      <c r="F173">
        <f t="shared" si="11"/>
        <v>0.17204883716443581</v>
      </c>
      <c r="G173">
        <f t="shared" si="12"/>
        <v>0.44613793680021901</v>
      </c>
      <c r="H173">
        <v>177.90128843338192</v>
      </c>
      <c r="I173">
        <v>162.98770131771641</v>
      </c>
      <c r="J173">
        <v>242.63557833089328</v>
      </c>
      <c r="K173">
        <f t="shared" si="13"/>
        <v>4.7338870233700936</v>
      </c>
      <c r="L173">
        <f t="shared" si="14"/>
        <v>4.8302648816252312</v>
      </c>
    </row>
    <row r="174" spans="1:12" x14ac:dyDescent="0.3">
      <c r="A174">
        <v>5.6</v>
      </c>
      <c r="B174">
        <v>5.7</v>
      </c>
      <c r="C174">
        <v>5.3147877013177176</v>
      </c>
      <c r="D174">
        <v>5.4679355783308887</v>
      </c>
      <c r="E174">
        <f t="shared" si="10"/>
        <v>6.6187627146621658E-2</v>
      </c>
      <c r="F174">
        <f t="shared" si="11"/>
        <v>8.1346055319631266E-2</v>
      </c>
      <c r="G174">
        <f t="shared" si="12"/>
        <v>5.3853895804619169E-2</v>
      </c>
      <c r="H174">
        <v>177.90128843338192</v>
      </c>
      <c r="I174">
        <v>162.98770131771641</v>
      </c>
      <c r="J174">
        <v>242.63557833089328</v>
      </c>
      <c r="K174">
        <f t="shared" si="13"/>
        <v>5.5366985051793822</v>
      </c>
      <c r="L174">
        <f t="shared" si="14"/>
        <v>5.7115331883535783</v>
      </c>
    </row>
    <row r="175" spans="1:12" x14ac:dyDescent="0.3">
      <c r="A175">
        <v>5.4</v>
      </c>
      <c r="B175">
        <v>5.9</v>
      </c>
      <c r="C175">
        <v>5.3147877013177176</v>
      </c>
      <c r="D175">
        <v>5.4679355783308887</v>
      </c>
      <c r="E175">
        <f t="shared" si="10"/>
        <v>3.6817202549256099E-2</v>
      </c>
      <c r="F175">
        <f t="shared" si="11"/>
        <v>7.2611358467185661E-3</v>
      </c>
      <c r="G175">
        <f t="shared" si="12"/>
        <v>0.18667966447226389</v>
      </c>
      <c r="H175">
        <v>177.90128843338192</v>
      </c>
      <c r="I175">
        <v>162.98770131771641</v>
      </c>
      <c r="J175">
        <v>242.63557833089328</v>
      </c>
      <c r="K175">
        <f t="shared" si="13"/>
        <v>5.6644883767521605</v>
      </c>
      <c r="L175">
        <f t="shared" si="14"/>
        <v>5.8518116550792554</v>
      </c>
    </row>
    <row r="176" spans="1:12" x14ac:dyDescent="0.3">
      <c r="A176">
        <v>5</v>
      </c>
      <c r="B176">
        <v>5.3</v>
      </c>
      <c r="C176">
        <v>5.3147877013177176</v>
      </c>
      <c r="D176">
        <v>5.4679355783308887</v>
      </c>
      <c r="E176">
        <f t="shared" si="10"/>
        <v>5.2864054672242027E-2</v>
      </c>
      <c r="F176">
        <f t="shared" si="11"/>
        <v>9.9091296900892592E-2</v>
      </c>
      <c r="G176">
        <f t="shared" si="12"/>
        <v>2.8202358469330124E-2</v>
      </c>
      <c r="H176">
        <v>177.90128843338192</v>
      </c>
      <c r="I176">
        <v>162.98770131771641</v>
      </c>
      <c r="J176">
        <v>242.63557833089328</v>
      </c>
      <c r="K176">
        <f t="shared" si="13"/>
        <v>5.1387705997014592</v>
      </c>
      <c r="L176">
        <f t="shared" si="14"/>
        <v>5.2747167508629733</v>
      </c>
    </row>
    <row r="177" spans="1:12" x14ac:dyDescent="0.3">
      <c r="A177">
        <v>4.5999999999999996</v>
      </c>
      <c r="B177">
        <v>4.8</v>
      </c>
      <c r="C177">
        <v>5.3147877013177176</v>
      </c>
      <c r="D177">
        <v>5.4679355783308887</v>
      </c>
      <c r="E177">
        <f t="shared" si="10"/>
        <v>0.47743213666345663</v>
      </c>
      <c r="F177">
        <f t="shared" si="11"/>
        <v>0.51092145795506716</v>
      </c>
      <c r="G177">
        <f t="shared" si="12"/>
        <v>0.44613793680021901</v>
      </c>
      <c r="H177">
        <v>177.90128843338192</v>
      </c>
      <c r="I177">
        <v>162.98770131771641</v>
      </c>
      <c r="J177">
        <v>242.63557833089328</v>
      </c>
      <c r="K177">
        <f t="shared" si="13"/>
        <v>4.6911825746703837</v>
      </c>
      <c r="L177">
        <f t="shared" si="14"/>
        <v>4.7833870304134551</v>
      </c>
    </row>
    <row r="178" spans="1:12" x14ac:dyDescent="0.3">
      <c r="A178">
        <v>4.9000000000000004</v>
      </c>
      <c r="B178">
        <v>5.3</v>
      </c>
      <c r="C178">
        <v>5.3147877013177176</v>
      </c>
      <c r="D178">
        <v>5.4679355783308887</v>
      </c>
      <c r="E178">
        <f t="shared" si="10"/>
        <v>6.9657612505330854E-2</v>
      </c>
      <c r="F178">
        <f t="shared" si="11"/>
        <v>0.17204883716443581</v>
      </c>
      <c r="G178">
        <f t="shared" si="12"/>
        <v>2.8202358469330124E-2</v>
      </c>
      <c r="H178">
        <v>177.90128843338192</v>
      </c>
      <c r="I178">
        <v>162.98770131771641</v>
      </c>
      <c r="J178">
        <v>242.63557833089328</v>
      </c>
      <c r="K178">
        <f t="shared" si="13"/>
        <v>5.1245357834682226</v>
      </c>
      <c r="L178">
        <f t="shared" si="14"/>
        <v>5.259090800459048</v>
      </c>
    </row>
    <row r="179" spans="1:12" x14ac:dyDescent="0.3">
      <c r="A179">
        <v>5.2</v>
      </c>
      <c r="B179">
        <v>5.5</v>
      </c>
      <c r="C179">
        <v>5.3147877013177176</v>
      </c>
      <c r="D179">
        <v>5.4679355783308887</v>
      </c>
      <c r="E179">
        <f t="shared" si="10"/>
        <v>-3.6806012574792917E-3</v>
      </c>
      <c r="F179">
        <f t="shared" si="11"/>
        <v>1.3176216373805507E-2</v>
      </c>
      <c r="G179">
        <f t="shared" si="12"/>
        <v>1.0281271369745727E-3</v>
      </c>
      <c r="H179">
        <v>177.90128843338192</v>
      </c>
      <c r="I179">
        <v>162.98770131771641</v>
      </c>
      <c r="J179">
        <v>242.63557833089328</v>
      </c>
      <c r="K179">
        <f t="shared" si="13"/>
        <v>5.3234997362071841</v>
      </c>
      <c r="L179">
        <f t="shared" si="14"/>
        <v>5.4774990192043509</v>
      </c>
    </row>
    <row r="180" spans="1:12" x14ac:dyDescent="0.3">
      <c r="A180">
        <v>5.2</v>
      </c>
      <c r="B180">
        <v>4.9000000000000004</v>
      </c>
      <c r="C180">
        <v>5.3147877013177176</v>
      </c>
      <c r="D180">
        <v>5.4679355783308887</v>
      </c>
      <c r="E180">
        <f t="shared" si="10"/>
        <v>6.5192019533151124E-2</v>
      </c>
      <c r="F180">
        <f t="shared" si="11"/>
        <v>1.3176216373805507E-2</v>
      </c>
      <c r="G180">
        <f t="shared" si="12"/>
        <v>0.32255082113404066</v>
      </c>
      <c r="H180">
        <v>177.90128843338192</v>
      </c>
      <c r="I180">
        <v>162.98770131771641</v>
      </c>
      <c r="J180">
        <v>242.63557833089328</v>
      </c>
      <c r="K180">
        <f t="shared" si="13"/>
        <v>4.8547212240894293</v>
      </c>
      <c r="L180">
        <f t="shared" si="14"/>
        <v>4.9629079166037702</v>
      </c>
    </row>
    <row r="181" spans="1:12" x14ac:dyDescent="0.3">
      <c r="A181">
        <v>5.8</v>
      </c>
      <c r="B181">
        <v>6.1</v>
      </c>
      <c r="C181">
        <v>5.3147877013177176</v>
      </c>
      <c r="D181">
        <v>5.4679355783308887</v>
      </c>
      <c r="E181">
        <f t="shared" si="10"/>
        <v>0.3066854309533566</v>
      </c>
      <c r="F181">
        <f t="shared" si="11"/>
        <v>0.23543097479254424</v>
      </c>
      <c r="G181">
        <f t="shared" si="12"/>
        <v>0.39950543313990766</v>
      </c>
      <c r="H181">
        <v>177.90128843338192</v>
      </c>
      <c r="I181">
        <v>162.98770131771641</v>
      </c>
      <c r="J181">
        <v>242.63557833089328</v>
      </c>
      <c r="K181">
        <f t="shared" si="13"/>
        <v>5.8776871457243578</v>
      </c>
      <c r="L181">
        <f t="shared" si="14"/>
        <v>6.0858458242284819</v>
      </c>
    </row>
    <row r="182" spans="1:12" x14ac:dyDescent="0.3">
      <c r="A182">
        <v>5</v>
      </c>
      <c r="B182">
        <v>4.8</v>
      </c>
      <c r="C182">
        <v>5.3147877013177176</v>
      </c>
      <c r="D182">
        <v>5.4679355783308887</v>
      </c>
      <c r="E182">
        <f t="shared" si="10"/>
        <v>0.21025790533110084</v>
      </c>
      <c r="F182">
        <f t="shared" si="11"/>
        <v>9.9091296900892592E-2</v>
      </c>
      <c r="G182">
        <f t="shared" si="12"/>
        <v>0.44613793680021901</v>
      </c>
      <c r="H182">
        <v>177.90128843338192</v>
      </c>
      <c r="I182">
        <v>162.98770131771641</v>
      </c>
      <c r="J182">
        <v>242.63557833089328</v>
      </c>
      <c r="K182">
        <f t="shared" si="13"/>
        <v>4.7481218396033302</v>
      </c>
      <c r="L182">
        <f t="shared" si="14"/>
        <v>4.8458908320291565</v>
      </c>
    </row>
    <row r="183" spans="1:12" x14ac:dyDescent="0.3">
      <c r="A183">
        <v>4.5999999999999996</v>
      </c>
      <c r="B183">
        <v>5.0999999999999996</v>
      </c>
      <c r="C183">
        <v>5.3147877013177176</v>
      </c>
      <c r="D183">
        <v>5.4679355783308887</v>
      </c>
      <c r="E183">
        <f t="shared" si="10"/>
        <v>0.26299582626814139</v>
      </c>
      <c r="F183">
        <f t="shared" si="11"/>
        <v>0.51092145795506716</v>
      </c>
      <c r="G183">
        <f t="shared" si="12"/>
        <v>0.13537658980168582</v>
      </c>
      <c r="H183">
        <v>177.90128843338192</v>
      </c>
      <c r="I183">
        <v>162.98770131771641</v>
      </c>
      <c r="J183">
        <v>242.63557833089328</v>
      </c>
      <c r="K183">
        <f t="shared" si="13"/>
        <v>4.9255718307292611</v>
      </c>
      <c r="L183">
        <f t="shared" si="14"/>
        <v>5.0406825817137459</v>
      </c>
    </row>
    <row r="184" spans="1:12" x14ac:dyDescent="0.3">
      <c r="A184">
        <v>6.1</v>
      </c>
      <c r="B184">
        <v>5.9</v>
      </c>
      <c r="C184">
        <v>5.3147877013177176</v>
      </c>
      <c r="D184">
        <v>5.4679355783308887</v>
      </c>
      <c r="E184">
        <f t="shared" si="10"/>
        <v>0.33926229771763394</v>
      </c>
      <c r="F184">
        <f t="shared" si="11"/>
        <v>0.61655835400191328</v>
      </c>
      <c r="G184">
        <f t="shared" si="12"/>
        <v>0.18667966447226389</v>
      </c>
      <c r="H184">
        <v>177.90128843338192</v>
      </c>
      <c r="I184">
        <v>162.98770131771641</v>
      </c>
      <c r="J184">
        <v>242.63557833089328</v>
      </c>
      <c r="K184">
        <f t="shared" si="13"/>
        <v>5.7641320903848161</v>
      </c>
      <c r="L184">
        <f t="shared" si="14"/>
        <v>5.961193307906731</v>
      </c>
    </row>
    <row r="185" spans="1:12" x14ac:dyDescent="0.3">
      <c r="A185">
        <v>4.7</v>
      </c>
      <c r="B185">
        <v>5.2</v>
      </c>
      <c r="C185">
        <v>5.3147877013177176</v>
      </c>
      <c r="D185">
        <v>5.4679355783308887</v>
      </c>
      <c r="E185">
        <f t="shared" si="10"/>
        <v>0.1647234983032802</v>
      </c>
      <c r="F185">
        <f t="shared" si="11"/>
        <v>0.37796391769152293</v>
      </c>
      <c r="G185">
        <f t="shared" si="12"/>
        <v>7.1789474135507708E-2</v>
      </c>
      <c r="H185">
        <v>177.90128843338192</v>
      </c>
      <c r="I185">
        <v>162.98770131771641</v>
      </c>
      <c r="J185">
        <v>242.63557833089328</v>
      </c>
      <c r="K185">
        <f t="shared" si="13"/>
        <v>5.0179363989821244</v>
      </c>
      <c r="L185">
        <f t="shared" si="14"/>
        <v>5.1420737158844352</v>
      </c>
    </row>
    <row r="186" spans="1:12" x14ac:dyDescent="0.3">
      <c r="A186">
        <v>5.4</v>
      </c>
      <c r="B186">
        <v>5.3</v>
      </c>
      <c r="C186">
        <v>5.3147877013177176</v>
      </c>
      <c r="D186">
        <v>5.4679355783308887</v>
      </c>
      <c r="E186">
        <f t="shared" si="10"/>
        <v>-1.4310176660113597E-2</v>
      </c>
      <c r="F186">
        <f t="shared" si="11"/>
        <v>7.2611358467185661E-3</v>
      </c>
      <c r="G186">
        <f t="shared" si="12"/>
        <v>2.8202358469330124E-2</v>
      </c>
      <c r="H186">
        <v>177.90128843338192</v>
      </c>
      <c r="I186">
        <v>162.98770131771641</v>
      </c>
      <c r="J186">
        <v>242.63557833089328</v>
      </c>
      <c r="K186">
        <f t="shared" si="13"/>
        <v>5.1957098646344058</v>
      </c>
      <c r="L186">
        <f t="shared" si="14"/>
        <v>5.3372205524786747</v>
      </c>
    </row>
    <row r="187" spans="1:12" x14ac:dyDescent="0.3">
      <c r="A187">
        <v>5.0999999999999996</v>
      </c>
      <c r="B187">
        <v>5</v>
      </c>
      <c r="C187">
        <v>5.3147877013177176</v>
      </c>
      <c r="D187">
        <v>5.4679355783308887</v>
      </c>
      <c r="E187">
        <f t="shared" si="10"/>
        <v>0.10050680723446855</v>
      </c>
      <c r="F187">
        <f t="shared" si="11"/>
        <v>4.613375663734922E-2</v>
      </c>
      <c r="G187">
        <f t="shared" si="12"/>
        <v>0.21896370546786328</v>
      </c>
      <c r="H187">
        <v>177.90128843338192</v>
      </c>
      <c r="I187">
        <v>162.98770131771641</v>
      </c>
      <c r="J187">
        <v>242.63557833089328</v>
      </c>
      <c r="K187">
        <f t="shared" si="13"/>
        <v>4.9186161598758185</v>
      </c>
      <c r="L187">
        <f t="shared" si="14"/>
        <v>5.0330471499666087</v>
      </c>
    </row>
    <row r="188" spans="1:12" x14ac:dyDescent="0.3">
      <c r="A188">
        <v>5.5</v>
      </c>
      <c r="B188">
        <v>5.8</v>
      </c>
      <c r="C188">
        <v>5.3147877013177176</v>
      </c>
      <c r="D188">
        <v>5.4679355783308887</v>
      </c>
      <c r="E188">
        <f t="shared" si="10"/>
        <v>6.1502414847938773E-2</v>
      </c>
      <c r="F188">
        <f t="shared" si="11"/>
        <v>3.4303595583174987E-2</v>
      </c>
      <c r="G188">
        <f t="shared" si="12"/>
        <v>0.11026678013844123</v>
      </c>
      <c r="H188">
        <v>177.90128843338192</v>
      </c>
      <c r="I188">
        <v>162.98770131771641</v>
      </c>
      <c r="J188">
        <v>242.63557833089328</v>
      </c>
      <c r="K188">
        <f t="shared" si="13"/>
        <v>5.6005934409657705</v>
      </c>
      <c r="L188">
        <f t="shared" si="14"/>
        <v>5.7816724217164159</v>
      </c>
    </row>
    <row r="189" spans="1:12" x14ac:dyDescent="0.3">
      <c r="A189">
        <v>5.0999999999999996</v>
      </c>
      <c r="B189">
        <v>5.5</v>
      </c>
      <c r="C189">
        <v>5.3147877013177176</v>
      </c>
      <c r="D189">
        <v>5.4679355783308887</v>
      </c>
      <c r="E189">
        <f t="shared" si="10"/>
        <v>-6.8870434243904367E-3</v>
      </c>
      <c r="F189">
        <f t="shared" si="11"/>
        <v>4.613375663734922E-2</v>
      </c>
      <c r="G189">
        <f t="shared" si="12"/>
        <v>1.0281271369745727E-3</v>
      </c>
      <c r="H189">
        <v>177.90128843338192</v>
      </c>
      <c r="I189">
        <v>162.98770131771641</v>
      </c>
      <c r="J189">
        <v>242.63557833089328</v>
      </c>
      <c r="K189">
        <f t="shared" si="13"/>
        <v>5.3092649199739474</v>
      </c>
      <c r="L189">
        <f t="shared" si="14"/>
        <v>5.4618730688004256</v>
      </c>
    </row>
    <row r="190" spans="1:12" x14ac:dyDescent="0.3">
      <c r="A190">
        <v>5.4</v>
      </c>
      <c r="B190">
        <v>5.2</v>
      </c>
      <c r="C190">
        <v>5.3147877013177176</v>
      </c>
      <c r="D190">
        <v>5.4679355783308887</v>
      </c>
      <c r="E190">
        <f t="shared" si="10"/>
        <v>-2.2831406528341841E-2</v>
      </c>
      <c r="F190">
        <f t="shared" si="11"/>
        <v>7.2611358467185661E-3</v>
      </c>
      <c r="G190">
        <f t="shared" si="12"/>
        <v>7.1789474135507708E-2</v>
      </c>
      <c r="H190">
        <v>177.90128843338192</v>
      </c>
      <c r="I190">
        <v>162.98770131771641</v>
      </c>
      <c r="J190">
        <v>242.63557833089328</v>
      </c>
      <c r="K190">
        <f t="shared" si="13"/>
        <v>5.11758011261478</v>
      </c>
      <c r="L190">
        <f t="shared" si="14"/>
        <v>5.2514553687119108</v>
      </c>
    </row>
    <row r="191" spans="1:12" x14ac:dyDescent="0.3">
      <c r="A191">
        <v>5.0999999999999996</v>
      </c>
      <c r="B191">
        <v>5</v>
      </c>
      <c r="C191">
        <v>5.3147877013177176</v>
      </c>
      <c r="D191">
        <v>5.4679355783308887</v>
      </c>
      <c r="E191">
        <f t="shared" si="10"/>
        <v>0.10050680723446855</v>
      </c>
      <c r="F191">
        <f t="shared" si="11"/>
        <v>4.613375663734922E-2</v>
      </c>
      <c r="G191">
        <f t="shared" si="12"/>
        <v>0.21896370546786328</v>
      </c>
      <c r="H191">
        <v>177.90128843338192</v>
      </c>
      <c r="I191">
        <v>162.98770131771641</v>
      </c>
      <c r="J191">
        <v>242.63557833089328</v>
      </c>
      <c r="K191">
        <f t="shared" si="13"/>
        <v>4.9186161598758185</v>
      </c>
      <c r="L191">
        <f t="shared" si="14"/>
        <v>5.0330471499666087</v>
      </c>
    </row>
    <row r="192" spans="1:12" x14ac:dyDescent="0.3">
      <c r="A192">
        <v>4.9000000000000004</v>
      </c>
      <c r="B192">
        <v>5.3</v>
      </c>
      <c r="C192">
        <v>5.3147877013177176</v>
      </c>
      <c r="D192">
        <v>5.4679355783308887</v>
      </c>
      <c r="E192">
        <f t="shared" si="10"/>
        <v>6.9657612505330854E-2</v>
      </c>
      <c r="F192">
        <f t="shared" si="11"/>
        <v>0.17204883716443581</v>
      </c>
      <c r="G192">
        <f t="shared" si="12"/>
        <v>2.8202358469330124E-2</v>
      </c>
      <c r="H192">
        <v>177.90128843338192</v>
      </c>
      <c r="I192">
        <v>162.98770131771641</v>
      </c>
      <c r="J192">
        <v>242.63557833089328</v>
      </c>
      <c r="K192">
        <f t="shared" si="13"/>
        <v>5.1245357834682226</v>
      </c>
      <c r="L192">
        <f t="shared" si="14"/>
        <v>5.259090800459048</v>
      </c>
    </row>
    <row r="193" spans="1:12" x14ac:dyDescent="0.3">
      <c r="A193">
        <v>5.3</v>
      </c>
      <c r="B193">
        <v>5.2</v>
      </c>
      <c r="C193">
        <v>5.3147877013177176</v>
      </c>
      <c r="D193">
        <v>5.4679355783308887</v>
      </c>
      <c r="E193">
        <f t="shared" si="10"/>
        <v>3.9621513047471569E-3</v>
      </c>
      <c r="F193">
        <f t="shared" si="11"/>
        <v>2.1867611026203226E-4</v>
      </c>
      <c r="G193">
        <f t="shared" si="12"/>
        <v>7.1789474135507708E-2</v>
      </c>
      <c r="H193">
        <v>177.90128843338192</v>
      </c>
      <c r="I193">
        <v>162.98770131771641</v>
      </c>
      <c r="J193">
        <v>242.63557833089328</v>
      </c>
      <c r="K193">
        <f t="shared" si="13"/>
        <v>5.1033452963815442</v>
      </c>
      <c r="L193">
        <f t="shared" si="14"/>
        <v>5.2358294183079863</v>
      </c>
    </row>
    <row r="194" spans="1:12" x14ac:dyDescent="0.3">
      <c r="A194">
        <v>5.0999999999999996</v>
      </c>
      <c r="B194">
        <v>5.5</v>
      </c>
      <c r="C194">
        <v>5.3147877013177176</v>
      </c>
      <c r="D194">
        <v>5.4679355783308887</v>
      </c>
      <c r="E194">
        <f t="shared" si="10"/>
        <v>-6.8870434243904367E-3</v>
      </c>
      <c r="F194">
        <f t="shared" si="11"/>
        <v>4.613375663734922E-2</v>
      </c>
      <c r="G194">
        <f t="shared" si="12"/>
        <v>1.0281271369745727E-3</v>
      </c>
      <c r="H194">
        <v>177.90128843338192</v>
      </c>
      <c r="I194">
        <v>162.98770131771641</v>
      </c>
      <c r="J194">
        <v>242.63557833089328</v>
      </c>
      <c r="K194">
        <f t="shared" si="13"/>
        <v>5.3092649199739474</v>
      </c>
      <c r="L194">
        <f t="shared" si="14"/>
        <v>5.4618730688004256</v>
      </c>
    </row>
    <row r="195" spans="1:12" x14ac:dyDescent="0.3">
      <c r="A195">
        <v>5.6</v>
      </c>
      <c r="B195">
        <v>5.2</v>
      </c>
      <c r="C195">
        <v>5.3147877013177176</v>
      </c>
      <c r="D195">
        <v>5.4679355783308887</v>
      </c>
      <c r="E195">
        <f t="shared" ref="E195:E258" si="15">(A195-C195)*(B195-D195)</f>
        <v>-7.6418522194519362E-2</v>
      </c>
      <c r="F195">
        <f t="shared" ref="F195:F258" si="16">(A195-C195)^2</f>
        <v>8.1346055319631266E-2</v>
      </c>
      <c r="G195">
        <f t="shared" ref="G195:G258" si="17">(B195-D195)^2</f>
        <v>7.1789474135507708E-2</v>
      </c>
      <c r="H195">
        <v>177.90128843338192</v>
      </c>
      <c r="I195">
        <v>162.98770131771641</v>
      </c>
      <c r="J195">
        <v>242.63557833089328</v>
      </c>
      <c r="K195">
        <f t="shared" ref="K195:K258" si="18">(1.097727582*(B195+0.366253474)+0.2*A195)/(0.2+1.097727582^2)</f>
        <v>5.1460497450812532</v>
      </c>
      <c r="L195">
        <f t="shared" ref="L195:L258" si="19">1.097727582*K195-0.366253474</f>
        <v>5.2827072695197614</v>
      </c>
    </row>
    <row r="196" spans="1:12" x14ac:dyDescent="0.3">
      <c r="A196">
        <v>5.3</v>
      </c>
      <c r="B196">
        <v>5.3</v>
      </c>
      <c r="C196">
        <v>5.3147877013177176</v>
      </c>
      <c r="D196">
        <v>5.4679355783308887</v>
      </c>
      <c r="E196">
        <f t="shared" si="15"/>
        <v>2.4833811729753838E-3</v>
      </c>
      <c r="F196">
        <f t="shared" si="16"/>
        <v>2.1867611026203226E-4</v>
      </c>
      <c r="G196">
        <f t="shared" si="17"/>
        <v>2.8202358469330124E-2</v>
      </c>
      <c r="H196">
        <v>177.90128843338192</v>
      </c>
      <c r="I196">
        <v>162.98770131771641</v>
      </c>
      <c r="J196">
        <v>242.63557833089328</v>
      </c>
      <c r="K196">
        <f t="shared" si="18"/>
        <v>5.1814750484011682</v>
      </c>
      <c r="L196">
        <f t="shared" si="19"/>
        <v>5.3215946020747484</v>
      </c>
    </row>
    <row r="197" spans="1:12" x14ac:dyDescent="0.3">
      <c r="A197">
        <v>4.9000000000000004</v>
      </c>
      <c r="B197">
        <v>5</v>
      </c>
      <c r="C197">
        <v>5.3147877013177176</v>
      </c>
      <c r="D197">
        <v>5.4679355783308887</v>
      </c>
      <c r="E197">
        <f t="shared" si="15"/>
        <v>0.19409392290064595</v>
      </c>
      <c r="F197">
        <f t="shared" si="16"/>
        <v>0.17204883716443581</v>
      </c>
      <c r="G197">
        <f t="shared" si="17"/>
        <v>0.21896370546786328</v>
      </c>
      <c r="H197">
        <v>177.90128843338192</v>
      </c>
      <c r="I197">
        <v>162.98770131771641</v>
      </c>
      <c r="J197">
        <v>242.63557833089328</v>
      </c>
      <c r="K197">
        <f t="shared" si="18"/>
        <v>4.8901465274093461</v>
      </c>
      <c r="L197">
        <f t="shared" si="19"/>
        <v>5.0017952491587589</v>
      </c>
    </row>
    <row r="198" spans="1:12" x14ac:dyDescent="0.3">
      <c r="A198">
        <v>5.2</v>
      </c>
      <c r="B198">
        <v>5.2</v>
      </c>
      <c r="C198">
        <v>5.3147877013177176</v>
      </c>
      <c r="D198">
        <v>5.4679355783308887</v>
      </c>
      <c r="E198">
        <f t="shared" si="15"/>
        <v>3.0755709137835915E-2</v>
      </c>
      <c r="F198">
        <f t="shared" si="16"/>
        <v>1.3176216373805507E-2</v>
      </c>
      <c r="G198">
        <f t="shared" si="17"/>
        <v>7.1789474135507708E-2</v>
      </c>
      <c r="H198">
        <v>177.90128843338192</v>
      </c>
      <c r="I198">
        <v>162.98770131771641</v>
      </c>
      <c r="J198">
        <v>242.63557833089328</v>
      </c>
      <c r="K198">
        <f t="shared" si="18"/>
        <v>5.0891104801483067</v>
      </c>
      <c r="L198">
        <f t="shared" si="19"/>
        <v>5.2202034679040601</v>
      </c>
    </row>
    <row r="199" spans="1:12" x14ac:dyDescent="0.3">
      <c r="A199">
        <v>5.4</v>
      </c>
      <c r="B199">
        <v>5.6</v>
      </c>
      <c r="C199">
        <v>5.3147877013177176</v>
      </c>
      <c r="D199">
        <v>5.4679355783308887</v>
      </c>
      <c r="E199">
        <f t="shared" si="15"/>
        <v>1.1253512944571213E-2</v>
      </c>
      <c r="F199">
        <f t="shared" si="16"/>
        <v>7.2611358467185661E-3</v>
      </c>
      <c r="G199">
        <f t="shared" si="17"/>
        <v>1.7441011470796734E-2</v>
      </c>
      <c r="H199">
        <v>177.90128843338192</v>
      </c>
      <c r="I199">
        <v>162.98770131771641</v>
      </c>
      <c r="J199">
        <v>242.63557833089328</v>
      </c>
      <c r="K199">
        <f t="shared" si="18"/>
        <v>5.4300991206932823</v>
      </c>
      <c r="L199">
        <f t="shared" si="19"/>
        <v>5.5945161037789637</v>
      </c>
    </row>
    <row r="200" spans="1:12" x14ac:dyDescent="0.3">
      <c r="A200">
        <v>5</v>
      </c>
      <c r="B200">
        <v>5</v>
      </c>
      <c r="C200">
        <v>5.3147877013177176</v>
      </c>
      <c r="D200">
        <v>5.4679355783308887</v>
      </c>
      <c r="E200">
        <f t="shared" si="15"/>
        <v>0.14730036506755725</v>
      </c>
      <c r="F200">
        <f t="shared" si="16"/>
        <v>9.9091296900892592E-2</v>
      </c>
      <c r="G200">
        <f t="shared" si="17"/>
        <v>0.21896370546786328</v>
      </c>
      <c r="H200">
        <v>177.90128843338192</v>
      </c>
      <c r="I200">
        <v>162.98770131771641</v>
      </c>
      <c r="J200">
        <v>242.63557833089328</v>
      </c>
      <c r="K200">
        <f t="shared" si="18"/>
        <v>4.9043813436425818</v>
      </c>
      <c r="L200">
        <f t="shared" si="19"/>
        <v>5.0174211995626834</v>
      </c>
    </row>
    <row r="201" spans="1:12" x14ac:dyDescent="0.3">
      <c r="A201">
        <v>5.8</v>
      </c>
      <c r="B201">
        <v>5.9</v>
      </c>
      <c r="C201">
        <v>5.3147877013177176</v>
      </c>
      <c r="D201">
        <v>5.4679355783308887</v>
      </c>
      <c r="E201">
        <f t="shared" si="15"/>
        <v>0.20964297121690051</v>
      </c>
      <c r="F201">
        <f t="shared" si="16"/>
        <v>0.23543097479254424</v>
      </c>
      <c r="G201">
        <f t="shared" si="17"/>
        <v>0.18667966447226389</v>
      </c>
      <c r="H201">
        <v>177.90128843338192</v>
      </c>
      <c r="I201">
        <v>162.98770131771641</v>
      </c>
      <c r="J201">
        <v>242.63557833089328</v>
      </c>
      <c r="K201">
        <f t="shared" si="18"/>
        <v>5.7214276416851062</v>
      </c>
      <c r="L201">
        <f t="shared" si="19"/>
        <v>5.914315456694955</v>
      </c>
    </row>
    <row r="202" spans="1:12" x14ac:dyDescent="0.3">
      <c r="A202">
        <v>5.8</v>
      </c>
      <c r="B202">
        <v>5.9</v>
      </c>
      <c r="C202">
        <v>5.3147877013177176</v>
      </c>
      <c r="D202">
        <v>5.4679355783308887</v>
      </c>
      <c r="E202">
        <f t="shared" si="15"/>
        <v>0.20964297121690051</v>
      </c>
      <c r="F202">
        <f t="shared" si="16"/>
        <v>0.23543097479254424</v>
      </c>
      <c r="G202">
        <f t="shared" si="17"/>
        <v>0.18667966447226389</v>
      </c>
      <c r="H202">
        <v>177.90128843338192</v>
      </c>
      <c r="I202">
        <v>162.98770131771641</v>
      </c>
      <c r="J202">
        <v>242.63557833089328</v>
      </c>
      <c r="K202">
        <f t="shared" si="18"/>
        <v>5.7214276416851062</v>
      </c>
      <c r="L202">
        <f t="shared" si="19"/>
        <v>5.914315456694955</v>
      </c>
    </row>
    <row r="203" spans="1:12" x14ac:dyDescent="0.3">
      <c r="A203">
        <v>5.0999999999999996</v>
      </c>
      <c r="B203">
        <v>5.0999999999999996</v>
      </c>
      <c r="C203">
        <v>5.3147877013177176</v>
      </c>
      <c r="D203">
        <v>5.4679355783308887</v>
      </c>
      <c r="E203">
        <f t="shared" si="15"/>
        <v>7.9028037102696819E-2</v>
      </c>
      <c r="F203">
        <f t="shared" si="16"/>
        <v>4.613375663734922E-2</v>
      </c>
      <c r="G203">
        <f t="shared" si="17"/>
        <v>0.13537658980168582</v>
      </c>
      <c r="H203">
        <v>177.90128843338192</v>
      </c>
      <c r="I203">
        <v>162.98770131771641</v>
      </c>
      <c r="J203">
        <v>242.63557833089328</v>
      </c>
      <c r="K203">
        <f t="shared" si="18"/>
        <v>4.9967459118954443</v>
      </c>
      <c r="L203">
        <f t="shared" si="19"/>
        <v>5.1188123337333717</v>
      </c>
    </row>
    <row r="204" spans="1:12" x14ac:dyDescent="0.3">
      <c r="A204">
        <v>5.9</v>
      </c>
      <c r="B204">
        <v>5.3</v>
      </c>
      <c r="C204">
        <v>5.3147877013177176</v>
      </c>
      <c r="D204">
        <v>5.4679355783308887</v>
      </c>
      <c r="E204">
        <f t="shared" si="15"/>
        <v>-9.8277965825558047E-2</v>
      </c>
      <c r="F204">
        <f t="shared" si="16"/>
        <v>0.34247343452900131</v>
      </c>
      <c r="G204">
        <f t="shared" si="17"/>
        <v>2.8202358469330124E-2</v>
      </c>
      <c r="H204">
        <v>177.90128843338192</v>
      </c>
      <c r="I204">
        <v>162.98770131771641</v>
      </c>
      <c r="J204">
        <v>242.63557833089328</v>
      </c>
      <c r="K204">
        <f t="shared" si="18"/>
        <v>5.2668839458005889</v>
      </c>
      <c r="L204">
        <f t="shared" si="19"/>
        <v>5.4153503044983005</v>
      </c>
    </row>
    <row r="205" spans="1:12" x14ac:dyDescent="0.3">
      <c r="A205">
        <v>5.6</v>
      </c>
      <c r="B205">
        <v>5.6</v>
      </c>
      <c r="C205">
        <v>5.3147877013177176</v>
      </c>
      <c r="D205">
        <v>5.4679355783308887</v>
      </c>
      <c r="E205">
        <f t="shared" si="15"/>
        <v>3.7666397278393306E-2</v>
      </c>
      <c r="F205">
        <f t="shared" si="16"/>
        <v>8.1346055319631266E-2</v>
      </c>
      <c r="G205">
        <f t="shared" si="17"/>
        <v>1.7441011470796734E-2</v>
      </c>
      <c r="H205">
        <v>177.90128843338192</v>
      </c>
      <c r="I205">
        <v>162.98770131771641</v>
      </c>
      <c r="J205">
        <v>242.63557833089328</v>
      </c>
      <c r="K205">
        <f t="shared" si="18"/>
        <v>5.4585687531597555</v>
      </c>
      <c r="L205">
        <f t="shared" si="19"/>
        <v>5.6257680045868144</v>
      </c>
    </row>
    <row r="206" spans="1:12" x14ac:dyDescent="0.3">
      <c r="A206">
        <v>5</v>
      </c>
      <c r="B206">
        <v>5.2</v>
      </c>
      <c r="C206">
        <v>5.3147877013177176</v>
      </c>
      <c r="D206">
        <v>5.4679355783308887</v>
      </c>
      <c r="E206">
        <f t="shared" si="15"/>
        <v>8.4342824804013672E-2</v>
      </c>
      <c r="F206">
        <f t="shared" si="16"/>
        <v>9.9091296900892592E-2</v>
      </c>
      <c r="G206">
        <f t="shared" si="17"/>
        <v>7.1789474135507708E-2</v>
      </c>
      <c r="H206">
        <v>177.90128843338192</v>
      </c>
      <c r="I206">
        <v>162.98770131771641</v>
      </c>
      <c r="J206">
        <v>242.63557833089328</v>
      </c>
      <c r="K206">
        <f t="shared" si="18"/>
        <v>5.0606408476818334</v>
      </c>
      <c r="L206">
        <f t="shared" si="19"/>
        <v>5.1889515670962103</v>
      </c>
    </row>
    <row r="207" spans="1:12" x14ac:dyDescent="0.3">
      <c r="A207">
        <v>5.6</v>
      </c>
      <c r="B207">
        <v>6.2</v>
      </c>
      <c r="C207">
        <v>5.3147877013177176</v>
      </c>
      <c r="D207">
        <v>5.4679355783308887</v>
      </c>
      <c r="E207">
        <f t="shared" si="15"/>
        <v>0.20879377648776268</v>
      </c>
      <c r="F207">
        <f t="shared" si="16"/>
        <v>8.1346055319631266E-2</v>
      </c>
      <c r="G207">
        <f t="shared" si="17"/>
        <v>0.53591831747373064</v>
      </c>
      <c r="H207">
        <v>177.90128843338192</v>
      </c>
      <c r="I207">
        <v>162.98770131771641</v>
      </c>
      <c r="J207">
        <v>242.63557833089328</v>
      </c>
      <c r="K207">
        <f t="shared" si="18"/>
        <v>5.9273472652775112</v>
      </c>
      <c r="L207">
        <f t="shared" si="19"/>
        <v>6.140359107187396</v>
      </c>
    </row>
    <row r="208" spans="1:12" x14ac:dyDescent="0.3">
      <c r="A208">
        <v>5.9</v>
      </c>
      <c r="B208">
        <v>6.4</v>
      </c>
      <c r="C208">
        <v>5.3147877013177176</v>
      </c>
      <c r="D208">
        <v>5.4679355783308887</v>
      </c>
      <c r="E208">
        <f t="shared" si="15"/>
        <v>0.54545556272495332</v>
      </c>
      <c r="F208">
        <f t="shared" si="16"/>
        <v>0.34247343452900131</v>
      </c>
      <c r="G208">
        <f t="shared" si="17"/>
        <v>0.86874408614137555</v>
      </c>
      <c r="H208">
        <v>177.90128843338192</v>
      </c>
      <c r="I208">
        <v>162.98770131771641</v>
      </c>
      <c r="J208">
        <v>242.63557833089328</v>
      </c>
      <c r="K208">
        <f t="shared" si="18"/>
        <v>6.1263112180164727</v>
      </c>
      <c r="L208">
        <f t="shared" si="19"/>
        <v>6.358767325932698</v>
      </c>
    </row>
    <row r="209" spans="1:12" x14ac:dyDescent="0.3">
      <c r="A209">
        <v>5.5</v>
      </c>
      <c r="B209">
        <v>5.4</v>
      </c>
      <c r="C209">
        <v>5.3147877013177176</v>
      </c>
      <c r="D209">
        <v>5.4679355783308887</v>
      </c>
      <c r="E209">
        <f t="shared" si="15"/>
        <v>-1.2582504624974088E-2</v>
      </c>
      <c r="F209">
        <f t="shared" si="16"/>
        <v>3.4303595583174987E-2</v>
      </c>
      <c r="G209">
        <f t="shared" si="17"/>
        <v>4.615242803152269E-3</v>
      </c>
      <c r="H209">
        <v>177.90128843338192</v>
      </c>
      <c r="I209">
        <v>162.98770131771641</v>
      </c>
      <c r="J209">
        <v>242.63557833089328</v>
      </c>
      <c r="K209">
        <f t="shared" si="18"/>
        <v>5.2880744328872682</v>
      </c>
      <c r="L209">
        <f t="shared" si="19"/>
        <v>5.438611686649363</v>
      </c>
    </row>
    <row r="210" spans="1:12" x14ac:dyDescent="0.3">
      <c r="A210">
        <v>5.6</v>
      </c>
      <c r="B210">
        <v>5.7</v>
      </c>
      <c r="C210">
        <v>5.3147877013177176</v>
      </c>
      <c r="D210">
        <v>5.4679355783308887</v>
      </c>
      <c r="E210">
        <f t="shared" si="15"/>
        <v>6.6187627146621658E-2</v>
      </c>
      <c r="F210">
        <f t="shared" si="16"/>
        <v>8.1346055319631266E-2</v>
      </c>
      <c r="G210">
        <f t="shared" si="17"/>
        <v>5.3853895804619169E-2</v>
      </c>
      <c r="H210">
        <v>177.90128843338192</v>
      </c>
      <c r="I210">
        <v>162.98770131771641</v>
      </c>
      <c r="J210">
        <v>242.63557833089328</v>
      </c>
      <c r="K210">
        <f t="shared" si="18"/>
        <v>5.5366985051793822</v>
      </c>
      <c r="L210">
        <f t="shared" si="19"/>
        <v>5.7115331883535783</v>
      </c>
    </row>
    <row r="211" spans="1:12" x14ac:dyDescent="0.3">
      <c r="A211">
        <v>5.0999999999999996</v>
      </c>
      <c r="B211">
        <v>5.0999999999999996</v>
      </c>
      <c r="C211">
        <v>5.3147877013177176</v>
      </c>
      <c r="D211">
        <v>5.4679355783308887</v>
      </c>
      <c r="E211">
        <f t="shared" si="15"/>
        <v>7.9028037102696819E-2</v>
      </c>
      <c r="F211">
        <f t="shared" si="16"/>
        <v>4.613375663734922E-2</v>
      </c>
      <c r="G211">
        <f t="shared" si="17"/>
        <v>0.13537658980168582</v>
      </c>
      <c r="H211">
        <v>177.90128843338192</v>
      </c>
      <c r="I211">
        <v>162.98770131771641</v>
      </c>
      <c r="J211">
        <v>242.63557833089328</v>
      </c>
      <c r="K211">
        <f t="shared" si="18"/>
        <v>4.9967459118954443</v>
      </c>
      <c r="L211">
        <f t="shared" si="19"/>
        <v>5.1188123337333717</v>
      </c>
    </row>
    <row r="212" spans="1:12" x14ac:dyDescent="0.3">
      <c r="A212">
        <v>5.7</v>
      </c>
      <c r="B212">
        <v>5.5</v>
      </c>
      <c r="C212">
        <v>5.3147877013177176</v>
      </c>
      <c r="D212">
        <v>5.4679355783308887</v>
      </c>
      <c r="E212">
        <f t="shared" si="15"/>
        <v>1.2351609577076346E-2</v>
      </c>
      <c r="F212">
        <f t="shared" si="16"/>
        <v>0.14838851505608808</v>
      </c>
      <c r="G212">
        <f t="shared" si="17"/>
        <v>1.0281271369745727E-3</v>
      </c>
      <c r="H212">
        <v>177.90128843338192</v>
      </c>
      <c r="I212">
        <v>162.98770131771641</v>
      </c>
      <c r="J212">
        <v>242.63557833089328</v>
      </c>
      <c r="K212">
        <f t="shared" si="18"/>
        <v>5.3946738173733664</v>
      </c>
      <c r="L212">
        <f t="shared" si="19"/>
        <v>5.5556287712239758</v>
      </c>
    </row>
    <row r="213" spans="1:12" x14ac:dyDescent="0.3">
      <c r="A213">
        <v>5.4</v>
      </c>
      <c r="B213">
        <v>5.5</v>
      </c>
      <c r="C213">
        <v>5.3147877013177176</v>
      </c>
      <c r="D213">
        <v>5.4679355783308887</v>
      </c>
      <c r="E213">
        <f t="shared" si="15"/>
        <v>2.7322830763429691E-3</v>
      </c>
      <c r="F213">
        <f t="shared" si="16"/>
        <v>7.2611358467185661E-3</v>
      </c>
      <c r="G213">
        <f t="shared" si="17"/>
        <v>1.0281271369745727E-3</v>
      </c>
      <c r="H213">
        <v>177.90128843338192</v>
      </c>
      <c r="I213">
        <v>162.98770131771641</v>
      </c>
      <c r="J213">
        <v>242.63557833089328</v>
      </c>
      <c r="K213">
        <f t="shared" si="18"/>
        <v>5.3519693686736574</v>
      </c>
      <c r="L213">
        <f t="shared" si="19"/>
        <v>5.5087509200122016</v>
      </c>
    </row>
    <row r="214" spans="1:12" x14ac:dyDescent="0.3">
      <c r="A214">
        <v>5.6</v>
      </c>
      <c r="B214">
        <v>6.1</v>
      </c>
      <c r="C214">
        <v>5.3147877013177176</v>
      </c>
      <c r="D214">
        <v>5.4679355783308887</v>
      </c>
      <c r="E214">
        <f t="shared" si="15"/>
        <v>0.18027254661953432</v>
      </c>
      <c r="F214">
        <f t="shared" si="16"/>
        <v>8.1346055319631266E-2</v>
      </c>
      <c r="G214">
        <f t="shared" si="17"/>
        <v>0.39950543313990766</v>
      </c>
      <c r="H214">
        <v>177.90128843338192</v>
      </c>
      <c r="I214">
        <v>162.98770131771641</v>
      </c>
      <c r="J214">
        <v>242.63557833089328</v>
      </c>
      <c r="K214">
        <f t="shared" si="18"/>
        <v>5.8492175132578836</v>
      </c>
      <c r="L214">
        <f t="shared" si="19"/>
        <v>6.0545939234206303</v>
      </c>
    </row>
    <row r="215" spans="1:12" x14ac:dyDescent="0.3">
      <c r="A215">
        <v>4.8</v>
      </c>
      <c r="B215">
        <v>4.9000000000000004</v>
      </c>
      <c r="C215">
        <v>5.3147877013177176</v>
      </c>
      <c r="D215">
        <v>5.4679355783308887</v>
      </c>
      <c r="E215">
        <f t="shared" si="15"/>
        <v>0.29236625086550666</v>
      </c>
      <c r="F215">
        <f t="shared" si="16"/>
        <v>0.26500637742797983</v>
      </c>
      <c r="G215">
        <f t="shared" si="17"/>
        <v>0.32255082113404066</v>
      </c>
      <c r="H215">
        <v>177.90128843338192</v>
      </c>
      <c r="I215">
        <v>162.98770131771641</v>
      </c>
      <c r="J215">
        <v>242.63557833089328</v>
      </c>
      <c r="K215">
        <f t="shared" si="18"/>
        <v>4.7977819591564828</v>
      </c>
      <c r="L215">
        <f t="shared" si="19"/>
        <v>4.9004041149880697</v>
      </c>
    </row>
    <row r="216" spans="1:12" x14ac:dyDescent="0.3">
      <c r="A216">
        <v>4.8</v>
      </c>
      <c r="B216">
        <v>5.0999999999999996</v>
      </c>
      <c r="C216">
        <v>5.3147877013177176</v>
      </c>
      <c r="D216">
        <v>5.4679355783308887</v>
      </c>
      <c r="E216">
        <f t="shared" si="15"/>
        <v>0.18940871060196349</v>
      </c>
      <c r="F216">
        <f t="shared" si="16"/>
        <v>0.26500637742797983</v>
      </c>
      <c r="G216">
        <f t="shared" si="17"/>
        <v>0.13537658980168582</v>
      </c>
      <c r="H216">
        <v>177.90128843338192</v>
      </c>
      <c r="I216">
        <v>162.98770131771641</v>
      </c>
      <c r="J216">
        <v>242.63557833089328</v>
      </c>
      <c r="K216">
        <f t="shared" si="18"/>
        <v>4.9540414631957344</v>
      </c>
      <c r="L216">
        <f t="shared" si="19"/>
        <v>5.0719344825215966</v>
      </c>
    </row>
    <row r="217" spans="1:12" x14ac:dyDescent="0.3">
      <c r="A217">
        <v>5.7</v>
      </c>
      <c r="B217">
        <v>6.2</v>
      </c>
      <c r="C217">
        <v>5.3147877013177176</v>
      </c>
      <c r="D217">
        <v>5.4679355783308887</v>
      </c>
      <c r="E217">
        <f t="shared" si="15"/>
        <v>0.28200021865467423</v>
      </c>
      <c r="F217">
        <f t="shared" si="16"/>
        <v>0.14838851505608808</v>
      </c>
      <c r="G217">
        <f t="shared" si="17"/>
        <v>0.53591831747373064</v>
      </c>
      <c r="H217">
        <v>177.90128843338192</v>
      </c>
      <c r="I217">
        <v>162.98770131771641</v>
      </c>
      <c r="J217">
        <v>242.63557833089328</v>
      </c>
      <c r="K217">
        <f t="shared" si="18"/>
        <v>5.941582081510747</v>
      </c>
      <c r="L217">
        <f t="shared" si="19"/>
        <v>6.1559850575913204</v>
      </c>
    </row>
    <row r="218" spans="1:12" x14ac:dyDescent="0.3">
      <c r="A218">
        <v>4.8</v>
      </c>
      <c r="B218">
        <v>5.2</v>
      </c>
      <c r="C218">
        <v>5.3147877013177176</v>
      </c>
      <c r="D218">
        <v>5.4679355783308887</v>
      </c>
      <c r="E218">
        <f t="shared" si="15"/>
        <v>0.13792994047019144</v>
      </c>
      <c r="F218">
        <f t="shared" si="16"/>
        <v>0.26500637742797983</v>
      </c>
      <c r="G218">
        <f t="shared" si="17"/>
        <v>7.1789474135507708E-2</v>
      </c>
      <c r="H218">
        <v>177.90128843338192</v>
      </c>
      <c r="I218">
        <v>162.98770131771641</v>
      </c>
      <c r="J218">
        <v>242.63557833089328</v>
      </c>
      <c r="K218">
        <f t="shared" si="18"/>
        <v>5.032171215215361</v>
      </c>
      <c r="L218">
        <f t="shared" si="19"/>
        <v>5.1576996662883605</v>
      </c>
    </row>
    <row r="219" spans="1:12" x14ac:dyDescent="0.3">
      <c r="A219">
        <v>5.3</v>
      </c>
      <c r="B219">
        <v>5.2</v>
      </c>
      <c r="C219">
        <v>5.3147877013177176</v>
      </c>
      <c r="D219">
        <v>5.4679355783308887</v>
      </c>
      <c r="E219">
        <f t="shared" si="15"/>
        <v>3.9621513047471569E-3</v>
      </c>
      <c r="F219">
        <f t="shared" si="16"/>
        <v>2.1867611026203226E-4</v>
      </c>
      <c r="G219">
        <f t="shared" si="17"/>
        <v>7.1789474135507708E-2</v>
      </c>
      <c r="H219">
        <v>177.90128843338192</v>
      </c>
      <c r="I219">
        <v>162.98770131771641</v>
      </c>
      <c r="J219">
        <v>242.63557833089328</v>
      </c>
      <c r="K219">
        <f t="shared" si="18"/>
        <v>5.1033452963815442</v>
      </c>
      <c r="L219">
        <f t="shared" si="19"/>
        <v>5.2358294183079863</v>
      </c>
    </row>
    <row r="220" spans="1:12" x14ac:dyDescent="0.3">
      <c r="A220">
        <v>5.3</v>
      </c>
      <c r="B220">
        <v>5.4</v>
      </c>
      <c r="C220">
        <v>5.3147877013177176</v>
      </c>
      <c r="D220">
        <v>5.4679355783308887</v>
      </c>
      <c r="E220">
        <f t="shared" si="15"/>
        <v>1.0046110412035977E-3</v>
      </c>
      <c r="F220">
        <f t="shared" si="16"/>
        <v>2.1867611026203226E-4</v>
      </c>
      <c r="G220">
        <f t="shared" si="17"/>
        <v>4.615242803152269E-3</v>
      </c>
      <c r="H220">
        <v>177.90128843338192</v>
      </c>
      <c r="I220">
        <v>162.98770131771641</v>
      </c>
      <c r="J220">
        <v>242.63557833089328</v>
      </c>
      <c r="K220">
        <f t="shared" si="18"/>
        <v>5.2596048004207958</v>
      </c>
      <c r="L220">
        <f t="shared" si="19"/>
        <v>5.4073597858415132</v>
      </c>
    </row>
    <row r="221" spans="1:12" x14ac:dyDescent="0.3">
      <c r="A221">
        <v>4.8</v>
      </c>
      <c r="B221">
        <v>5.3</v>
      </c>
      <c r="C221">
        <v>5.3147877013177176</v>
      </c>
      <c r="D221">
        <v>5.4679355783308887</v>
      </c>
      <c r="E221">
        <f t="shared" si="15"/>
        <v>8.6451170338419828E-2</v>
      </c>
      <c r="F221">
        <f t="shared" si="16"/>
        <v>0.26500637742797983</v>
      </c>
      <c r="G221">
        <f t="shared" si="17"/>
        <v>2.8202358469330124E-2</v>
      </c>
      <c r="H221">
        <v>177.90128843338192</v>
      </c>
      <c r="I221">
        <v>162.98770131771641</v>
      </c>
      <c r="J221">
        <v>242.63557833089328</v>
      </c>
      <c r="K221">
        <f t="shared" si="18"/>
        <v>5.1103009672349859</v>
      </c>
      <c r="L221">
        <f t="shared" si="19"/>
        <v>5.2434648500551235</v>
      </c>
    </row>
    <row r="222" spans="1:12" x14ac:dyDescent="0.3">
      <c r="A222">
        <v>4.9000000000000004</v>
      </c>
      <c r="B222">
        <v>4.8</v>
      </c>
      <c r="C222">
        <v>5.3147877013177176</v>
      </c>
      <c r="D222">
        <v>5.4679355783308887</v>
      </c>
      <c r="E222">
        <f t="shared" si="15"/>
        <v>0.27705146316418949</v>
      </c>
      <c r="F222">
        <f t="shared" si="16"/>
        <v>0.17204883716443581</v>
      </c>
      <c r="G222">
        <f t="shared" si="17"/>
        <v>0.44613793680021901</v>
      </c>
      <c r="H222">
        <v>177.90128843338192</v>
      </c>
      <c r="I222">
        <v>162.98770131771641</v>
      </c>
      <c r="J222">
        <v>242.63557833089328</v>
      </c>
      <c r="K222">
        <f t="shared" si="18"/>
        <v>4.7338870233700936</v>
      </c>
      <c r="L222">
        <f t="shared" si="19"/>
        <v>4.8302648816252312</v>
      </c>
    </row>
    <row r="223" spans="1:12" x14ac:dyDescent="0.3">
      <c r="A223">
        <v>5.7</v>
      </c>
      <c r="B223">
        <v>5.6</v>
      </c>
      <c r="C223">
        <v>5.3147877013177176</v>
      </c>
      <c r="D223">
        <v>5.4679355783308887</v>
      </c>
      <c r="E223">
        <f t="shared" si="15"/>
        <v>5.087283944530447E-2</v>
      </c>
      <c r="F223">
        <f t="shared" si="16"/>
        <v>0.14838851505608808</v>
      </c>
      <c r="G223">
        <f t="shared" si="17"/>
        <v>1.7441011470796734E-2</v>
      </c>
      <c r="H223">
        <v>177.90128843338192</v>
      </c>
      <c r="I223">
        <v>162.98770131771641</v>
      </c>
      <c r="J223">
        <v>242.63557833089328</v>
      </c>
      <c r="K223">
        <f t="shared" si="18"/>
        <v>5.4728035693929922</v>
      </c>
      <c r="L223">
        <f t="shared" si="19"/>
        <v>5.6413939549907397</v>
      </c>
    </row>
    <row r="224" spans="1:12" x14ac:dyDescent="0.3">
      <c r="A224">
        <v>5.8</v>
      </c>
      <c r="B224">
        <v>5.8</v>
      </c>
      <c r="C224">
        <v>5.3147877013177176</v>
      </c>
      <c r="D224">
        <v>5.4679355783308887</v>
      </c>
      <c r="E224">
        <f t="shared" si="15"/>
        <v>0.16112174134867205</v>
      </c>
      <c r="F224">
        <f t="shared" si="16"/>
        <v>0.23543097479254424</v>
      </c>
      <c r="G224">
        <f t="shared" si="17"/>
        <v>0.11026678013844123</v>
      </c>
      <c r="H224">
        <v>177.90128843338192</v>
      </c>
      <c r="I224">
        <v>162.98770131771641</v>
      </c>
      <c r="J224">
        <v>242.63557833089328</v>
      </c>
      <c r="K224">
        <f t="shared" si="18"/>
        <v>5.6432978896654804</v>
      </c>
      <c r="L224">
        <f t="shared" si="19"/>
        <v>5.8285502729281911</v>
      </c>
    </row>
    <row r="225" spans="1:12" x14ac:dyDescent="0.3">
      <c r="A225">
        <v>5.8</v>
      </c>
      <c r="B225">
        <v>5.6</v>
      </c>
      <c r="C225">
        <v>5.3147877013177176</v>
      </c>
      <c r="D225">
        <v>5.4679355783308887</v>
      </c>
      <c r="E225">
        <f t="shared" si="15"/>
        <v>6.4079281612215516E-2</v>
      </c>
      <c r="F225">
        <f t="shared" si="16"/>
        <v>0.23543097479254424</v>
      </c>
      <c r="G225">
        <f t="shared" si="17"/>
        <v>1.7441011470796734E-2</v>
      </c>
      <c r="H225">
        <v>177.90128843338192</v>
      </c>
      <c r="I225">
        <v>162.98770131771641</v>
      </c>
      <c r="J225">
        <v>242.63557833089328</v>
      </c>
      <c r="K225">
        <f t="shared" si="18"/>
        <v>5.4870383856262288</v>
      </c>
      <c r="L225">
        <f t="shared" si="19"/>
        <v>5.6570199053946641</v>
      </c>
    </row>
    <row r="226" spans="1:12" x14ac:dyDescent="0.3">
      <c r="A226">
        <v>5.3</v>
      </c>
      <c r="B226">
        <v>4.9000000000000004</v>
      </c>
      <c r="C226">
        <v>5.3147877013177176</v>
      </c>
      <c r="D226">
        <v>5.4679355783308887</v>
      </c>
      <c r="E226">
        <f t="shared" si="15"/>
        <v>8.3984617000624883E-3</v>
      </c>
      <c r="F226">
        <f t="shared" si="16"/>
        <v>2.1867611026203226E-4</v>
      </c>
      <c r="G226">
        <f t="shared" si="17"/>
        <v>0.32255082113404066</v>
      </c>
      <c r="H226">
        <v>177.90128843338192</v>
      </c>
      <c r="I226">
        <v>162.98770131771641</v>
      </c>
      <c r="J226">
        <v>242.63557833089328</v>
      </c>
      <c r="K226">
        <f t="shared" si="18"/>
        <v>4.8689560403226668</v>
      </c>
      <c r="L226">
        <f t="shared" si="19"/>
        <v>4.9785338670076964</v>
      </c>
    </row>
    <row r="227" spans="1:12" x14ac:dyDescent="0.3">
      <c r="A227">
        <v>5</v>
      </c>
      <c r="B227">
        <v>5.0999999999999996</v>
      </c>
      <c r="C227">
        <v>5.3147877013177176</v>
      </c>
      <c r="D227">
        <v>5.4679355783308887</v>
      </c>
      <c r="E227">
        <f t="shared" si="15"/>
        <v>0.1158215949357856</v>
      </c>
      <c r="F227">
        <f t="shared" si="16"/>
        <v>9.9091296900892592E-2</v>
      </c>
      <c r="G227">
        <f t="shared" si="17"/>
        <v>0.13537658980168582</v>
      </c>
      <c r="H227">
        <v>177.90128843338192</v>
      </c>
      <c r="I227">
        <v>162.98770131771641</v>
      </c>
      <c r="J227">
        <v>242.63557833089328</v>
      </c>
      <c r="K227">
        <f t="shared" si="18"/>
        <v>4.9825110956622076</v>
      </c>
      <c r="L227">
        <f t="shared" si="19"/>
        <v>5.1031863833294464</v>
      </c>
    </row>
    <row r="228" spans="1:12" x14ac:dyDescent="0.3">
      <c r="A228">
        <v>5.2</v>
      </c>
      <c r="B228">
        <v>5.0999999999999996</v>
      </c>
      <c r="C228">
        <v>5.3147877013177176</v>
      </c>
      <c r="D228">
        <v>5.4679355783308887</v>
      </c>
      <c r="E228">
        <f t="shared" si="15"/>
        <v>4.2234479269607723E-2</v>
      </c>
      <c r="F228">
        <f t="shared" si="16"/>
        <v>1.3176216373805507E-2</v>
      </c>
      <c r="G228">
        <f t="shared" si="17"/>
        <v>0.13537658980168582</v>
      </c>
      <c r="H228">
        <v>177.90128843338192</v>
      </c>
      <c r="I228">
        <v>162.98770131771641</v>
      </c>
      <c r="J228">
        <v>242.63557833089328</v>
      </c>
      <c r="K228">
        <f t="shared" si="18"/>
        <v>5.0109807281286809</v>
      </c>
      <c r="L228">
        <f t="shared" si="19"/>
        <v>5.1344382841372971</v>
      </c>
    </row>
    <row r="229" spans="1:12" x14ac:dyDescent="0.3">
      <c r="A229">
        <v>5.0999999999999996</v>
      </c>
      <c r="B229">
        <v>5.7</v>
      </c>
      <c r="C229">
        <v>5.3147877013177176</v>
      </c>
      <c r="D229">
        <v>5.4679355783308887</v>
      </c>
      <c r="E229">
        <f t="shared" si="15"/>
        <v>-4.9844583687934069E-2</v>
      </c>
      <c r="F229">
        <f t="shared" si="16"/>
        <v>4.613375663734922E-2</v>
      </c>
      <c r="G229">
        <f t="shared" si="17"/>
        <v>5.3853895804619169E-2</v>
      </c>
      <c r="H229">
        <v>177.90128843338192</v>
      </c>
      <c r="I229">
        <v>162.98770131771641</v>
      </c>
      <c r="J229">
        <v>242.63557833089328</v>
      </c>
      <c r="K229">
        <f t="shared" si="18"/>
        <v>5.465524424013199</v>
      </c>
      <c r="L229">
        <f t="shared" si="19"/>
        <v>5.6334034363339525</v>
      </c>
    </row>
    <row r="230" spans="1:12" x14ac:dyDescent="0.3">
      <c r="A230">
        <v>6</v>
      </c>
      <c r="B230">
        <v>6.4</v>
      </c>
      <c r="C230">
        <v>5.3147877013177176</v>
      </c>
      <c r="D230">
        <v>5.4679355783308887</v>
      </c>
      <c r="E230">
        <f t="shared" si="15"/>
        <v>0.63866200489186409</v>
      </c>
      <c r="F230">
        <f t="shared" si="16"/>
        <v>0.46951589426545737</v>
      </c>
      <c r="G230">
        <f t="shared" si="17"/>
        <v>0.86874408614137555</v>
      </c>
      <c r="H230">
        <v>177.90128843338192</v>
      </c>
      <c r="I230">
        <v>162.98770131771641</v>
      </c>
      <c r="J230">
        <v>242.63557833089328</v>
      </c>
      <c r="K230">
        <f t="shared" si="18"/>
        <v>6.1405460342497094</v>
      </c>
      <c r="L230">
        <f t="shared" si="19"/>
        <v>6.3743932763366233</v>
      </c>
    </row>
    <row r="231" spans="1:12" x14ac:dyDescent="0.3">
      <c r="A231">
        <v>5.4</v>
      </c>
      <c r="B231">
        <v>5.6</v>
      </c>
      <c r="C231">
        <v>5.3147877013177176</v>
      </c>
      <c r="D231">
        <v>5.4679355783308887</v>
      </c>
      <c r="E231">
        <f t="shared" si="15"/>
        <v>1.1253512944571213E-2</v>
      </c>
      <c r="F231">
        <f t="shared" si="16"/>
        <v>7.2611358467185661E-3</v>
      </c>
      <c r="G231">
        <f t="shared" si="17"/>
        <v>1.7441011470796734E-2</v>
      </c>
      <c r="H231">
        <v>177.90128843338192</v>
      </c>
      <c r="I231">
        <v>162.98770131771641</v>
      </c>
      <c r="J231">
        <v>242.63557833089328</v>
      </c>
      <c r="K231">
        <f t="shared" si="18"/>
        <v>5.4300991206932823</v>
      </c>
      <c r="L231">
        <f t="shared" si="19"/>
        <v>5.5945161037789637</v>
      </c>
    </row>
    <row r="232" spans="1:12" x14ac:dyDescent="0.3">
      <c r="A232">
        <v>5.2</v>
      </c>
      <c r="B232">
        <v>5.5</v>
      </c>
      <c r="C232">
        <v>5.3147877013177176</v>
      </c>
      <c r="D232">
        <v>5.4679355783308887</v>
      </c>
      <c r="E232">
        <f t="shared" si="15"/>
        <v>-3.6806012574792917E-3</v>
      </c>
      <c r="F232">
        <f t="shared" si="16"/>
        <v>1.3176216373805507E-2</v>
      </c>
      <c r="G232">
        <f t="shared" si="17"/>
        <v>1.0281271369745727E-3</v>
      </c>
      <c r="H232">
        <v>177.90128843338192</v>
      </c>
      <c r="I232">
        <v>162.98770131771641</v>
      </c>
      <c r="J232">
        <v>242.63557833089328</v>
      </c>
      <c r="K232">
        <f t="shared" si="18"/>
        <v>5.3234997362071841</v>
      </c>
      <c r="L232">
        <f t="shared" si="19"/>
        <v>5.4774990192043509</v>
      </c>
    </row>
    <row r="233" spans="1:12" x14ac:dyDescent="0.3">
      <c r="A233">
        <v>5.6</v>
      </c>
      <c r="B233">
        <v>5.4</v>
      </c>
      <c r="C233">
        <v>5.3147877013177176</v>
      </c>
      <c r="D233">
        <v>5.4679355783308887</v>
      </c>
      <c r="E233">
        <f t="shared" si="15"/>
        <v>-1.93760624580629E-2</v>
      </c>
      <c r="F233">
        <f t="shared" si="16"/>
        <v>8.1346055319631266E-2</v>
      </c>
      <c r="G233">
        <f t="shared" si="17"/>
        <v>4.615242803152269E-3</v>
      </c>
      <c r="H233">
        <v>177.90128843338192</v>
      </c>
      <c r="I233">
        <v>162.98770131771641</v>
      </c>
      <c r="J233">
        <v>242.63557833089328</v>
      </c>
      <c r="K233">
        <f t="shared" si="18"/>
        <v>5.3023092491205048</v>
      </c>
      <c r="L233">
        <f t="shared" si="19"/>
        <v>5.4542376370532883</v>
      </c>
    </row>
    <row r="234" spans="1:12" x14ac:dyDescent="0.3">
      <c r="A234">
        <v>5.0999999999999996</v>
      </c>
      <c r="B234">
        <v>5.5</v>
      </c>
      <c r="C234">
        <v>5.3147877013177176</v>
      </c>
      <c r="D234">
        <v>5.4679355783308887</v>
      </c>
      <c r="E234">
        <f t="shared" si="15"/>
        <v>-6.8870434243904367E-3</v>
      </c>
      <c r="F234">
        <f t="shared" si="16"/>
        <v>4.613375663734922E-2</v>
      </c>
      <c r="G234">
        <f t="shared" si="17"/>
        <v>1.0281271369745727E-3</v>
      </c>
      <c r="H234">
        <v>177.90128843338192</v>
      </c>
      <c r="I234">
        <v>162.98770131771641</v>
      </c>
      <c r="J234">
        <v>242.63557833089328</v>
      </c>
      <c r="K234">
        <f t="shared" si="18"/>
        <v>5.3092649199739474</v>
      </c>
      <c r="L234">
        <f t="shared" si="19"/>
        <v>5.4618730688004256</v>
      </c>
    </row>
    <row r="235" spans="1:12" x14ac:dyDescent="0.3">
      <c r="A235">
        <v>5.5</v>
      </c>
      <c r="B235">
        <v>5.7</v>
      </c>
      <c r="C235">
        <v>5.3147877013177176</v>
      </c>
      <c r="D235">
        <v>5.4679355783308887</v>
      </c>
      <c r="E235">
        <f t="shared" si="15"/>
        <v>4.2981184979710596E-2</v>
      </c>
      <c r="F235">
        <f t="shared" si="16"/>
        <v>3.4303595583174987E-2</v>
      </c>
      <c r="G235">
        <f t="shared" si="17"/>
        <v>5.3853895804619169E-2</v>
      </c>
      <c r="H235">
        <v>177.90128843338192</v>
      </c>
      <c r="I235">
        <v>162.98770131771641</v>
      </c>
      <c r="J235">
        <v>242.63557833089328</v>
      </c>
      <c r="K235">
        <f t="shared" si="18"/>
        <v>5.5224636889461456</v>
      </c>
      <c r="L235">
        <f t="shared" si="19"/>
        <v>5.6959072379496538</v>
      </c>
    </row>
    <row r="236" spans="1:12" x14ac:dyDescent="0.3">
      <c r="A236">
        <v>5.6</v>
      </c>
      <c r="B236">
        <v>5.7</v>
      </c>
      <c r="C236">
        <v>5.3147877013177176</v>
      </c>
      <c r="D236">
        <v>5.4679355783308887</v>
      </c>
      <c r="E236">
        <f t="shared" si="15"/>
        <v>6.6187627146621658E-2</v>
      </c>
      <c r="F236">
        <f t="shared" si="16"/>
        <v>8.1346055319631266E-2</v>
      </c>
      <c r="G236">
        <f t="shared" si="17"/>
        <v>5.3853895804619169E-2</v>
      </c>
      <c r="H236">
        <v>177.90128843338192</v>
      </c>
      <c r="I236">
        <v>162.98770131771641</v>
      </c>
      <c r="J236">
        <v>242.63557833089328</v>
      </c>
      <c r="K236">
        <f t="shared" si="18"/>
        <v>5.5366985051793822</v>
      </c>
      <c r="L236">
        <f t="shared" si="19"/>
        <v>5.7115331883535783</v>
      </c>
    </row>
    <row r="237" spans="1:12" x14ac:dyDescent="0.3">
      <c r="A237">
        <v>5.2</v>
      </c>
      <c r="B237">
        <v>5</v>
      </c>
      <c r="C237">
        <v>5.3147877013177176</v>
      </c>
      <c r="D237">
        <v>5.4679355783308887</v>
      </c>
      <c r="E237">
        <f t="shared" si="15"/>
        <v>5.371324940137942E-2</v>
      </c>
      <c r="F237">
        <f t="shared" si="16"/>
        <v>1.3176216373805507E-2</v>
      </c>
      <c r="G237">
        <f t="shared" si="17"/>
        <v>0.21896370546786328</v>
      </c>
      <c r="H237">
        <v>177.90128843338192</v>
      </c>
      <c r="I237">
        <v>162.98770131771641</v>
      </c>
      <c r="J237">
        <v>242.63557833089328</v>
      </c>
      <c r="K237">
        <f t="shared" si="18"/>
        <v>4.9328509761090551</v>
      </c>
      <c r="L237">
        <f t="shared" si="19"/>
        <v>5.0486731003705341</v>
      </c>
    </row>
    <row r="238" spans="1:12" x14ac:dyDescent="0.3">
      <c r="A238">
        <v>5</v>
      </c>
      <c r="B238">
        <v>5.4</v>
      </c>
      <c r="C238">
        <v>5.3147877013177176</v>
      </c>
      <c r="D238">
        <v>5.4679355783308887</v>
      </c>
      <c r="E238">
        <f t="shared" si="15"/>
        <v>2.1385284540470097E-2</v>
      </c>
      <c r="F238">
        <f t="shared" si="16"/>
        <v>9.9091296900892592E-2</v>
      </c>
      <c r="G238">
        <f t="shared" si="17"/>
        <v>4.615242803152269E-3</v>
      </c>
      <c r="H238">
        <v>177.90128843338192</v>
      </c>
      <c r="I238">
        <v>162.98770131771641</v>
      </c>
      <c r="J238">
        <v>242.63557833089328</v>
      </c>
      <c r="K238">
        <f t="shared" si="18"/>
        <v>5.2169003517210859</v>
      </c>
      <c r="L238">
        <f t="shared" si="19"/>
        <v>5.3604819346297381</v>
      </c>
    </row>
    <row r="239" spans="1:12" x14ac:dyDescent="0.3">
      <c r="A239">
        <v>5.8</v>
      </c>
      <c r="B239">
        <v>5.9</v>
      </c>
      <c r="C239">
        <v>5.3147877013177176</v>
      </c>
      <c r="D239">
        <v>5.4679355783308887</v>
      </c>
      <c r="E239">
        <f t="shared" si="15"/>
        <v>0.20964297121690051</v>
      </c>
      <c r="F239">
        <f t="shared" si="16"/>
        <v>0.23543097479254424</v>
      </c>
      <c r="G239">
        <f t="shared" si="17"/>
        <v>0.18667966447226389</v>
      </c>
      <c r="H239">
        <v>177.90128843338192</v>
      </c>
      <c r="I239">
        <v>162.98770131771641</v>
      </c>
      <c r="J239">
        <v>242.63557833089328</v>
      </c>
      <c r="K239">
        <f t="shared" si="18"/>
        <v>5.7214276416851062</v>
      </c>
      <c r="L239">
        <f t="shared" si="19"/>
        <v>5.914315456694955</v>
      </c>
    </row>
    <row r="240" spans="1:12" x14ac:dyDescent="0.3">
      <c r="A240">
        <v>5.6</v>
      </c>
      <c r="B240">
        <v>5.6</v>
      </c>
      <c r="C240">
        <v>5.3147877013177176</v>
      </c>
      <c r="D240">
        <v>5.4679355783308887</v>
      </c>
      <c r="E240">
        <f t="shared" si="15"/>
        <v>3.7666397278393306E-2</v>
      </c>
      <c r="F240">
        <f t="shared" si="16"/>
        <v>8.1346055319631266E-2</v>
      </c>
      <c r="G240">
        <f t="shared" si="17"/>
        <v>1.7441011470796734E-2</v>
      </c>
      <c r="H240">
        <v>177.90128843338192</v>
      </c>
      <c r="I240">
        <v>162.98770131771641</v>
      </c>
      <c r="J240">
        <v>242.63557833089328</v>
      </c>
      <c r="K240">
        <f t="shared" si="18"/>
        <v>5.4585687531597555</v>
      </c>
      <c r="L240">
        <f t="shared" si="19"/>
        <v>5.6257680045868144</v>
      </c>
    </row>
    <row r="241" spans="1:12" x14ac:dyDescent="0.3">
      <c r="A241">
        <v>5.4</v>
      </c>
      <c r="B241">
        <v>5.8</v>
      </c>
      <c r="C241">
        <v>5.3147877013177176</v>
      </c>
      <c r="D241">
        <v>5.4679355783308887</v>
      </c>
      <c r="E241">
        <f t="shared" si="15"/>
        <v>2.8295972681027778E-2</v>
      </c>
      <c r="F241">
        <f t="shared" si="16"/>
        <v>7.2611358467185661E-3</v>
      </c>
      <c r="G241">
        <f t="shared" si="17"/>
        <v>0.11026678013844123</v>
      </c>
      <c r="H241">
        <v>177.90128843338192</v>
      </c>
      <c r="I241">
        <v>162.98770131771641</v>
      </c>
      <c r="J241">
        <v>242.63557833089328</v>
      </c>
      <c r="K241">
        <f t="shared" si="18"/>
        <v>5.5863586247325339</v>
      </c>
      <c r="L241">
        <f t="shared" si="19"/>
        <v>5.7660464713124906</v>
      </c>
    </row>
    <row r="242" spans="1:12" x14ac:dyDescent="0.3">
      <c r="A242">
        <v>5.9</v>
      </c>
      <c r="B242">
        <v>6.2</v>
      </c>
      <c r="C242">
        <v>5.3147877013177176</v>
      </c>
      <c r="D242">
        <v>5.4679355783308887</v>
      </c>
      <c r="E242">
        <f t="shared" si="15"/>
        <v>0.42841310298849666</v>
      </c>
      <c r="F242">
        <f t="shared" si="16"/>
        <v>0.34247343452900131</v>
      </c>
      <c r="G242">
        <f t="shared" si="17"/>
        <v>0.53591831747373064</v>
      </c>
      <c r="H242">
        <v>177.90128843338192</v>
      </c>
      <c r="I242">
        <v>162.98770131771641</v>
      </c>
      <c r="J242">
        <v>242.63557833089328</v>
      </c>
      <c r="K242">
        <f t="shared" si="18"/>
        <v>5.9700517139772211</v>
      </c>
      <c r="L242">
        <f t="shared" si="19"/>
        <v>6.1872369583991711</v>
      </c>
    </row>
    <row r="243" spans="1:12" x14ac:dyDescent="0.3">
      <c r="A243">
        <v>5.4</v>
      </c>
      <c r="B243">
        <v>5.2</v>
      </c>
      <c r="C243">
        <v>5.3147877013177176</v>
      </c>
      <c r="D243">
        <v>5.4679355783308887</v>
      </c>
      <c r="E243">
        <f t="shared" si="15"/>
        <v>-2.2831406528341841E-2</v>
      </c>
      <c r="F243">
        <f t="shared" si="16"/>
        <v>7.2611358467185661E-3</v>
      </c>
      <c r="G243">
        <f t="shared" si="17"/>
        <v>7.1789474135507708E-2</v>
      </c>
      <c r="H243">
        <v>177.90128843338192</v>
      </c>
      <c r="I243">
        <v>162.98770131771641</v>
      </c>
      <c r="J243">
        <v>242.63557833089328</v>
      </c>
      <c r="K243">
        <f t="shared" si="18"/>
        <v>5.11758011261478</v>
      </c>
      <c r="L243">
        <f t="shared" si="19"/>
        <v>5.2514553687119108</v>
      </c>
    </row>
    <row r="244" spans="1:12" x14ac:dyDescent="0.3">
      <c r="A244">
        <v>4.8</v>
      </c>
      <c r="B244">
        <v>5</v>
      </c>
      <c r="C244">
        <v>5.3147877013177176</v>
      </c>
      <c r="D244">
        <v>5.4679355783308887</v>
      </c>
      <c r="E244">
        <f t="shared" si="15"/>
        <v>0.24088748073373509</v>
      </c>
      <c r="F244">
        <f t="shared" si="16"/>
        <v>0.26500637742797983</v>
      </c>
      <c r="G244">
        <f t="shared" si="17"/>
        <v>0.21896370546786328</v>
      </c>
      <c r="H244">
        <v>177.90128843338192</v>
      </c>
      <c r="I244">
        <v>162.98770131771641</v>
      </c>
      <c r="J244">
        <v>242.63557833089328</v>
      </c>
      <c r="K244">
        <f t="shared" si="18"/>
        <v>4.8759117111761086</v>
      </c>
      <c r="L244">
        <f t="shared" si="19"/>
        <v>4.9861692987548327</v>
      </c>
    </row>
    <row r="245" spans="1:12" x14ac:dyDescent="0.3">
      <c r="A245">
        <v>5</v>
      </c>
      <c r="B245">
        <v>5.3</v>
      </c>
      <c r="C245">
        <v>5.3147877013177176</v>
      </c>
      <c r="D245">
        <v>5.4679355783308887</v>
      </c>
      <c r="E245">
        <f t="shared" si="15"/>
        <v>5.2864054672242027E-2</v>
      </c>
      <c r="F245">
        <f t="shared" si="16"/>
        <v>9.9091296900892592E-2</v>
      </c>
      <c r="G245">
        <f t="shared" si="17"/>
        <v>2.8202358469330124E-2</v>
      </c>
      <c r="H245">
        <v>177.90128843338192</v>
      </c>
      <c r="I245">
        <v>162.98770131771641</v>
      </c>
      <c r="J245">
        <v>242.63557833089328</v>
      </c>
      <c r="K245">
        <f t="shared" si="18"/>
        <v>5.1387705997014592</v>
      </c>
      <c r="L245">
        <f t="shared" si="19"/>
        <v>5.2747167508629733</v>
      </c>
    </row>
    <row r="246" spans="1:12" x14ac:dyDescent="0.3">
      <c r="A246">
        <v>5.0999999999999996</v>
      </c>
      <c r="B246">
        <v>5.5</v>
      </c>
      <c r="C246">
        <v>5.3147877013177176</v>
      </c>
      <c r="D246">
        <v>5.4679355783308887</v>
      </c>
      <c r="E246">
        <f t="shared" si="15"/>
        <v>-6.8870434243904367E-3</v>
      </c>
      <c r="F246">
        <f t="shared" si="16"/>
        <v>4.613375663734922E-2</v>
      </c>
      <c r="G246">
        <f t="shared" si="17"/>
        <v>1.0281271369745727E-3</v>
      </c>
      <c r="H246">
        <v>177.90128843338192</v>
      </c>
      <c r="I246">
        <v>162.98770131771641</v>
      </c>
      <c r="J246">
        <v>242.63557833089328</v>
      </c>
      <c r="K246">
        <f t="shared" si="18"/>
        <v>5.3092649199739474</v>
      </c>
      <c r="L246">
        <f t="shared" si="19"/>
        <v>5.4618730688004256</v>
      </c>
    </row>
    <row r="247" spans="1:12" x14ac:dyDescent="0.3">
      <c r="A247">
        <v>5.0999999999999996</v>
      </c>
      <c r="B247">
        <v>5.6</v>
      </c>
      <c r="C247">
        <v>5.3147877013177176</v>
      </c>
      <c r="D247">
        <v>5.4679355783308887</v>
      </c>
      <c r="E247">
        <f t="shared" si="15"/>
        <v>-2.8365813556162155E-2</v>
      </c>
      <c r="F247">
        <f t="shared" si="16"/>
        <v>4.613375663734922E-2</v>
      </c>
      <c r="G247">
        <f t="shared" si="17"/>
        <v>1.7441011470796734E-2</v>
      </c>
      <c r="H247">
        <v>177.90128843338192</v>
      </c>
      <c r="I247">
        <v>162.98770131771641</v>
      </c>
      <c r="J247">
        <v>242.63557833089328</v>
      </c>
      <c r="K247">
        <f t="shared" si="18"/>
        <v>5.3873946719935724</v>
      </c>
      <c r="L247">
        <f t="shared" si="19"/>
        <v>5.5476382525671886</v>
      </c>
    </row>
    <row r="248" spans="1:12" x14ac:dyDescent="0.3">
      <c r="A248">
        <v>6</v>
      </c>
      <c r="B248">
        <v>5.6</v>
      </c>
      <c r="C248">
        <v>5.3147877013177176</v>
      </c>
      <c r="D248">
        <v>5.4679355783308887</v>
      </c>
      <c r="E248">
        <f t="shared" si="15"/>
        <v>9.049216594603772E-2</v>
      </c>
      <c r="F248">
        <f t="shared" si="16"/>
        <v>0.46951589426545737</v>
      </c>
      <c r="G248">
        <f t="shared" si="17"/>
        <v>1.7441011470796734E-2</v>
      </c>
      <c r="H248">
        <v>177.90128843338192</v>
      </c>
      <c r="I248">
        <v>162.98770131771641</v>
      </c>
      <c r="J248">
        <v>242.63557833089328</v>
      </c>
      <c r="K248">
        <f t="shared" si="18"/>
        <v>5.5155080180927021</v>
      </c>
      <c r="L248">
        <f t="shared" si="19"/>
        <v>5.6882718062025148</v>
      </c>
    </row>
    <row r="249" spans="1:12" x14ac:dyDescent="0.3">
      <c r="A249">
        <v>4.8</v>
      </c>
      <c r="B249">
        <v>5.2</v>
      </c>
      <c r="C249">
        <v>5.3147877013177176</v>
      </c>
      <c r="D249">
        <v>5.4679355783308887</v>
      </c>
      <c r="E249">
        <f t="shared" si="15"/>
        <v>0.13792994047019144</v>
      </c>
      <c r="F249">
        <f t="shared" si="16"/>
        <v>0.26500637742797983</v>
      </c>
      <c r="G249">
        <f t="shared" si="17"/>
        <v>7.1789474135507708E-2</v>
      </c>
      <c r="H249">
        <v>177.90128843338192</v>
      </c>
      <c r="I249">
        <v>162.98770131771641</v>
      </c>
      <c r="J249">
        <v>242.63557833089328</v>
      </c>
      <c r="K249">
        <f t="shared" si="18"/>
        <v>5.032171215215361</v>
      </c>
      <c r="L249">
        <f t="shared" si="19"/>
        <v>5.1576996662883605</v>
      </c>
    </row>
    <row r="250" spans="1:12" x14ac:dyDescent="0.3">
      <c r="A250">
        <v>4.9000000000000004</v>
      </c>
      <c r="B250">
        <v>5.4</v>
      </c>
      <c r="C250">
        <v>5.3147877013177176</v>
      </c>
      <c r="D250">
        <v>5.4679355783308887</v>
      </c>
      <c r="E250">
        <f t="shared" si="15"/>
        <v>2.8178842373558909E-2</v>
      </c>
      <c r="F250">
        <f t="shared" si="16"/>
        <v>0.17204883716443581</v>
      </c>
      <c r="G250">
        <f t="shared" si="17"/>
        <v>4.615242803152269E-3</v>
      </c>
      <c r="H250">
        <v>177.90128843338192</v>
      </c>
      <c r="I250">
        <v>162.98770131771641</v>
      </c>
      <c r="J250">
        <v>242.63557833089328</v>
      </c>
      <c r="K250">
        <f t="shared" si="18"/>
        <v>5.2026655354878493</v>
      </c>
      <c r="L250">
        <f t="shared" si="19"/>
        <v>5.3448559842258128</v>
      </c>
    </row>
    <row r="251" spans="1:12" x14ac:dyDescent="0.3">
      <c r="A251">
        <v>5.4</v>
      </c>
      <c r="B251">
        <v>5.3</v>
      </c>
      <c r="C251">
        <v>5.3147877013177176</v>
      </c>
      <c r="D251">
        <v>5.4679355783308887</v>
      </c>
      <c r="E251">
        <f t="shared" si="15"/>
        <v>-1.4310176660113597E-2</v>
      </c>
      <c r="F251">
        <f t="shared" si="16"/>
        <v>7.2611358467185661E-3</v>
      </c>
      <c r="G251">
        <f t="shared" si="17"/>
        <v>2.8202358469330124E-2</v>
      </c>
      <c r="H251">
        <v>177.90128843338192</v>
      </c>
      <c r="I251">
        <v>162.98770131771641</v>
      </c>
      <c r="J251">
        <v>242.63557833089328</v>
      </c>
      <c r="K251">
        <f t="shared" si="18"/>
        <v>5.1957098646344058</v>
      </c>
      <c r="L251">
        <f t="shared" si="19"/>
        <v>5.3372205524786747</v>
      </c>
    </row>
    <row r="252" spans="1:12" x14ac:dyDescent="0.3">
      <c r="A252">
        <v>5.9</v>
      </c>
      <c r="B252">
        <v>5.9</v>
      </c>
      <c r="C252">
        <v>5.3147877013177176</v>
      </c>
      <c r="D252">
        <v>5.4679355783308887</v>
      </c>
      <c r="E252">
        <f t="shared" si="15"/>
        <v>0.25284941338381189</v>
      </c>
      <c r="F252">
        <f t="shared" si="16"/>
        <v>0.34247343452900131</v>
      </c>
      <c r="G252">
        <f t="shared" si="17"/>
        <v>0.18667966447226389</v>
      </c>
      <c r="H252">
        <v>177.90128843338192</v>
      </c>
      <c r="I252">
        <v>162.98770131771641</v>
      </c>
      <c r="J252">
        <v>242.63557833089328</v>
      </c>
      <c r="K252">
        <f t="shared" si="18"/>
        <v>5.7356624579183437</v>
      </c>
      <c r="L252">
        <f t="shared" si="19"/>
        <v>5.9299414070988812</v>
      </c>
    </row>
    <row r="253" spans="1:12" x14ac:dyDescent="0.3">
      <c r="A253">
        <v>5.3</v>
      </c>
      <c r="B253">
        <v>5.5</v>
      </c>
      <c r="C253">
        <v>5.3147877013177176</v>
      </c>
      <c r="D253">
        <v>5.4679355783308887</v>
      </c>
      <c r="E253">
        <f t="shared" si="15"/>
        <v>-4.7415909056817545E-4</v>
      </c>
      <c r="F253">
        <f t="shared" si="16"/>
        <v>2.1867611026203226E-4</v>
      </c>
      <c r="G253">
        <f t="shared" si="17"/>
        <v>1.0281271369745727E-3</v>
      </c>
      <c r="H253">
        <v>177.90128843338192</v>
      </c>
      <c r="I253">
        <v>162.98770131771641</v>
      </c>
      <c r="J253">
        <v>242.63557833089328</v>
      </c>
      <c r="K253">
        <f t="shared" si="18"/>
        <v>5.3377345524404198</v>
      </c>
      <c r="L253">
        <f t="shared" si="19"/>
        <v>5.4931249696082753</v>
      </c>
    </row>
    <row r="254" spans="1:12" x14ac:dyDescent="0.3">
      <c r="A254">
        <v>5.2</v>
      </c>
      <c r="B254">
        <v>5</v>
      </c>
      <c r="C254">
        <v>5.3147877013177176</v>
      </c>
      <c r="D254">
        <v>5.4679355783308887</v>
      </c>
      <c r="E254">
        <f t="shared" si="15"/>
        <v>5.371324940137942E-2</v>
      </c>
      <c r="F254">
        <f t="shared" si="16"/>
        <v>1.3176216373805507E-2</v>
      </c>
      <c r="G254">
        <f t="shared" si="17"/>
        <v>0.21896370546786328</v>
      </c>
      <c r="H254">
        <v>177.90128843338192</v>
      </c>
      <c r="I254">
        <v>162.98770131771641</v>
      </c>
      <c r="J254">
        <v>242.63557833089328</v>
      </c>
      <c r="K254">
        <f t="shared" si="18"/>
        <v>4.9328509761090551</v>
      </c>
      <c r="L254">
        <f t="shared" si="19"/>
        <v>5.0486731003705341</v>
      </c>
    </row>
    <row r="255" spans="1:12" x14ac:dyDescent="0.3">
      <c r="A255">
        <v>6.1</v>
      </c>
      <c r="B255">
        <v>6.5</v>
      </c>
      <c r="C255">
        <v>5.3147877013177176</v>
      </c>
      <c r="D255">
        <v>5.4679355783308887</v>
      </c>
      <c r="E255">
        <f t="shared" si="15"/>
        <v>0.81038967692700292</v>
      </c>
      <c r="F255">
        <f t="shared" si="16"/>
        <v>0.61655835400191328</v>
      </c>
      <c r="G255">
        <f t="shared" si="17"/>
        <v>1.0651569704751971</v>
      </c>
      <c r="H255">
        <v>177.90128843338192</v>
      </c>
      <c r="I255">
        <v>162.98770131771641</v>
      </c>
      <c r="J255">
        <v>242.63557833089328</v>
      </c>
      <c r="K255">
        <f t="shared" si="18"/>
        <v>6.2329106025025709</v>
      </c>
      <c r="L255">
        <f t="shared" si="19"/>
        <v>6.4757844105073108</v>
      </c>
    </row>
    <row r="256" spans="1:12" x14ac:dyDescent="0.3">
      <c r="A256">
        <v>5.8</v>
      </c>
      <c r="B256">
        <v>5.9</v>
      </c>
      <c r="C256">
        <v>5.3147877013177176</v>
      </c>
      <c r="D256">
        <v>5.4679355783308887</v>
      </c>
      <c r="E256">
        <f t="shared" si="15"/>
        <v>0.20964297121690051</v>
      </c>
      <c r="F256">
        <f t="shared" si="16"/>
        <v>0.23543097479254424</v>
      </c>
      <c r="G256">
        <f t="shared" si="17"/>
        <v>0.18667966447226389</v>
      </c>
      <c r="H256">
        <v>177.90128843338192</v>
      </c>
      <c r="I256">
        <v>162.98770131771641</v>
      </c>
      <c r="J256">
        <v>242.63557833089328</v>
      </c>
      <c r="K256">
        <f t="shared" si="18"/>
        <v>5.7214276416851062</v>
      </c>
      <c r="L256">
        <f t="shared" si="19"/>
        <v>5.914315456694955</v>
      </c>
    </row>
    <row r="257" spans="1:12" x14ac:dyDescent="0.3">
      <c r="A257">
        <v>5.2</v>
      </c>
      <c r="B257">
        <v>5.3</v>
      </c>
      <c r="C257">
        <v>5.3147877013177176</v>
      </c>
      <c r="D257">
        <v>5.4679355783308887</v>
      </c>
      <c r="E257">
        <f t="shared" si="15"/>
        <v>1.9276939006064215E-2</v>
      </c>
      <c r="F257">
        <f t="shared" si="16"/>
        <v>1.3176216373805507E-2</v>
      </c>
      <c r="G257">
        <f t="shared" si="17"/>
        <v>2.8202358469330124E-2</v>
      </c>
      <c r="H257">
        <v>177.90128843338192</v>
      </c>
      <c r="I257">
        <v>162.98770131771641</v>
      </c>
      <c r="J257">
        <v>242.63557833089328</v>
      </c>
      <c r="K257">
        <f t="shared" si="18"/>
        <v>5.1672402321679325</v>
      </c>
      <c r="L257">
        <f t="shared" si="19"/>
        <v>5.305968651670824</v>
      </c>
    </row>
    <row r="258" spans="1:12" x14ac:dyDescent="0.3">
      <c r="A258">
        <v>5.5</v>
      </c>
      <c r="B258">
        <v>5.4</v>
      </c>
      <c r="C258">
        <v>5.3147877013177176</v>
      </c>
      <c r="D258">
        <v>5.4679355783308887</v>
      </c>
      <c r="E258">
        <f t="shared" si="15"/>
        <v>-1.2582504624974088E-2</v>
      </c>
      <c r="F258">
        <f t="shared" si="16"/>
        <v>3.4303595583174987E-2</v>
      </c>
      <c r="G258">
        <f t="shared" si="17"/>
        <v>4.615242803152269E-3</v>
      </c>
      <c r="H258">
        <v>177.90128843338192</v>
      </c>
      <c r="I258">
        <v>162.98770131771641</v>
      </c>
      <c r="J258">
        <v>242.63557833089328</v>
      </c>
      <c r="K258">
        <f t="shared" si="18"/>
        <v>5.2880744328872682</v>
      </c>
      <c r="L258">
        <f t="shared" si="19"/>
        <v>5.438611686649363</v>
      </c>
    </row>
    <row r="259" spans="1:12" x14ac:dyDescent="0.3">
      <c r="A259">
        <v>4.8</v>
      </c>
      <c r="B259">
        <v>5.2</v>
      </c>
      <c r="C259">
        <v>5.3147877013177176</v>
      </c>
      <c r="D259">
        <v>5.4679355783308887</v>
      </c>
      <c r="E259">
        <f t="shared" ref="E259:E322" si="20">(A259-C259)*(B259-D259)</f>
        <v>0.13792994047019144</v>
      </c>
      <c r="F259">
        <f t="shared" ref="F259:F322" si="21">(A259-C259)^2</f>
        <v>0.26500637742797983</v>
      </c>
      <c r="G259">
        <f t="shared" ref="G259:G322" si="22">(B259-D259)^2</f>
        <v>7.1789474135507708E-2</v>
      </c>
      <c r="H259">
        <v>177.90128843338192</v>
      </c>
      <c r="I259">
        <v>162.98770131771641</v>
      </c>
      <c r="J259">
        <v>242.63557833089328</v>
      </c>
      <c r="K259">
        <f t="shared" ref="K259:K322" si="23">(1.097727582*(B259+0.366253474)+0.2*A259)/(0.2+1.097727582^2)</f>
        <v>5.032171215215361</v>
      </c>
      <c r="L259">
        <f t="shared" ref="L259:L322" si="24">1.097727582*K259-0.366253474</f>
        <v>5.1576996662883605</v>
      </c>
    </row>
    <row r="260" spans="1:12" x14ac:dyDescent="0.3">
      <c r="A260">
        <v>4.8</v>
      </c>
      <c r="B260">
        <v>5.3</v>
      </c>
      <c r="C260">
        <v>5.3147877013177176</v>
      </c>
      <c r="D260">
        <v>5.4679355783308887</v>
      </c>
      <c r="E260">
        <f t="shared" si="20"/>
        <v>8.6451170338419828E-2</v>
      </c>
      <c r="F260">
        <f t="shared" si="21"/>
        <v>0.26500637742797983</v>
      </c>
      <c r="G260">
        <f t="shared" si="22"/>
        <v>2.8202358469330124E-2</v>
      </c>
      <c r="H260">
        <v>177.90128843338192</v>
      </c>
      <c r="I260">
        <v>162.98770131771641</v>
      </c>
      <c r="J260">
        <v>242.63557833089328</v>
      </c>
      <c r="K260">
        <f t="shared" si="23"/>
        <v>5.1103009672349859</v>
      </c>
      <c r="L260">
        <f t="shared" si="24"/>
        <v>5.2434648500551235</v>
      </c>
    </row>
    <row r="261" spans="1:12" x14ac:dyDescent="0.3">
      <c r="A261">
        <v>5.3</v>
      </c>
      <c r="B261">
        <v>5.5</v>
      </c>
      <c r="C261">
        <v>5.3147877013177176</v>
      </c>
      <c r="D261">
        <v>5.4679355783308887</v>
      </c>
      <c r="E261">
        <f t="shared" si="20"/>
        <v>-4.7415909056817545E-4</v>
      </c>
      <c r="F261">
        <f t="shared" si="21"/>
        <v>2.1867611026203226E-4</v>
      </c>
      <c r="G261">
        <f t="shared" si="22"/>
        <v>1.0281271369745727E-3</v>
      </c>
      <c r="H261">
        <v>177.90128843338192</v>
      </c>
      <c r="I261">
        <v>162.98770131771641</v>
      </c>
      <c r="J261">
        <v>242.63557833089328</v>
      </c>
      <c r="K261">
        <f t="shared" si="23"/>
        <v>5.3377345524404198</v>
      </c>
      <c r="L261">
        <f t="shared" si="24"/>
        <v>5.4931249696082753</v>
      </c>
    </row>
    <row r="262" spans="1:12" x14ac:dyDescent="0.3">
      <c r="A262">
        <v>5.2</v>
      </c>
      <c r="B262">
        <v>5</v>
      </c>
      <c r="C262">
        <v>5.3147877013177176</v>
      </c>
      <c r="D262">
        <v>5.4679355783308887</v>
      </c>
      <c r="E262">
        <f t="shared" si="20"/>
        <v>5.371324940137942E-2</v>
      </c>
      <c r="F262">
        <f t="shared" si="21"/>
        <v>1.3176216373805507E-2</v>
      </c>
      <c r="G262">
        <f t="shared" si="22"/>
        <v>0.21896370546786328</v>
      </c>
      <c r="H262">
        <v>177.90128843338192</v>
      </c>
      <c r="I262">
        <v>162.98770131771641</v>
      </c>
      <c r="J262">
        <v>242.63557833089328</v>
      </c>
      <c r="K262">
        <f t="shared" si="23"/>
        <v>4.9328509761090551</v>
      </c>
      <c r="L262">
        <f t="shared" si="24"/>
        <v>5.0486731003705341</v>
      </c>
    </row>
    <row r="263" spans="1:12" x14ac:dyDescent="0.3">
      <c r="A263">
        <v>5.9</v>
      </c>
      <c r="B263">
        <v>5.8</v>
      </c>
      <c r="C263">
        <v>5.3147877013177176</v>
      </c>
      <c r="D263">
        <v>5.4679355783308887</v>
      </c>
      <c r="E263">
        <f t="shared" si="20"/>
        <v>0.19432818351558334</v>
      </c>
      <c r="F263">
        <f t="shared" si="21"/>
        <v>0.34247343452900131</v>
      </c>
      <c r="G263">
        <f t="shared" si="22"/>
        <v>0.11026678013844123</v>
      </c>
      <c r="H263">
        <v>177.90128843338192</v>
      </c>
      <c r="I263">
        <v>162.98770131771641</v>
      </c>
      <c r="J263">
        <v>242.63557833089328</v>
      </c>
      <c r="K263">
        <f t="shared" si="23"/>
        <v>5.657532705898717</v>
      </c>
      <c r="L263">
        <f t="shared" si="24"/>
        <v>5.8441762233321164</v>
      </c>
    </row>
    <row r="264" spans="1:12" x14ac:dyDescent="0.3">
      <c r="A264">
        <v>4.9000000000000004</v>
      </c>
      <c r="B264">
        <v>4.8</v>
      </c>
      <c r="C264">
        <v>5.3147877013177176</v>
      </c>
      <c r="D264">
        <v>5.4679355783308887</v>
      </c>
      <c r="E264">
        <f t="shared" si="20"/>
        <v>0.27705146316418949</v>
      </c>
      <c r="F264">
        <f t="shared" si="21"/>
        <v>0.17204883716443581</v>
      </c>
      <c r="G264">
        <f t="shared" si="22"/>
        <v>0.44613793680021901</v>
      </c>
      <c r="H264">
        <v>177.90128843338192</v>
      </c>
      <c r="I264">
        <v>162.98770131771641</v>
      </c>
      <c r="J264">
        <v>242.63557833089328</v>
      </c>
      <c r="K264">
        <f t="shared" si="23"/>
        <v>4.7338870233700936</v>
      </c>
      <c r="L264">
        <f t="shared" si="24"/>
        <v>4.8302648816252312</v>
      </c>
    </row>
    <row r="265" spans="1:12" x14ac:dyDescent="0.3">
      <c r="A265">
        <v>5.2</v>
      </c>
      <c r="B265">
        <v>5</v>
      </c>
      <c r="C265">
        <v>5.3147877013177176</v>
      </c>
      <c r="D265">
        <v>5.4679355783308887</v>
      </c>
      <c r="E265">
        <f t="shared" si="20"/>
        <v>5.371324940137942E-2</v>
      </c>
      <c r="F265">
        <f t="shared" si="21"/>
        <v>1.3176216373805507E-2</v>
      </c>
      <c r="G265">
        <f t="shared" si="22"/>
        <v>0.21896370546786328</v>
      </c>
      <c r="H265">
        <v>177.90128843338192</v>
      </c>
      <c r="I265">
        <v>162.98770131771641</v>
      </c>
      <c r="J265">
        <v>242.63557833089328</v>
      </c>
      <c r="K265">
        <f t="shared" si="23"/>
        <v>4.9328509761090551</v>
      </c>
      <c r="L265">
        <f t="shared" si="24"/>
        <v>5.0486731003705341</v>
      </c>
    </row>
    <row r="266" spans="1:12" x14ac:dyDescent="0.3">
      <c r="A266">
        <v>5.9</v>
      </c>
      <c r="B266">
        <v>5.7</v>
      </c>
      <c r="C266">
        <v>5.3147877013177176</v>
      </c>
      <c r="D266">
        <v>5.4679355783308887</v>
      </c>
      <c r="E266">
        <f t="shared" si="20"/>
        <v>0.13580695364735526</v>
      </c>
      <c r="F266">
        <f t="shared" si="21"/>
        <v>0.34247343452900131</v>
      </c>
      <c r="G266">
        <f t="shared" si="22"/>
        <v>5.3853895804619169E-2</v>
      </c>
      <c r="H266">
        <v>177.90128843338192</v>
      </c>
      <c r="I266">
        <v>162.98770131771641</v>
      </c>
      <c r="J266">
        <v>242.63557833089328</v>
      </c>
      <c r="K266">
        <f t="shared" si="23"/>
        <v>5.5794029538790921</v>
      </c>
      <c r="L266">
        <f t="shared" si="24"/>
        <v>5.7584110395653543</v>
      </c>
    </row>
    <row r="267" spans="1:12" x14ac:dyDescent="0.3">
      <c r="A267">
        <v>5.8</v>
      </c>
      <c r="B267">
        <v>5.7</v>
      </c>
      <c r="C267">
        <v>5.3147877013177176</v>
      </c>
      <c r="D267">
        <v>5.4679355783308887</v>
      </c>
      <c r="E267">
        <f t="shared" si="20"/>
        <v>0.11260051148044399</v>
      </c>
      <c r="F267">
        <f t="shared" si="21"/>
        <v>0.23543097479254424</v>
      </c>
      <c r="G267">
        <f t="shared" si="22"/>
        <v>5.3853895804619169E-2</v>
      </c>
      <c r="H267">
        <v>177.90128843338192</v>
      </c>
      <c r="I267">
        <v>162.98770131771641</v>
      </c>
      <c r="J267">
        <v>242.63557833089328</v>
      </c>
      <c r="K267">
        <f t="shared" si="23"/>
        <v>5.5651681376458555</v>
      </c>
      <c r="L267">
        <f t="shared" si="24"/>
        <v>5.7427850891614289</v>
      </c>
    </row>
    <row r="268" spans="1:12" x14ac:dyDescent="0.3">
      <c r="A268">
        <v>5.6</v>
      </c>
      <c r="B268">
        <v>5.7</v>
      </c>
      <c r="C268">
        <v>5.3147877013177176</v>
      </c>
      <c r="D268">
        <v>5.4679355783308887</v>
      </c>
      <c r="E268">
        <f t="shared" si="20"/>
        <v>6.6187627146621658E-2</v>
      </c>
      <c r="F268">
        <f t="shared" si="21"/>
        <v>8.1346055319631266E-2</v>
      </c>
      <c r="G268">
        <f t="shared" si="22"/>
        <v>5.3853895804619169E-2</v>
      </c>
      <c r="H268">
        <v>177.90128843338192</v>
      </c>
      <c r="I268">
        <v>162.98770131771641</v>
      </c>
      <c r="J268">
        <v>242.63557833089328</v>
      </c>
      <c r="K268">
        <f t="shared" si="23"/>
        <v>5.5366985051793822</v>
      </c>
      <c r="L268">
        <f t="shared" si="24"/>
        <v>5.7115331883535783</v>
      </c>
    </row>
    <row r="269" spans="1:12" x14ac:dyDescent="0.3">
      <c r="A269">
        <v>5.6</v>
      </c>
      <c r="B269">
        <v>5.6</v>
      </c>
      <c r="C269">
        <v>5.3147877013177176</v>
      </c>
      <c r="D269">
        <v>5.4679355783308887</v>
      </c>
      <c r="E269">
        <f t="shared" si="20"/>
        <v>3.7666397278393306E-2</v>
      </c>
      <c r="F269">
        <f t="shared" si="21"/>
        <v>8.1346055319631266E-2</v>
      </c>
      <c r="G269">
        <f t="shared" si="22"/>
        <v>1.7441011470796734E-2</v>
      </c>
      <c r="H269">
        <v>177.90128843338192</v>
      </c>
      <c r="I269">
        <v>162.98770131771641</v>
      </c>
      <c r="J269">
        <v>242.63557833089328</v>
      </c>
      <c r="K269">
        <f t="shared" si="23"/>
        <v>5.4585687531597555</v>
      </c>
      <c r="L269">
        <f t="shared" si="24"/>
        <v>5.6257680045868144</v>
      </c>
    </row>
    <row r="270" spans="1:12" x14ac:dyDescent="0.3">
      <c r="A270">
        <v>5.7</v>
      </c>
      <c r="B270">
        <v>5.5</v>
      </c>
      <c r="C270">
        <v>5.3147877013177176</v>
      </c>
      <c r="D270">
        <v>5.4679355783308887</v>
      </c>
      <c r="E270">
        <f t="shared" si="20"/>
        <v>1.2351609577076346E-2</v>
      </c>
      <c r="F270">
        <f t="shared" si="21"/>
        <v>0.14838851505608808</v>
      </c>
      <c r="G270">
        <f t="shared" si="22"/>
        <v>1.0281271369745727E-3</v>
      </c>
      <c r="H270">
        <v>177.90128843338192</v>
      </c>
      <c r="I270">
        <v>162.98770131771641</v>
      </c>
      <c r="J270">
        <v>242.63557833089328</v>
      </c>
      <c r="K270">
        <f t="shared" si="23"/>
        <v>5.3946738173733664</v>
      </c>
      <c r="L270">
        <f t="shared" si="24"/>
        <v>5.5556287712239758</v>
      </c>
    </row>
    <row r="271" spans="1:12" x14ac:dyDescent="0.3">
      <c r="A271">
        <v>5.0999999999999996</v>
      </c>
      <c r="B271">
        <v>5.4</v>
      </c>
      <c r="C271">
        <v>5.3147877013177176</v>
      </c>
      <c r="D271">
        <v>5.4679355783308887</v>
      </c>
      <c r="E271">
        <f t="shared" si="20"/>
        <v>1.4591726707381283E-2</v>
      </c>
      <c r="F271">
        <f t="shared" si="21"/>
        <v>4.613375663734922E-2</v>
      </c>
      <c r="G271">
        <f t="shared" si="22"/>
        <v>4.615242803152269E-3</v>
      </c>
      <c r="H271">
        <v>177.90128843338192</v>
      </c>
      <c r="I271">
        <v>162.98770131771641</v>
      </c>
      <c r="J271">
        <v>242.63557833089328</v>
      </c>
      <c r="K271">
        <f t="shared" si="23"/>
        <v>5.2311351679543217</v>
      </c>
      <c r="L271">
        <f t="shared" si="24"/>
        <v>5.3761078850336625</v>
      </c>
    </row>
    <row r="272" spans="1:12" x14ac:dyDescent="0.3">
      <c r="A272">
        <v>5.2</v>
      </c>
      <c r="B272">
        <v>5.8</v>
      </c>
      <c r="C272">
        <v>5.3147877013177176</v>
      </c>
      <c r="D272">
        <v>5.4679355783308887</v>
      </c>
      <c r="E272">
        <f t="shared" si="20"/>
        <v>-3.8116911652794502E-2</v>
      </c>
      <c r="F272">
        <f t="shared" si="21"/>
        <v>1.3176216373805507E-2</v>
      </c>
      <c r="G272">
        <f t="shared" si="22"/>
        <v>0.11026678013844123</v>
      </c>
      <c r="H272">
        <v>177.90128843338192</v>
      </c>
      <c r="I272">
        <v>162.98770131771641</v>
      </c>
      <c r="J272">
        <v>242.63557833089328</v>
      </c>
      <c r="K272">
        <f t="shared" si="23"/>
        <v>5.5578889922660606</v>
      </c>
      <c r="L272">
        <f t="shared" si="24"/>
        <v>5.7347945705046399</v>
      </c>
    </row>
    <row r="273" spans="1:12" x14ac:dyDescent="0.3">
      <c r="A273">
        <v>5.2</v>
      </c>
      <c r="B273">
        <v>5.2</v>
      </c>
      <c r="C273">
        <v>5.3147877013177176</v>
      </c>
      <c r="D273">
        <v>5.4679355783308887</v>
      </c>
      <c r="E273">
        <f t="shared" si="20"/>
        <v>3.0755709137835915E-2</v>
      </c>
      <c r="F273">
        <f t="shared" si="21"/>
        <v>1.3176216373805507E-2</v>
      </c>
      <c r="G273">
        <f t="shared" si="22"/>
        <v>7.1789474135507708E-2</v>
      </c>
      <c r="H273">
        <v>177.90128843338192</v>
      </c>
      <c r="I273">
        <v>162.98770131771641</v>
      </c>
      <c r="J273">
        <v>242.63557833089328</v>
      </c>
      <c r="K273">
        <f t="shared" si="23"/>
        <v>5.0891104801483067</v>
      </c>
      <c r="L273">
        <f t="shared" si="24"/>
        <v>5.2202034679040601</v>
      </c>
    </row>
    <row r="274" spans="1:12" x14ac:dyDescent="0.3">
      <c r="A274">
        <v>5.2</v>
      </c>
      <c r="B274">
        <v>5.0999999999999996</v>
      </c>
      <c r="C274">
        <v>5.3147877013177176</v>
      </c>
      <c r="D274">
        <v>5.4679355783308887</v>
      </c>
      <c r="E274">
        <f t="shared" si="20"/>
        <v>4.2234479269607723E-2</v>
      </c>
      <c r="F274">
        <f t="shared" si="21"/>
        <v>1.3176216373805507E-2</v>
      </c>
      <c r="G274">
        <f t="shared" si="22"/>
        <v>0.13537658980168582</v>
      </c>
      <c r="H274">
        <v>177.90128843338192</v>
      </c>
      <c r="I274">
        <v>162.98770131771641</v>
      </c>
      <c r="J274">
        <v>242.63557833089328</v>
      </c>
      <c r="K274">
        <f t="shared" si="23"/>
        <v>5.0109807281286809</v>
      </c>
      <c r="L274">
        <f t="shared" si="24"/>
        <v>5.1344382841372971</v>
      </c>
    </row>
    <row r="275" spans="1:12" x14ac:dyDescent="0.3">
      <c r="A275">
        <v>4.9000000000000004</v>
      </c>
      <c r="B275">
        <v>4.8</v>
      </c>
      <c r="C275">
        <v>5.3147877013177176</v>
      </c>
      <c r="D275">
        <v>5.4679355783308887</v>
      </c>
      <c r="E275">
        <f t="shared" si="20"/>
        <v>0.27705146316418949</v>
      </c>
      <c r="F275">
        <f t="shared" si="21"/>
        <v>0.17204883716443581</v>
      </c>
      <c r="G275">
        <f t="shared" si="22"/>
        <v>0.44613793680021901</v>
      </c>
      <c r="H275">
        <v>177.90128843338192</v>
      </c>
      <c r="I275">
        <v>162.98770131771641</v>
      </c>
      <c r="J275">
        <v>242.63557833089328</v>
      </c>
      <c r="K275">
        <f t="shared" si="23"/>
        <v>4.7338870233700936</v>
      </c>
      <c r="L275">
        <f t="shared" si="24"/>
        <v>4.8302648816252312</v>
      </c>
    </row>
    <row r="276" spans="1:12" x14ac:dyDescent="0.3">
      <c r="A276">
        <v>5.7</v>
      </c>
      <c r="B276">
        <v>5.4</v>
      </c>
      <c r="C276">
        <v>5.3147877013177176</v>
      </c>
      <c r="D276">
        <v>5.4679355783308887</v>
      </c>
      <c r="E276">
        <f t="shared" si="20"/>
        <v>-2.6169620291151774E-2</v>
      </c>
      <c r="F276">
        <f t="shared" si="21"/>
        <v>0.14838851505608808</v>
      </c>
      <c r="G276">
        <f t="shared" si="22"/>
        <v>4.615242803152269E-3</v>
      </c>
      <c r="H276">
        <v>177.90128843338192</v>
      </c>
      <c r="I276">
        <v>162.98770131771641</v>
      </c>
      <c r="J276">
        <v>242.63557833089328</v>
      </c>
      <c r="K276">
        <f t="shared" si="23"/>
        <v>5.3165440653537424</v>
      </c>
      <c r="L276">
        <f t="shared" si="24"/>
        <v>5.4698635874572146</v>
      </c>
    </row>
    <row r="277" spans="1:12" x14ac:dyDescent="0.3">
      <c r="A277">
        <v>5.2</v>
      </c>
      <c r="B277">
        <v>5.3</v>
      </c>
      <c r="C277">
        <v>5.3147877013177176</v>
      </c>
      <c r="D277">
        <v>5.4679355783308887</v>
      </c>
      <c r="E277">
        <f t="shared" si="20"/>
        <v>1.9276939006064215E-2</v>
      </c>
      <c r="F277">
        <f t="shared" si="21"/>
        <v>1.3176216373805507E-2</v>
      </c>
      <c r="G277">
        <f t="shared" si="22"/>
        <v>2.8202358469330124E-2</v>
      </c>
      <c r="H277">
        <v>177.90128843338192</v>
      </c>
      <c r="I277">
        <v>162.98770131771641</v>
      </c>
      <c r="J277">
        <v>242.63557833089328</v>
      </c>
      <c r="K277">
        <f t="shared" si="23"/>
        <v>5.1672402321679325</v>
      </c>
      <c r="L277">
        <f t="shared" si="24"/>
        <v>5.305968651670824</v>
      </c>
    </row>
    <row r="278" spans="1:12" x14ac:dyDescent="0.3">
      <c r="A278">
        <v>5.4</v>
      </c>
      <c r="B278">
        <v>5.2</v>
      </c>
      <c r="C278">
        <v>5.3147877013177176</v>
      </c>
      <c r="D278">
        <v>5.4679355783308887</v>
      </c>
      <c r="E278">
        <f t="shared" si="20"/>
        <v>-2.2831406528341841E-2</v>
      </c>
      <c r="F278">
        <f t="shared" si="21"/>
        <v>7.2611358467185661E-3</v>
      </c>
      <c r="G278">
        <f t="shared" si="22"/>
        <v>7.1789474135507708E-2</v>
      </c>
      <c r="H278">
        <v>177.90128843338192</v>
      </c>
      <c r="I278">
        <v>162.98770131771641</v>
      </c>
      <c r="J278">
        <v>242.63557833089328</v>
      </c>
      <c r="K278">
        <f t="shared" si="23"/>
        <v>5.11758011261478</v>
      </c>
      <c r="L278">
        <f t="shared" si="24"/>
        <v>5.2514553687119108</v>
      </c>
    </row>
    <row r="279" spans="1:12" x14ac:dyDescent="0.3">
      <c r="A279">
        <v>4.9000000000000004</v>
      </c>
      <c r="B279">
        <v>5.0999999999999996</v>
      </c>
      <c r="C279">
        <v>5.3147877013177176</v>
      </c>
      <c r="D279">
        <v>5.4679355783308887</v>
      </c>
      <c r="E279">
        <f t="shared" si="20"/>
        <v>0.15261515276887438</v>
      </c>
      <c r="F279">
        <f t="shared" si="21"/>
        <v>0.17204883716443581</v>
      </c>
      <c r="G279">
        <f t="shared" si="22"/>
        <v>0.13537658980168582</v>
      </c>
      <c r="H279">
        <v>177.90128843338192</v>
      </c>
      <c r="I279">
        <v>162.98770131771641</v>
      </c>
      <c r="J279">
        <v>242.63557833089328</v>
      </c>
      <c r="K279">
        <f t="shared" si="23"/>
        <v>4.968276279428971</v>
      </c>
      <c r="L279">
        <f t="shared" si="24"/>
        <v>5.0875604329255211</v>
      </c>
    </row>
    <row r="280" spans="1:12" x14ac:dyDescent="0.3">
      <c r="A280">
        <v>5.7</v>
      </c>
      <c r="B280">
        <v>5.7</v>
      </c>
      <c r="C280">
        <v>5.3147877013177176</v>
      </c>
      <c r="D280">
        <v>5.4679355783308887</v>
      </c>
      <c r="E280">
        <f t="shared" si="20"/>
        <v>8.9394069313532928E-2</v>
      </c>
      <c r="F280">
        <f t="shared" si="21"/>
        <v>0.14838851505608808</v>
      </c>
      <c r="G280">
        <f t="shared" si="22"/>
        <v>5.3853895804619169E-2</v>
      </c>
      <c r="H280">
        <v>177.90128843338192</v>
      </c>
      <c r="I280">
        <v>162.98770131771641</v>
      </c>
      <c r="J280">
        <v>242.63557833089328</v>
      </c>
      <c r="K280">
        <f t="shared" si="23"/>
        <v>5.550933321412618</v>
      </c>
      <c r="L280">
        <f t="shared" si="24"/>
        <v>5.7271591387575027</v>
      </c>
    </row>
    <row r="281" spans="1:12" x14ac:dyDescent="0.3">
      <c r="A281">
        <v>4.9000000000000004</v>
      </c>
      <c r="B281">
        <v>5.0999999999999996</v>
      </c>
      <c r="C281">
        <v>5.3147877013177176</v>
      </c>
      <c r="D281">
        <v>5.4679355783308887</v>
      </c>
      <c r="E281">
        <f t="shared" si="20"/>
        <v>0.15261515276887438</v>
      </c>
      <c r="F281">
        <f t="shared" si="21"/>
        <v>0.17204883716443581</v>
      </c>
      <c r="G281">
        <f t="shared" si="22"/>
        <v>0.13537658980168582</v>
      </c>
      <c r="H281">
        <v>177.90128843338192</v>
      </c>
      <c r="I281">
        <v>162.98770131771641</v>
      </c>
      <c r="J281">
        <v>242.63557833089328</v>
      </c>
      <c r="K281">
        <f t="shared" si="23"/>
        <v>4.968276279428971</v>
      </c>
      <c r="L281">
        <f t="shared" si="24"/>
        <v>5.0875604329255211</v>
      </c>
    </row>
    <row r="282" spans="1:12" x14ac:dyDescent="0.3">
      <c r="A282">
        <v>5.2</v>
      </c>
      <c r="B282">
        <v>5.7</v>
      </c>
      <c r="C282">
        <v>5.3147877013177176</v>
      </c>
      <c r="D282">
        <v>5.4679355783308887</v>
      </c>
      <c r="E282">
        <f t="shared" si="20"/>
        <v>-2.6638141521022798E-2</v>
      </c>
      <c r="F282">
        <f t="shared" si="21"/>
        <v>1.3176216373805507E-2</v>
      </c>
      <c r="G282">
        <f t="shared" si="22"/>
        <v>5.3853895804619169E-2</v>
      </c>
      <c r="H282">
        <v>177.90128843338192</v>
      </c>
      <c r="I282">
        <v>162.98770131771641</v>
      </c>
      <c r="J282">
        <v>242.63557833089328</v>
      </c>
      <c r="K282">
        <f t="shared" si="23"/>
        <v>5.4797592402464357</v>
      </c>
      <c r="L282">
        <f t="shared" si="24"/>
        <v>5.6490293867378778</v>
      </c>
    </row>
    <row r="283" spans="1:12" x14ac:dyDescent="0.3">
      <c r="A283">
        <v>5.0999999999999996</v>
      </c>
      <c r="B283">
        <v>5.0999999999999996</v>
      </c>
      <c r="C283">
        <v>5.3147877013177176</v>
      </c>
      <c r="D283">
        <v>5.4679355783308887</v>
      </c>
      <c r="E283">
        <f t="shared" si="20"/>
        <v>7.9028037102696819E-2</v>
      </c>
      <c r="F283">
        <f t="shared" si="21"/>
        <v>4.613375663734922E-2</v>
      </c>
      <c r="G283">
        <f t="shared" si="22"/>
        <v>0.13537658980168582</v>
      </c>
      <c r="H283">
        <v>177.90128843338192</v>
      </c>
      <c r="I283">
        <v>162.98770131771641</v>
      </c>
      <c r="J283">
        <v>242.63557833089328</v>
      </c>
      <c r="K283">
        <f t="shared" si="23"/>
        <v>4.9967459118954443</v>
      </c>
      <c r="L283">
        <f t="shared" si="24"/>
        <v>5.1188123337333717</v>
      </c>
    </row>
    <row r="284" spans="1:12" x14ac:dyDescent="0.3">
      <c r="A284">
        <v>4.9000000000000004</v>
      </c>
      <c r="B284">
        <v>5.0999999999999996</v>
      </c>
      <c r="C284">
        <v>5.3147877013177176</v>
      </c>
      <c r="D284">
        <v>5.4679355783308887</v>
      </c>
      <c r="E284">
        <f t="shared" si="20"/>
        <v>0.15261515276887438</v>
      </c>
      <c r="F284">
        <f t="shared" si="21"/>
        <v>0.17204883716443581</v>
      </c>
      <c r="G284">
        <f t="shared" si="22"/>
        <v>0.13537658980168582</v>
      </c>
      <c r="H284">
        <v>177.90128843338192</v>
      </c>
      <c r="I284">
        <v>162.98770131771641</v>
      </c>
      <c r="J284">
        <v>242.63557833089328</v>
      </c>
      <c r="K284">
        <f t="shared" si="23"/>
        <v>4.968276279428971</v>
      </c>
      <c r="L284">
        <f t="shared" si="24"/>
        <v>5.0875604329255211</v>
      </c>
    </row>
    <row r="285" spans="1:12" x14ac:dyDescent="0.3">
      <c r="A285">
        <v>4.8</v>
      </c>
      <c r="B285">
        <v>5</v>
      </c>
      <c r="C285">
        <v>5.3147877013177176</v>
      </c>
      <c r="D285">
        <v>5.4679355783308887</v>
      </c>
      <c r="E285">
        <f t="shared" si="20"/>
        <v>0.24088748073373509</v>
      </c>
      <c r="F285">
        <f t="shared" si="21"/>
        <v>0.26500637742797983</v>
      </c>
      <c r="G285">
        <f t="shared" si="22"/>
        <v>0.21896370546786328</v>
      </c>
      <c r="H285">
        <v>177.90128843338192</v>
      </c>
      <c r="I285">
        <v>162.98770131771641</v>
      </c>
      <c r="J285">
        <v>242.63557833089328</v>
      </c>
      <c r="K285">
        <f t="shared" si="23"/>
        <v>4.8759117111761086</v>
      </c>
      <c r="L285">
        <f t="shared" si="24"/>
        <v>4.9861692987548327</v>
      </c>
    </row>
    <row r="286" spans="1:12" x14ac:dyDescent="0.3">
      <c r="A286">
        <v>5.2</v>
      </c>
      <c r="B286">
        <v>5.2</v>
      </c>
      <c r="C286">
        <v>5.3147877013177176</v>
      </c>
      <c r="D286">
        <v>5.4679355783308887</v>
      </c>
      <c r="E286">
        <f t="shared" si="20"/>
        <v>3.0755709137835915E-2</v>
      </c>
      <c r="F286">
        <f t="shared" si="21"/>
        <v>1.3176216373805507E-2</v>
      </c>
      <c r="G286">
        <f t="shared" si="22"/>
        <v>7.1789474135507708E-2</v>
      </c>
      <c r="H286">
        <v>177.90128843338192</v>
      </c>
      <c r="I286">
        <v>162.98770131771641</v>
      </c>
      <c r="J286">
        <v>242.63557833089328</v>
      </c>
      <c r="K286">
        <f t="shared" si="23"/>
        <v>5.0891104801483067</v>
      </c>
      <c r="L286">
        <f t="shared" si="24"/>
        <v>5.2202034679040601</v>
      </c>
    </row>
    <row r="287" spans="1:12" x14ac:dyDescent="0.3">
      <c r="A287">
        <v>5.8</v>
      </c>
      <c r="B287">
        <v>5.9</v>
      </c>
      <c r="C287">
        <v>5.3147877013177176</v>
      </c>
      <c r="D287">
        <v>5.4679355783308887</v>
      </c>
      <c r="E287">
        <f t="shared" si="20"/>
        <v>0.20964297121690051</v>
      </c>
      <c r="F287">
        <f t="shared" si="21"/>
        <v>0.23543097479254424</v>
      </c>
      <c r="G287">
        <f t="shared" si="22"/>
        <v>0.18667966447226389</v>
      </c>
      <c r="H287">
        <v>177.90128843338192</v>
      </c>
      <c r="I287">
        <v>162.98770131771641</v>
      </c>
      <c r="J287">
        <v>242.63557833089328</v>
      </c>
      <c r="K287">
        <f t="shared" si="23"/>
        <v>5.7214276416851062</v>
      </c>
      <c r="L287">
        <f t="shared" si="24"/>
        <v>5.914315456694955</v>
      </c>
    </row>
    <row r="288" spans="1:12" x14ac:dyDescent="0.3">
      <c r="A288">
        <v>5.4</v>
      </c>
      <c r="B288">
        <v>5.8</v>
      </c>
      <c r="C288">
        <v>5.3147877013177176</v>
      </c>
      <c r="D288">
        <v>5.4679355783308887</v>
      </c>
      <c r="E288">
        <f t="shared" si="20"/>
        <v>2.8295972681027778E-2</v>
      </c>
      <c r="F288">
        <f t="shared" si="21"/>
        <v>7.2611358467185661E-3</v>
      </c>
      <c r="G288">
        <f t="shared" si="22"/>
        <v>0.11026678013844123</v>
      </c>
      <c r="H288">
        <v>177.90128843338192</v>
      </c>
      <c r="I288">
        <v>162.98770131771641</v>
      </c>
      <c r="J288">
        <v>242.63557833089328</v>
      </c>
      <c r="K288">
        <f t="shared" si="23"/>
        <v>5.5863586247325339</v>
      </c>
      <c r="L288">
        <f t="shared" si="24"/>
        <v>5.7660464713124906</v>
      </c>
    </row>
    <row r="289" spans="1:12" x14ac:dyDescent="0.3">
      <c r="A289">
        <v>4.9000000000000004</v>
      </c>
      <c r="B289">
        <v>5.3</v>
      </c>
      <c r="C289">
        <v>5.3147877013177176</v>
      </c>
      <c r="D289">
        <v>5.4679355783308887</v>
      </c>
      <c r="E289">
        <f t="shared" si="20"/>
        <v>6.9657612505330854E-2</v>
      </c>
      <c r="F289">
        <f t="shared" si="21"/>
        <v>0.17204883716443581</v>
      </c>
      <c r="G289">
        <f t="shared" si="22"/>
        <v>2.8202358469330124E-2</v>
      </c>
      <c r="H289">
        <v>177.90128843338192</v>
      </c>
      <c r="I289">
        <v>162.98770131771641</v>
      </c>
      <c r="J289">
        <v>242.63557833089328</v>
      </c>
      <c r="K289">
        <f t="shared" si="23"/>
        <v>5.1245357834682226</v>
      </c>
      <c r="L289">
        <f t="shared" si="24"/>
        <v>5.259090800459048</v>
      </c>
    </row>
    <row r="290" spans="1:12" x14ac:dyDescent="0.3">
      <c r="A290">
        <v>6</v>
      </c>
      <c r="B290">
        <v>6.4</v>
      </c>
      <c r="C290">
        <v>5.3147877013177176</v>
      </c>
      <c r="D290">
        <v>5.4679355783308887</v>
      </c>
      <c r="E290">
        <f t="shared" si="20"/>
        <v>0.63866200489186409</v>
      </c>
      <c r="F290">
        <f t="shared" si="21"/>
        <v>0.46951589426545737</v>
      </c>
      <c r="G290">
        <f t="shared" si="22"/>
        <v>0.86874408614137555</v>
      </c>
      <c r="H290">
        <v>177.90128843338192</v>
      </c>
      <c r="I290">
        <v>162.98770131771641</v>
      </c>
      <c r="J290">
        <v>242.63557833089328</v>
      </c>
      <c r="K290">
        <f t="shared" si="23"/>
        <v>6.1405460342497094</v>
      </c>
      <c r="L290">
        <f t="shared" si="24"/>
        <v>6.3743932763366233</v>
      </c>
    </row>
    <row r="291" spans="1:12" x14ac:dyDescent="0.3">
      <c r="A291">
        <v>5.5</v>
      </c>
      <c r="B291">
        <v>5.8</v>
      </c>
      <c r="C291">
        <v>5.3147877013177176</v>
      </c>
      <c r="D291">
        <v>5.4679355783308887</v>
      </c>
      <c r="E291">
        <f t="shared" si="20"/>
        <v>6.1502414847938773E-2</v>
      </c>
      <c r="F291">
        <f t="shared" si="21"/>
        <v>3.4303595583174987E-2</v>
      </c>
      <c r="G291">
        <f t="shared" si="22"/>
        <v>0.11026678013844123</v>
      </c>
      <c r="H291">
        <v>177.90128843338192</v>
      </c>
      <c r="I291">
        <v>162.98770131771641</v>
      </c>
      <c r="J291">
        <v>242.63557833089328</v>
      </c>
      <c r="K291">
        <f t="shared" si="23"/>
        <v>5.6005934409657705</v>
      </c>
      <c r="L291">
        <f t="shared" si="24"/>
        <v>5.7816724217164159</v>
      </c>
    </row>
    <row r="292" spans="1:12" x14ac:dyDescent="0.3">
      <c r="A292">
        <v>5.3</v>
      </c>
      <c r="B292">
        <v>5.8</v>
      </c>
      <c r="C292">
        <v>5.3147877013177176</v>
      </c>
      <c r="D292">
        <v>5.4679355783308887</v>
      </c>
      <c r="E292">
        <f t="shared" si="20"/>
        <v>-4.9104694858835077E-3</v>
      </c>
      <c r="F292">
        <f t="shared" si="21"/>
        <v>2.1867611026203226E-4</v>
      </c>
      <c r="G292">
        <f t="shared" si="22"/>
        <v>0.11026678013844123</v>
      </c>
      <c r="H292">
        <v>177.90128843338192</v>
      </c>
      <c r="I292">
        <v>162.98770131771641</v>
      </c>
      <c r="J292">
        <v>242.63557833089328</v>
      </c>
      <c r="K292">
        <f t="shared" si="23"/>
        <v>5.5721238084992972</v>
      </c>
      <c r="L292">
        <f t="shared" si="24"/>
        <v>5.7504205209085653</v>
      </c>
    </row>
    <row r="293" spans="1:12" x14ac:dyDescent="0.3">
      <c r="A293">
        <v>5.2</v>
      </c>
      <c r="B293">
        <v>5.4</v>
      </c>
      <c r="C293">
        <v>5.3147877013177176</v>
      </c>
      <c r="D293">
        <v>5.4679355783308887</v>
      </c>
      <c r="E293">
        <f t="shared" si="20"/>
        <v>7.7981688742924105E-3</v>
      </c>
      <c r="F293">
        <f t="shared" si="21"/>
        <v>1.3176216373805507E-2</v>
      </c>
      <c r="G293">
        <f t="shared" si="22"/>
        <v>4.615242803152269E-3</v>
      </c>
      <c r="H293">
        <v>177.90128843338192</v>
      </c>
      <c r="I293">
        <v>162.98770131771641</v>
      </c>
      <c r="J293">
        <v>242.63557833089328</v>
      </c>
      <c r="K293">
        <f t="shared" si="23"/>
        <v>5.2453699841875583</v>
      </c>
      <c r="L293">
        <f t="shared" si="24"/>
        <v>5.391733835437587</v>
      </c>
    </row>
    <row r="294" spans="1:12" x14ac:dyDescent="0.3">
      <c r="A294">
        <v>5.4</v>
      </c>
      <c r="B294">
        <v>6</v>
      </c>
      <c r="C294">
        <v>5.3147877013177176</v>
      </c>
      <c r="D294">
        <v>5.4679355783308887</v>
      </c>
      <c r="E294">
        <f t="shared" si="20"/>
        <v>4.5338432417484344E-2</v>
      </c>
      <c r="F294">
        <f t="shared" si="21"/>
        <v>7.2611358467185661E-3</v>
      </c>
      <c r="G294">
        <f t="shared" si="22"/>
        <v>0.28309254880608586</v>
      </c>
      <c r="H294">
        <v>177.90128843338192</v>
      </c>
      <c r="I294">
        <v>162.98770131771641</v>
      </c>
      <c r="J294">
        <v>242.63557833089328</v>
      </c>
      <c r="K294">
        <f t="shared" si="23"/>
        <v>5.7426181287717872</v>
      </c>
      <c r="L294">
        <f t="shared" si="24"/>
        <v>5.9375768388460193</v>
      </c>
    </row>
    <row r="295" spans="1:12" x14ac:dyDescent="0.3">
      <c r="A295">
        <v>5.2</v>
      </c>
      <c r="B295">
        <v>5.2</v>
      </c>
      <c r="C295">
        <v>5.3147877013177176</v>
      </c>
      <c r="D295">
        <v>5.4679355783308887</v>
      </c>
      <c r="E295">
        <f t="shared" si="20"/>
        <v>3.0755709137835915E-2</v>
      </c>
      <c r="F295">
        <f t="shared" si="21"/>
        <v>1.3176216373805507E-2</v>
      </c>
      <c r="G295">
        <f t="shared" si="22"/>
        <v>7.1789474135507708E-2</v>
      </c>
      <c r="H295">
        <v>177.90128843338192</v>
      </c>
      <c r="I295">
        <v>162.98770131771641</v>
      </c>
      <c r="J295">
        <v>242.63557833089328</v>
      </c>
      <c r="K295">
        <f t="shared" si="23"/>
        <v>5.0891104801483067</v>
      </c>
      <c r="L295">
        <f t="shared" si="24"/>
        <v>5.2202034679040601</v>
      </c>
    </row>
    <row r="296" spans="1:12" x14ac:dyDescent="0.3">
      <c r="A296">
        <v>6</v>
      </c>
      <c r="B296">
        <v>6.1</v>
      </c>
      <c r="C296">
        <v>5.3147877013177176</v>
      </c>
      <c r="D296">
        <v>5.4679355783308887</v>
      </c>
      <c r="E296">
        <f t="shared" si="20"/>
        <v>0.4330983152871789</v>
      </c>
      <c r="F296">
        <f t="shared" si="21"/>
        <v>0.46951589426545737</v>
      </c>
      <c r="G296">
        <f t="shared" si="22"/>
        <v>0.39950543313990766</v>
      </c>
      <c r="H296">
        <v>177.90128843338192</v>
      </c>
      <c r="I296">
        <v>162.98770131771641</v>
      </c>
      <c r="J296">
        <v>242.63557833089328</v>
      </c>
      <c r="K296">
        <f t="shared" si="23"/>
        <v>5.906156778190832</v>
      </c>
      <c r="L296">
        <f t="shared" si="24"/>
        <v>6.1170977250363334</v>
      </c>
    </row>
    <row r="297" spans="1:12" x14ac:dyDescent="0.3">
      <c r="A297">
        <v>4.8</v>
      </c>
      <c r="B297">
        <v>5.2</v>
      </c>
      <c r="C297">
        <v>5.3147877013177176</v>
      </c>
      <c r="D297">
        <v>5.4679355783308887</v>
      </c>
      <c r="E297">
        <f t="shared" si="20"/>
        <v>0.13792994047019144</v>
      </c>
      <c r="F297">
        <f t="shared" si="21"/>
        <v>0.26500637742797983</v>
      </c>
      <c r="G297">
        <f t="shared" si="22"/>
        <v>7.1789474135507708E-2</v>
      </c>
      <c r="H297">
        <v>177.90128843338192</v>
      </c>
      <c r="I297">
        <v>162.98770131771641</v>
      </c>
      <c r="J297">
        <v>242.63557833089328</v>
      </c>
      <c r="K297">
        <f t="shared" si="23"/>
        <v>5.032171215215361</v>
      </c>
      <c r="L297">
        <f t="shared" si="24"/>
        <v>5.1576996662883605</v>
      </c>
    </row>
    <row r="298" spans="1:12" x14ac:dyDescent="0.3">
      <c r="A298">
        <v>5.3</v>
      </c>
      <c r="B298">
        <v>5.4</v>
      </c>
      <c r="C298">
        <v>5.3147877013177176</v>
      </c>
      <c r="D298">
        <v>5.4679355783308887</v>
      </c>
      <c r="E298">
        <f t="shared" si="20"/>
        <v>1.0046110412035977E-3</v>
      </c>
      <c r="F298">
        <f t="shared" si="21"/>
        <v>2.1867611026203226E-4</v>
      </c>
      <c r="G298">
        <f t="shared" si="22"/>
        <v>4.615242803152269E-3</v>
      </c>
      <c r="H298">
        <v>177.90128843338192</v>
      </c>
      <c r="I298">
        <v>162.98770131771641</v>
      </c>
      <c r="J298">
        <v>242.63557833089328</v>
      </c>
      <c r="K298">
        <f t="shared" si="23"/>
        <v>5.2596048004207958</v>
      </c>
      <c r="L298">
        <f t="shared" si="24"/>
        <v>5.4073597858415132</v>
      </c>
    </row>
    <row r="299" spans="1:12" x14ac:dyDescent="0.3">
      <c r="A299">
        <v>5.9</v>
      </c>
      <c r="B299">
        <v>6.4</v>
      </c>
      <c r="C299">
        <v>5.3147877013177176</v>
      </c>
      <c r="D299">
        <v>5.4679355783308887</v>
      </c>
      <c r="E299">
        <f t="shared" si="20"/>
        <v>0.54545556272495332</v>
      </c>
      <c r="F299">
        <f t="shared" si="21"/>
        <v>0.34247343452900131</v>
      </c>
      <c r="G299">
        <f t="shared" si="22"/>
        <v>0.86874408614137555</v>
      </c>
      <c r="H299">
        <v>177.90128843338192</v>
      </c>
      <c r="I299">
        <v>162.98770131771641</v>
      </c>
      <c r="J299">
        <v>242.63557833089328</v>
      </c>
      <c r="K299">
        <f t="shared" si="23"/>
        <v>6.1263112180164727</v>
      </c>
      <c r="L299">
        <f t="shared" si="24"/>
        <v>6.358767325932698</v>
      </c>
    </row>
    <row r="300" spans="1:12" x14ac:dyDescent="0.3">
      <c r="A300">
        <v>5.9</v>
      </c>
      <c r="B300">
        <v>6.2</v>
      </c>
      <c r="C300">
        <v>5.3147877013177176</v>
      </c>
      <c r="D300">
        <v>5.4679355783308887</v>
      </c>
      <c r="E300">
        <f t="shared" si="20"/>
        <v>0.42841310298849666</v>
      </c>
      <c r="F300">
        <f t="shared" si="21"/>
        <v>0.34247343452900131</v>
      </c>
      <c r="G300">
        <f t="shared" si="22"/>
        <v>0.53591831747373064</v>
      </c>
      <c r="H300">
        <v>177.90128843338192</v>
      </c>
      <c r="I300">
        <v>162.98770131771641</v>
      </c>
      <c r="J300">
        <v>242.63557833089328</v>
      </c>
      <c r="K300">
        <f t="shared" si="23"/>
        <v>5.9700517139772211</v>
      </c>
      <c r="L300">
        <f t="shared" si="24"/>
        <v>6.1872369583991711</v>
      </c>
    </row>
    <row r="301" spans="1:12" x14ac:dyDescent="0.3">
      <c r="A301">
        <v>5.8</v>
      </c>
      <c r="B301">
        <v>6.2</v>
      </c>
      <c r="C301">
        <v>5.3147877013177176</v>
      </c>
      <c r="D301">
        <v>5.4679355783308887</v>
      </c>
      <c r="E301">
        <f t="shared" si="20"/>
        <v>0.35520666082158509</v>
      </c>
      <c r="F301">
        <f t="shared" si="21"/>
        <v>0.23543097479254424</v>
      </c>
      <c r="G301">
        <f t="shared" si="22"/>
        <v>0.53591831747373064</v>
      </c>
      <c r="H301">
        <v>177.90128843338192</v>
      </c>
      <c r="I301">
        <v>162.98770131771641</v>
      </c>
      <c r="J301">
        <v>242.63557833089328</v>
      </c>
      <c r="K301">
        <f t="shared" si="23"/>
        <v>5.9558168977439836</v>
      </c>
      <c r="L301">
        <f t="shared" si="24"/>
        <v>6.1716110079952449</v>
      </c>
    </row>
    <row r="302" spans="1:12" x14ac:dyDescent="0.3">
      <c r="A302">
        <v>5.2</v>
      </c>
      <c r="B302">
        <v>5.2</v>
      </c>
      <c r="C302">
        <v>5.3147877013177176</v>
      </c>
      <c r="D302">
        <v>5.4679355783308887</v>
      </c>
      <c r="E302">
        <f t="shared" si="20"/>
        <v>3.0755709137835915E-2</v>
      </c>
      <c r="F302">
        <f t="shared" si="21"/>
        <v>1.3176216373805507E-2</v>
      </c>
      <c r="G302">
        <f t="shared" si="22"/>
        <v>7.1789474135507708E-2</v>
      </c>
      <c r="H302">
        <v>177.90128843338192</v>
      </c>
      <c r="I302">
        <v>162.98770131771641</v>
      </c>
      <c r="J302">
        <v>242.63557833089328</v>
      </c>
      <c r="K302">
        <f t="shared" si="23"/>
        <v>5.0891104801483067</v>
      </c>
      <c r="L302">
        <f t="shared" si="24"/>
        <v>5.2202034679040601</v>
      </c>
    </row>
    <row r="303" spans="1:12" x14ac:dyDescent="0.3">
      <c r="A303">
        <v>5.9</v>
      </c>
      <c r="B303">
        <v>6.9</v>
      </c>
      <c r="C303">
        <v>5.3147877013177176</v>
      </c>
      <c r="D303">
        <v>5.4679355783308887</v>
      </c>
      <c r="E303">
        <f t="shared" si="20"/>
        <v>0.8380617120660947</v>
      </c>
      <c r="F303">
        <f t="shared" si="21"/>
        <v>0.34247343452900131</v>
      </c>
      <c r="G303">
        <f t="shared" si="22"/>
        <v>2.050808507810487</v>
      </c>
      <c r="H303">
        <v>177.90128843338192</v>
      </c>
      <c r="I303">
        <v>162.98770131771641</v>
      </c>
      <c r="J303">
        <v>242.63557833089328</v>
      </c>
      <c r="K303">
        <f t="shared" si="23"/>
        <v>6.5169599781146008</v>
      </c>
      <c r="L303">
        <f t="shared" si="24"/>
        <v>6.7875932447665148</v>
      </c>
    </row>
    <row r="304" spans="1:12" x14ac:dyDescent="0.3">
      <c r="A304">
        <v>5.6</v>
      </c>
      <c r="B304">
        <v>5.8</v>
      </c>
      <c r="C304">
        <v>5.3147877013177176</v>
      </c>
      <c r="D304">
        <v>5.4679355783308887</v>
      </c>
      <c r="E304">
        <f t="shared" si="20"/>
        <v>9.4708857014849768E-2</v>
      </c>
      <c r="F304">
        <f t="shared" si="21"/>
        <v>8.1346055319631266E-2</v>
      </c>
      <c r="G304">
        <f t="shared" si="22"/>
        <v>0.11026678013844123</v>
      </c>
      <c r="H304">
        <v>177.90128843338192</v>
      </c>
      <c r="I304">
        <v>162.98770131771641</v>
      </c>
      <c r="J304">
        <v>242.63557833089328</v>
      </c>
      <c r="K304">
        <f t="shared" si="23"/>
        <v>5.6148282571990071</v>
      </c>
      <c r="L304">
        <f t="shared" si="24"/>
        <v>5.7972983721203413</v>
      </c>
    </row>
    <row r="305" spans="1:12" x14ac:dyDescent="0.3">
      <c r="A305">
        <v>5.7</v>
      </c>
      <c r="B305">
        <v>5.6</v>
      </c>
      <c r="C305">
        <v>5.3147877013177176</v>
      </c>
      <c r="D305">
        <v>5.4679355783308887</v>
      </c>
      <c r="E305">
        <f t="shared" si="20"/>
        <v>5.087283944530447E-2</v>
      </c>
      <c r="F305">
        <f t="shared" si="21"/>
        <v>0.14838851505608808</v>
      </c>
      <c r="G305">
        <f t="shared" si="22"/>
        <v>1.7441011470796734E-2</v>
      </c>
      <c r="H305">
        <v>177.90128843338192</v>
      </c>
      <c r="I305">
        <v>162.98770131771641</v>
      </c>
      <c r="J305">
        <v>242.63557833089328</v>
      </c>
      <c r="K305">
        <f t="shared" si="23"/>
        <v>5.4728035693929922</v>
      </c>
      <c r="L305">
        <f t="shared" si="24"/>
        <v>5.6413939549907397</v>
      </c>
    </row>
    <row r="306" spans="1:12" x14ac:dyDescent="0.3">
      <c r="A306">
        <v>5.9</v>
      </c>
      <c r="B306">
        <v>5.7</v>
      </c>
      <c r="C306">
        <v>5.3147877013177176</v>
      </c>
      <c r="D306">
        <v>5.4679355783308887</v>
      </c>
      <c r="E306">
        <f t="shared" si="20"/>
        <v>0.13580695364735526</v>
      </c>
      <c r="F306">
        <f t="shared" si="21"/>
        <v>0.34247343452900131</v>
      </c>
      <c r="G306">
        <f t="shared" si="22"/>
        <v>5.3853895804619169E-2</v>
      </c>
      <c r="H306">
        <v>177.90128843338192</v>
      </c>
      <c r="I306">
        <v>162.98770131771641</v>
      </c>
      <c r="J306">
        <v>242.63557833089328</v>
      </c>
      <c r="K306">
        <f t="shared" si="23"/>
        <v>5.5794029538790921</v>
      </c>
      <c r="L306">
        <f t="shared" si="24"/>
        <v>5.7584110395653543</v>
      </c>
    </row>
    <row r="307" spans="1:12" x14ac:dyDescent="0.3">
      <c r="A307">
        <v>5.3</v>
      </c>
      <c r="B307">
        <v>5.2</v>
      </c>
      <c r="C307">
        <v>5.3147877013177176</v>
      </c>
      <c r="D307">
        <v>5.4679355783308887</v>
      </c>
      <c r="E307">
        <f t="shared" si="20"/>
        <v>3.9621513047471569E-3</v>
      </c>
      <c r="F307">
        <f t="shared" si="21"/>
        <v>2.1867611026203226E-4</v>
      </c>
      <c r="G307">
        <f t="shared" si="22"/>
        <v>7.1789474135507708E-2</v>
      </c>
      <c r="H307">
        <v>177.90128843338192</v>
      </c>
      <c r="I307">
        <v>162.98770131771641</v>
      </c>
      <c r="J307">
        <v>242.63557833089328</v>
      </c>
      <c r="K307">
        <f t="shared" si="23"/>
        <v>5.1033452963815442</v>
      </c>
      <c r="L307">
        <f t="shared" si="24"/>
        <v>5.2358294183079863</v>
      </c>
    </row>
    <row r="308" spans="1:12" x14ac:dyDescent="0.3">
      <c r="A308">
        <v>5.2</v>
      </c>
      <c r="B308">
        <v>4.9000000000000004</v>
      </c>
      <c r="C308">
        <v>5.3147877013177176</v>
      </c>
      <c r="D308">
        <v>5.4679355783308887</v>
      </c>
      <c r="E308">
        <f t="shared" si="20"/>
        <v>6.5192019533151124E-2</v>
      </c>
      <c r="F308">
        <f t="shared" si="21"/>
        <v>1.3176216373805507E-2</v>
      </c>
      <c r="G308">
        <f t="shared" si="22"/>
        <v>0.32255082113404066</v>
      </c>
      <c r="H308">
        <v>177.90128843338192</v>
      </c>
      <c r="I308">
        <v>162.98770131771641</v>
      </c>
      <c r="J308">
        <v>242.63557833089328</v>
      </c>
      <c r="K308">
        <f t="shared" si="23"/>
        <v>4.8547212240894293</v>
      </c>
      <c r="L308">
        <f t="shared" si="24"/>
        <v>4.9629079166037702</v>
      </c>
    </row>
    <row r="309" spans="1:12" x14ac:dyDescent="0.3">
      <c r="A309">
        <v>6.2</v>
      </c>
      <c r="B309">
        <v>5.8</v>
      </c>
      <c r="C309">
        <v>5.3147877013177176</v>
      </c>
      <c r="D309">
        <v>5.4679355783308887</v>
      </c>
      <c r="E309">
        <f t="shared" si="20"/>
        <v>0.29394751001631658</v>
      </c>
      <c r="F309">
        <f t="shared" si="21"/>
        <v>0.78360081373837065</v>
      </c>
      <c r="G309">
        <f t="shared" si="22"/>
        <v>0.11026678013844123</v>
      </c>
      <c r="H309">
        <v>177.90128843338192</v>
      </c>
      <c r="I309">
        <v>162.98770131771641</v>
      </c>
      <c r="J309">
        <v>242.63557833089328</v>
      </c>
      <c r="K309">
        <f t="shared" si="23"/>
        <v>5.7002371545984269</v>
      </c>
      <c r="L309">
        <f t="shared" si="24"/>
        <v>5.8910540745438924</v>
      </c>
    </row>
    <row r="310" spans="1:12" x14ac:dyDescent="0.3">
      <c r="A310">
        <v>5.5</v>
      </c>
      <c r="B310">
        <v>5.6</v>
      </c>
      <c r="C310">
        <v>5.3147877013177176</v>
      </c>
      <c r="D310">
        <v>5.4679355783308887</v>
      </c>
      <c r="E310">
        <f t="shared" si="20"/>
        <v>2.4459955111482259E-2</v>
      </c>
      <c r="F310">
        <f t="shared" si="21"/>
        <v>3.4303595583174987E-2</v>
      </c>
      <c r="G310">
        <f t="shared" si="22"/>
        <v>1.7441011470796734E-2</v>
      </c>
      <c r="H310">
        <v>177.90128843338192</v>
      </c>
      <c r="I310">
        <v>162.98770131771641</v>
      </c>
      <c r="J310">
        <v>242.63557833089328</v>
      </c>
      <c r="K310">
        <f t="shared" si="23"/>
        <v>5.4443339369265189</v>
      </c>
      <c r="L310">
        <f t="shared" si="24"/>
        <v>5.610142054182889</v>
      </c>
    </row>
    <row r="311" spans="1:12" x14ac:dyDescent="0.3">
      <c r="A311">
        <v>5.2</v>
      </c>
      <c r="B311">
        <v>5.5</v>
      </c>
      <c r="C311">
        <v>5.3147877013177176</v>
      </c>
      <c r="D311">
        <v>5.4679355783308887</v>
      </c>
      <c r="E311">
        <f t="shared" si="20"/>
        <v>-3.6806012574792917E-3</v>
      </c>
      <c r="F311">
        <f t="shared" si="21"/>
        <v>1.3176216373805507E-2</v>
      </c>
      <c r="G311">
        <f t="shared" si="22"/>
        <v>1.0281271369745727E-3</v>
      </c>
      <c r="H311">
        <v>177.90128843338192</v>
      </c>
      <c r="I311">
        <v>162.98770131771641</v>
      </c>
      <c r="J311">
        <v>242.63557833089328</v>
      </c>
      <c r="K311">
        <f t="shared" si="23"/>
        <v>5.3234997362071841</v>
      </c>
      <c r="L311">
        <f t="shared" si="24"/>
        <v>5.4774990192043509</v>
      </c>
    </row>
    <row r="312" spans="1:12" x14ac:dyDescent="0.3">
      <c r="A312">
        <v>5.2</v>
      </c>
      <c r="B312">
        <v>5.7</v>
      </c>
      <c r="C312">
        <v>5.3147877013177176</v>
      </c>
      <c r="D312">
        <v>5.4679355783308887</v>
      </c>
      <c r="E312">
        <f t="shared" si="20"/>
        <v>-2.6638141521022798E-2</v>
      </c>
      <c r="F312">
        <f t="shared" si="21"/>
        <v>1.3176216373805507E-2</v>
      </c>
      <c r="G312">
        <f t="shared" si="22"/>
        <v>5.3853895804619169E-2</v>
      </c>
      <c r="H312">
        <v>177.90128843338192</v>
      </c>
      <c r="I312">
        <v>162.98770131771641</v>
      </c>
      <c r="J312">
        <v>242.63557833089328</v>
      </c>
      <c r="K312">
        <f t="shared" si="23"/>
        <v>5.4797592402464357</v>
      </c>
      <c r="L312">
        <f t="shared" si="24"/>
        <v>5.6490293867378778</v>
      </c>
    </row>
    <row r="313" spans="1:12" x14ac:dyDescent="0.3">
      <c r="A313">
        <v>4.9000000000000004</v>
      </c>
      <c r="B313">
        <v>5.0999999999999996</v>
      </c>
      <c r="C313">
        <v>5.3147877013177176</v>
      </c>
      <c r="D313">
        <v>5.4679355783308887</v>
      </c>
      <c r="E313">
        <f t="shared" si="20"/>
        <v>0.15261515276887438</v>
      </c>
      <c r="F313">
        <f t="shared" si="21"/>
        <v>0.17204883716443581</v>
      </c>
      <c r="G313">
        <f t="shared" si="22"/>
        <v>0.13537658980168582</v>
      </c>
      <c r="H313">
        <v>177.90128843338192</v>
      </c>
      <c r="I313">
        <v>162.98770131771641</v>
      </c>
      <c r="J313">
        <v>242.63557833089328</v>
      </c>
      <c r="K313">
        <f t="shared" si="23"/>
        <v>4.968276279428971</v>
      </c>
      <c r="L313">
        <f t="shared" si="24"/>
        <v>5.0875604329255211</v>
      </c>
    </row>
    <row r="314" spans="1:12" x14ac:dyDescent="0.3">
      <c r="A314">
        <v>5.7</v>
      </c>
      <c r="B314">
        <v>5.9</v>
      </c>
      <c r="C314">
        <v>5.3147877013177176</v>
      </c>
      <c r="D314">
        <v>5.4679355783308887</v>
      </c>
      <c r="E314">
        <f t="shared" si="20"/>
        <v>0.16643652904998951</v>
      </c>
      <c r="F314">
        <f t="shared" si="21"/>
        <v>0.14838851505608808</v>
      </c>
      <c r="G314">
        <f t="shared" si="22"/>
        <v>0.18667966447226389</v>
      </c>
      <c r="H314">
        <v>177.90128843338192</v>
      </c>
      <c r="I314">
        <v>162.98770131771641</v>
      </c>
      <c r="J314">
        <v>242.63557833089328</v>
      </c>
      <c r="K314">
        <f t="shared" si="23"/>
        <v>5.7071928254518696</v>
      </c>
      <c r="L314">
        <f t="shared" si="24"/>
        <v>5.8986895062910296</v>
      </c>
    </row>
    <row r="315" spans="1:12" x14ac:dyDescent="0.3">
      <c r="A315">
        <v>5.4</v>
      </c>
      <c r="B315">
        <v>5.2</v>
      </c>
      <c r="C315">
        <v>5.3147877013177176</v>
      </c>
      <c r="D315">
        <v>5.4679355783308887</v>
      </c>
      <c r="E315">
        <f t="shared" si="20"/>
        <v>-2.2831406528341841E-2</v>
      </c>
      <c r="F315">
        <f t="shared" si="21"/>
        <v>7.2611358467185661E-3</v>
      </c>
      <c r="G315">
        <f t="shared" si="22"/>
        <v>7.1789474135507708E-2</v>
      </c>
      <c r="H315">
        <v>177.90128843338192</v>
      </c>
      <c r="I315">
        <v>162.98770131771641</v>
      </c>
      <c r="J315">
        <v>242.63557833089328</v>
      </c>
      <c r="K315">
        <f t="shared" si="23"/>
        <v>5.11758011261478</v>
      </c>
      <c r="L315">
        <f t="shared" si="24"/>
        <v>5.2514553687119108</v>
      </c>
    </row>
    <row r="316" spans="1:12" x14ac:dyDescent="0.3">
      <c r="A316">
        <v>5</v>
      </c>
      <c r="B316">
        <v>5.0999999999999996</v>
      </c>
      <c r="C316">
        <v>5.3147877013177176</v>
      </c>
      <c r="D316">
        <v>5.4679355783308887</v>
      </c>
      <c r="E316">
        <f t="shared" si="20"/>
        <v>0.1158215949357856</v>
      </c>
      <c r="F316">
        <f t="shared" si="21"/>
        <v>9.9091296900892592E-2</v>
      </c>
      <c r="G316">
        <f t="shared" si="22"/>
        <v>0.13537658980168582</v>
      </c>
      <c r="H316">
        <v>177.90128843338192</v>
      </c>
      <c r="I316">
        <v>162.98770131771641</v>
      </c>
      <c r="J316">
        <v>242.63557833089328</v>
      </c>
      <c r="K316">
        <f t="shared" si="23"/>
        <v>4.9825110956622076</v>
      </c>
      <c r="L316">
        <f t="shared" si="24"/>
        <v>5.1031863833294464</v>
      </c>
    </row>
    <row r="317" spans="1:12" x14ac:dyDescent="0.3">
      <c r="A317">
        <v>5.4</v>
      </c>
      <c r="B317">
        <v>5.6</v>
      </c>
      <c r="C317">
        <v>5.3147877013177176</v>
      </c>
      <c r="D317">
        <v>5.4679355783308887</v>
      </c>
      <c r="E317">
        <f t="shared" si="20"/>
        <v>1.1253512944571213E-2</v>
      </c>
      <c r="F317">
        <f t="shared" si="21"/>
        <v>7.2611358467185661E-3</v>
      </c>
      <c r="G317">
        <f t="shared" si="22"/>
        <v>1.7441011470796734E-2</v>
      </c>
      <c r="H317">
        <v>177.90128843338192</v>
      </c>
      <c r="I317">
        <v>162.98770131771641</v>
      </c>
      <c r="J317">
        <v>242.63557833089328</v>
      </c>
      <c r="K317">
        <f t="shared" si="23"/>
        <v>5.4300991206932823</v>
      </c>
      <c r="L317">
        <f t="shared" si="24"/>
        <v>5.5945161037789637</v>
      </c>
    </row>
    <row r="318" spans="1:12" x14ac:dyDescent="0.3">
      <c r="A318">
        <v>5.0999999999999996</v>
      </c>
      <c r="B318">
        <v>5.7</v>
      </c>
      <c r="C318">
        <v>5.3147877013177176</v>
      </c>
      <c r="D318">
        <v>5.4679355783308887</v>
      </c>
      <c r="E318">
        <f t="shared" si="20"/>
        <v>-4.9844583687934069E-2</v>
      </c>
      <c r="F318">
        <f t="shared" si="21"/>
        <v>4.613375663734922E-2</v>
      </c>
      <c r="G318">
        <f t="shared" si="22"/>
        <v>5.3853895804619169E-2</v>
      </c>
      <c r="H318">
        <v>177.90128843338192</v>
      </c>
      <c r="I318">
        <v>162.98770131771641</v>
      </c>
      <c r="J318">
        <v>242.63557833089328</v>
      </c>
      <c r="K318">
        <f t="shared" si="23"/>
        <v>5.465524424013199</v>
      </c>
      <c r="L318">
        <f t="shared" si="24"/>
        <v>5.6334034363339525</v>
      </c>
    </row>
    <row r="319" spans="1:12" x14ac:dyDescent="0.3">
      <c r="A319">
        <v>5.6</v>
      </c>
      <c r="B319">
        <v>5.9</v>
      </c>
      <c r="C319">
        <v>5.3147877013177176</v>
      </c>
      <c r="D319">
        <v>5.4679355783308887</v>
      </c>
      <c r="E319">
        <f t="shared" si="20"/>
        <v>0.12323008688307811</v>
      </c>
      <c r="F319">
        <f t="shared" si="21"/>
        <v>8.1346055319631266E-2</v>
      </c>
      <c r="G319">
        <f t="shared" si="22"/>
        <v>0.18667966447226389</v>
      </c>
      <c r="H319">
        <v>177.90128843338192</v>
      </c>
      <c r="I319">
        <v>162.98770131771641</v>
      </c>
      <c r="J319">
        <v>242.63557833089328</v>
      </c>
      <c r="K319">
        <f t="shared" si="23"/>
        <v>5.6929580092186338</v>
      </c>
      <c r="L319">
        <f t="shared" si="24"/>
        <v>5.8830635558871052</v>
      </c>
    </row>
    <row r="320" spans="1:12" x14ac:dyDescent="0.3">
      <c r="A320">
        <v>5.2</v>
      </c>
      <c r="B320">
        <v>5.6</v>
      </c>
      <c r="C320">
        <v>5.3147877013177176</v>
      </c>
      <c r="D320">
        <v>5.4679355783308887</v>
      </c>
      <c r="E320">
        <f t="shared" si="20"/>
        <v>-1.5159371389250994E-2</v>
      </c>
      <c r="F320">
        <f t="shared" si="21"/>
        <v>1.3176216373805507E-2</v>
      </c>
      <c r="G320">
        <f t="shared" si="22"/>
        <v>1.7441011470796734E-2</v>
      </c>
      <c r="H320">
        <v>177.90128843338192</v>
      </c>
      <c r="I320">
        <v>162.98770131771641</v>
      </c>
      <c r="J320">
        <v>242.63557833089328</v>
      </c>
      <c r="K320">
        <f t="shared" si="23"/>
        <v>5.401629488226809</v>
      </c>
      <c r="L320">
        <f t="shared" si="24"/>
        <v>5.563264202971113</v>
      </c>
    </row>
    <row r="321" spans="1:12" x14ac:dyDescent="0.3">
      <c r="A321">
        <v>5.4</v>
      </c>
      <c r="B321">
        <v>5.2</v>
      </c>
      <c r="C321">
        <v>5.3147877013177176</v>
      </c>
      <c r="D321">
        <v>5.4679355783308887</v>
      </c>
      <c r="E321">
        <f t="shared" si="20"/>
        <v>-2.2831406528341841E-2</v>
      </c>
      <c r="F321">
        <f t="shared" si="21"/>
        <v>7.2611358467185661E-3</v>
      </c>
      <c r="G321">
        <f t="shared" si="22"/>
        <v>7.1789474135507708E-2</v>
      </c>
      <c r="H321">
        <v>177.90128843338192</v>
      </c>
      <c r="I321">
        <v>162.98770131771641</v>
      </c>
      <c r="J321">
        <v>242.63557833089328</v>
      </c>
      <c r="K321">
        <f t="shared" si="23"/>
        <v>5.11758011261478</v>
      </c>
      <c r="L321">
        <f t="shared" si="24"/>
        <v>5.2514553687119108</v>
      </c>
    </row>
    <row r="322" spans="1:12" x14ac:dyDescent="0.3">
      <c r="A322">
        <v>5.4</v>
      </c>
      <c r="B322">
        <v>5.4</v>
      </c>
      <c r="C322">
        <v>5.3147877013177176</v>
      </c>
      <c r="D322">
        <v>5.4679355783308887</v>
      </c>
      <c r="E322">
        <f t="shared" si="20"/>
        <v>-5.7889467918852758E-3</v>
      </c>
      <c r="F322">
        <f t="shared" si="21"/>
        <v>7.2611358467185661E-3</v>
      </c>
      <c r="G322">
        <f t="shared" si="22"/>
        <v>4.615242803152269E-3</v>
      </c>
      <c r="H322">
        <v>177.90128843338192</v>
      </c>
      <c r="I322">
        <v>162.98770131771641</v>
      </c>
      <c r="J322">
        <v>242.63557833089328</v>
      </c>
      <c r="K322">
        <f t="shared" si="23"/>
        <v>5.2738396166540316</v>
      </c>
      <c r="L322">
        <f t="shared" si="24"/>
        <v>5.4229857362454377</v>
      </c>
    </row>
    <row r="323" spans="1:12" x14ac:dyDescent="0.3">
      <c r="A323">
        <v>5.3</v>
      </c>
      <c r="B323">
        <v>5.2</v>
      </c>
      <c r="C323">
        <v>5.3147877013177176</v>
      </c>
      <c r="D323">
        <v>5.4679355783308887</v>
      </c>
      <c r="E323">
        <f t="shared" ref="E323:E386" si="25">(A323-C323)*(B323-D323)</f>
        <v>3.9621513047471569E-3</v>
      </c>
      <c r="F323">
        <f t="shared" ref="F323:F386" si="26">(A323-C323)^2</f>
        <v>2.1867611026203226E-4</v>
      </c>
      <c r="G323">
        <f t="shared" ref="G323:G386" si="27">(B323-D323)^2</f>
        <v>7.1789474135507708E-2</v>
      </c>
      <c r="H323">
        <v>177.90128843338192</v>
      </c>
      <c r="I323">
        <v>162.98770131771641</v>
      </c>
      <c r="J323">
        <v>242.63557833089328</v>
      </c>
      <c r="K323">
        <f t="shared" ref="K323:K386" si="28">(1.097727582*(B323+0.366253474)+0.2*A323)/(0.2+1.097727582^2)</f>
        <v>5.1033452963815442</v>
      </c>
      <c r="L323">
        <f t="shared" ref="L323:L386" si="29">1.097727582*K323-0.366253474</f>
        <v>5.2358294183079863</v>
      </c>
    </row>
    <row r="324" spans="1:12" x14ac:dyDescent="0.3">
      <c r="A324">
        <v>4.9000000000000004</v>
      </c>
      <c r="B324">
        <v>5.2</v>
      </c>
      <c r="C324">
        <v>5.3147877013177176</v>
      </c>
      <c r="D324">
        <v>5.4679355783308887</v>
      </c>
      <c r="E324">
        <f t="shared" si="25"/>
        <v>0.11113638263710243</v>
      </c>
      <c r="F324">
        <f t="shared" si="26"/>
        <v>0.17204883716443581</v>
      </c>
      <c r="G324">
        <f t="shared" si="27"/>
        <v>7.1789474135507708E-2</v>
      </c>
      <c r="H324">
        <v>177.90128843338192</v>
      </c>
      <c r="I324">
        <v>162.98770131771641</v>
      </c>
      <c r="J324">
        <v>242.63557833089328</v>
      </c>
      <c r="K324">
        <f t="shared" si="28"/>
        <v>5.0464060314485977</v>
      </c>
      <c r="L324">
        <f t="shared" si="29"/>
        <v>5.1733256166922859</v>
      </c>
    </row>
    <row r="325" spans="1:12" x14ac:dyDescent="0.3">
      <c r="A325">
        <v>5.0999999999999996</v>
      </c>
      <c r="B325">
        <v>5.2</v>
      </c>
      <c r="C325">
        <v>5.3147877013177176</v>
      </c>
      <c r="D325">
        <v>5.4679355783308887</v>
      </c>
      <c r="E325">
        <f t="shared" si="25"/>
        <v>5.7549266970924912E-2</v>
      </c>
      <c r="F325">
        <f t="shared" si="26"/>
        <v>4.613375663734922E-2</v>
      </c>
      <c r="G325">
        <f t="shared" si="27"/>
        <v>7.1789474135507708E-2</v>
      </c>
      <c r="H325">
        <v>177.90128843338192</v>
      </c>
      <c r="I325">
        <v>162.98770131771641</v>
      </c>
      <c r="J325">
        <v>242.63557833089328</v>
      </c>
      <c r="K325">
        <f t="shared" si="28"/>
        <v>5.0748756639150701</v>
      </c>
      <c r="L325">
        <f t="shared" si="29"/>
        <v>5.2045775175001356</v>
      </c>
    </row>
    <row r="326" spans="1:12" x14ac:dyDescent="0.3">
      <c r="A326">
        <v>5.2</v>
      </c>
      <c r="B326">
        <v>5.5</v>
      </c>
      <c r="C326">
        <v>5.3147877013177176</v>
      </c>
      <c r="D326">
        <v>5.4679355783308887</v>
      </c>
      <c r="E326">
        <f t="shared" si="25"/>
        <v>-3.6806012574792917E-3</v>
      </c>
      <c r="F326">
        <f t="shared" si="26"/>
        <v>1.3176216373805507E-2</v>
      </c>
      <c r="G326">
        <f t="shared" si="27"/>
        <v>1.0281271369745727E-3</v>
      </c>
      <c r="H326">
        <v>177.90128843338192</v>
      </c>
      <c r="I326">
        <v>162.98770131771641</v>
      </c>
      <c r="J326">
        <v>242.63557833089328</v>
      </c>
      <c r="K326">
        <f t="shared" si="28"/>
        <v>5.3234997362071841</v>
      </c>
      <c r="L326">
        <f t="shared" si="29"/>
        <v>5.4774990192043509</v>
      </c>
    </row>
    <row r="327" spans="1:12" x14ac:dyDescent="0.3">
      <c r="A327">
        <v>5.6</v>
      </c>
      <c r="B327">
        <v>5.7</v>
      </c>
      <c r="C327">
        <v>5.3147877013177176</v>
      </c>
      <c r="D327">
        <v>5.4679355783308887</v>
      </c>
      <c r="E327">
        <f t="shared" si="25"/>
        <v>6.6187627146621658E-2</v>
      </c>
      <c r="F327">
        <f t="shared" si="26"/>
        <v>8.1346055319631266E-2</v>
      </c>
      <c r="G327">
        <f t="shared" si="27"/>
        <v>5.3853895804619169E-2</v>
      </c>
      <c r="H327">
        <v>177.90128843338192</v>
      </c>
      <c r="I327">
        <v>162.98770131771641</v>
      </c>
      <c r="J327">
        <v>242.63557833089328</v>
      </c>
      <c r="K327">
        <f t="shared" si="28"/>
        <v>5.5366985051793822</v>
      </c>
      <c r="L327">
        <f t="shared" si="29"/>
        <v>5.7115331883535783</v>
      </c>
    </row>
    <row r="328" spans="1:12" x14ac:dyDescent="0.3">
      <c r="A328">
        <v>5.2</v>
      </c>
      <c r="B328">
        <v>5.0999999999999996</v>
      </c>
      <c r="C328">
        <v>5.3147877013177176</v>
      </c>
      <c r="D328">
        <v>5.4679355783308887</v>
      </c>
      <c r="E328">
        <f t="shared" si="25"/>
        <v>4.2234479269607723E-2</v>
      </c>
      <c r="F328">
        <f t="shared" si="26"/>
        <v>1.3176216373805507E-2</v>
      </c>
      <c r="G328">
        <f t="shared" si="27"/>
        <v>0.13537658980168582</v>
      </c>
      <c r="H328">
        <v>177.90128843338192</v>
      </c>
      <c r="I328">
        <v>162.98770131771641</v>
      </c>
      <c r="J328">
        <v>242.63557833089328</v>
      </c>
      <c r="K328">
        <f t="shared" si="28"/>
        <v>5.0109807281286809</v>
      </c>
      <c r="L328">
        <f t="shared" si="29"/>
        <v>5.1344382841372971</v>
      </c>
    </row>
    <row r="329" spans="1:12" x14ac:dyDescent="0.3">
      <c r="A329">
        <v>5.6</v>
      </c>
      <c r="B329">
        <v>6.1</v>
      </c>
      <c r="C329">
        <v>5.3147877013177176</v>
      </c>
      <c r="D329">
        <v>5.4679355783308887</v>
      </c>
      <c r="E329">
        <f t="shared" si="25"/>
        <v>0.18027254661953432</v>
      </c>
      <c r="F329">
        <f t="shared" si="26"/>
        <v>8.1346055319631266E-2</v>
      </c>
      <c r="G329">
        <f t="shared" si="27"/>
        <v>0.39950543313990766</v>
      </c>
      <c r="H329">
        <v>177.90128843338192</v>
      </c>
      <c r="I329">
        <v>162.98770131771641</v>
      </c>
      <c r="J329">
        <v>242.63557833089328</v>
      </c>
      <c r="K329">
        <f t="shared" si="28"/>
        <v>5.8492175132578836</v>
      </c>
      <c r="L329">
        <f t="shared" si="29"/>
        <v>6.0545939234206303</v>
      </c>
    </row>
    <row r="330" spans="1:12" x14ac:dyDescent="0.3">
      <c r="A330">
        <v>5</v>
      </c>
      <c r="B330">
        <v>5.2</v>
      </c>
      <c r="C330">
        <v>5.3147877013177176</v>
      </c>
      <c r="D330">
        <v>5.4679355783308887</v>
      </c>
      <c r="E330">
        <f t="shared" si="25"/>
        <v>8.4342824804013672E-2</v>
      </c>
      <c r="F330">
        <f t="shared" si="26"/>
        <v>9.9091296900892592E-2</v>
      </c>
      <c r="G330">
        <f t="shared" si="27"/>
        <v>7.1789474135507708E-2</v>
      </c>
      <c r="H330">
        <v>177.90128843338192</v>
      </c>
      <c r="I330">
        <v>162.98770131771641</v>
      </c>
      <c r="J330">
        <v>242.63557833089328</v>
      </c>
      <c r="K330">
        <f t="shared" si="28"/>
        <v>5.0606408476818334</v>
      </c>
      <c r="L330">
        <f t="shared" si="29"/>
        <v>5.1889515670962103</v>
      </c>
    </row>
    <row r="331" spans="1:12" x14ac:dyDescent="0.3">
      <c r="A331">
        <v>4.7</v>
      </c>
      <c r="B331">
        <v>4.7</v>
      </c>
      <c r="C331">
        <v>5.3147877013177176</v>
      </c>
      <c r="D331">
        <v>5.4679355783308887</v>
      </c>
      <c r="E331">
        <f t="shared" si="25"/>
        <v>0.47211734896213892</v>
      </c>
      <c r="F331">
        <f t="shared" si="26"/>
        <v>0.37796391769152293</v>
      </c>
      <c r="G331">
        <f t="shared" si="27"/>
        <v>0.58972505246639628</v>
      </c>
      <c r="H331">
        <v>177.90128843338192</v>
      </c>
      <c r="I331">
        <v>162.98770131771641</v>
      </c>
      <c r="J331">
        <v>242.63557833089328</v>
      </c>
      <c r="K331">
        <f t="shared" si="28"/>
        <v>4.6272876388839954</v>
      </c>
      <c r="L331">
        <f t="shared" si="29"/>
        <v>4.7132477970506184</v>
      </c>
    </row>
    <row r="332" spans="1:12" x14ac:dyDescent="0.3">
      <c r="A332">
        <v>5.6</v>
      </c>
      <c r="B332">
        <v>5.3</v>
      </c>
      <c r="C332">
        <v>5.3147877013177176</v>
      </c>
      <c r="D332">
        <v>5.4679355783308887</v>
      </c>
      <c r="E332">
        <f t="shared" si="25"/>
        <v>-4.7897292326291259E-2</v>
      </c>
      <c r="F332">
        <f t="shared" si="26"/>
        <v>8.1346055319631266E-2</v>
      </c>
      <c r="G332">
        <f t="shared" si="27"/>
        <v>2.8202358469330124E-2</v>
      </c>
      <c r="H332">
        <v>177.90128843338192</v>
      </c>
      <c r="I332">
        <v>162.98770131771641</v>
      </c>
      <c r="J332">
        <v>242.63557833089328</v>
      </c>
      <c r="K332">
        <f t="shared" si="28"/>
        <v>5.224179497100879</v>
      </c>
      <c r="L332">
        <f t="shared" si="29"/>
        <v>5.3684724532865244</v>
      </c>
    </row>
    <row r="333" spans="1:12" x14ac:dyDescent="0.3">
      <c r="A333">
        <v>5.8</v>
      </c>
      <c r="B333">
        <v>5.9</v>
      </c>
      <c r="C333">
        <v>5.3147877013177176</v>
      </c>
      <c r="D333">
        <v>5.4679355783308887</v>
      </c>
      <c r="E333">
        <f t="shared" si="25"/>
        <v>0.20964297121690051</v>
      </c>
      <c r="F333">
        <f t="shared" si="26"/>
        <v>0.23543097479254424</v>
      </c>
      <c r="G333">
        <f t="shared" si="27"/>
        <v>0.18667966447226389</v>
      </c>
      <c r="H333">
        <v>177.90128843338192</v>
      </c>
      <c r="I333">
        <v>162.98770131771641</v>
      </c>
      <c r="J333">
        <v>242.63557833089328</v>
      </c>
      <c r="K333">
        <f t="shared" si="28"/>
        <v>5.7214276416851062</v>
      </c>
      <c r="L333">
        <f t="shared" si="29"/>
        <v>5.914315456694955</v>
      </c>
    </row>
    <row r="334" spans="1:12" x14ac:dyDescent="0.3">
      <c r="A334">
        <v>4.5999999999999996</v>
      </c>
      <c r="B334">
        <v>4.8</v>
      </c>
      <c r="C334">
        <v>5.3147877013177176</v>
      </c>
      <c r="D334">
        <v>5.4679355783308887</v>
      </c>
      <c r="E334">
        <f t="shared" si="25"/>
        <v>0.47743213666345663</v>
      </c>
      <c r="F334">
        <f t="shared" si="26"/>
        <v>0.51092145795506716</v>
      </c>
      <c r="G334">
        <f t="shared" si="27"/>
        <v>0.44613793680021901</v>
      </c>
      <c r="H334">
        <v>177.90128843338192</v>
      </c>
      <c r="I334">
        <v>162.98770131771641</v>
      </c>
      <c r="J334">
        <v>242.63557833089328</v>
      </c>
      <c r="K334">
        <f t="shared" si="28"/>
        <v>4.6911825746703837</v>
      </c>
      <c r="L334">
        <f t="shared" si="29"/>
        <v>4.7833870304134551</v>
      </c>
    </row>
    <row r="335" spans="1:12" x14ac:dyDescent="0.3">
      <c r="A335">
        <v>5.7</v>
      </c>
      <c r="B335">
        <v>6.2</v>
      </c>
      <c r="C335">
        <v>5.3147877013177176</v>
      </c>
      <c r="D335">
        <v>5.4679355783308887</v>
      </c>
      <c r="E335">
        <f t="shared" si="25"/>
        <v>0.28200021865467423</v>
      </c>
      <c r="F335">
        <f t="shared" si="26"/>
        <v>0.14838851505608808</v>
      </c>
      <c r="G335">
        <f t="shared" si="27"/>
        <v>0.53591831747373064</v>
      </c>
      <c r="H335">
        <v>177.90128843338192</v>
      </c>
      <c r="I335">
        <v>162.98770131771641</v>
      </c>
      <c r="J335">
        <v>242.63557833089328</v>
      </c>
      <c r="K335">
        <f t="shared" si="28"/>
        <v>5.941582081510747</v>
      </c>
      <c r="L335">
        <f t="shared" si="29"/>
        <v>6.1559850575913204</v>
      </c>
    </row>
    <row r="336" spans="1:12" x14ac:dyDescent="0.3">
      <c r="A336">
        <v>4.9000000000000004</v>
      </c>
      <c r="B336">
        <v>4.9000000000000004</v>
      </c>
      <c r="C336">
        <v>5.3147877013177176</v>
      </c>
      <c r="D336">
        <v>5.4679355783308887</v>
      </c>
      <c r="E336">
        <f t="shared" si="25"/>
        <v>0.23557269303241754</v>
      </c>
      <c r="F336">
        <f t="shared" si="26"/>
        <v>0.17204883716443581</v>
      </c>
      <c r="G336">
        <f t="shared" si="27"/>
        <v>0.32255082113404066</v>
      </c>
      <c r="H336">
        <v>177.90128843338192</v>
      </c>
      <c r="I336">
        <v>162.98770131771641</v>
      </c>
      <c r="J336">
        <v>242.63557833089328</v>
      </c>
      <c r="K336">
        <f t="shared" si="28"/>
        <v>4.8120167753897203</v>
      </c>
      <c r="L336">
        <f t="shared" si="29"/>
        <v>4.9160300653919959</v>
      </c>
    </row>
    <row r="337" spans="1:12" x14ac:dyDescent="0.3">
      <c r="A337">
        <v>5.8</v>
      </c>
      <c r="B337">
        <v>6.1</v>
      </c>
      <c r="C337">
        <v>5.3147877013177176</v>
      </c>
      <c r="D337">
        <v>5.4679355783308887</v>
      </c>
      <c r="E337">
        <f t="shared" si="25"/>
        <v>0.3066854309533566</v>
      </c>
      <c r="F337">
        <f t="shared" si="26"/>
        <v>0.23543097479254424</v>
      </c>
      <c r="G337">
        <f t="shared" si="27"/>
        <v>0.39950543313990766</v>
      </c>
      <c r="H337">
        <v>177.90128843338192</v>
      </c>
      <c r="I337">
        <v>162.98770131771641</v>
      </c>
      <c r="J337">
        <v>242.63557833089328</v>
      </c>
      <c r="K337">
        <f t="shared" si="28"/>
        <v>5.8776871457243578</v>
      </c>
      <c r="L337">
        <f t="shared" si="29"/>
        <v>6.0858458242284819</v>
      </c>
    </row>
    <row r="338" spans="1:12" x14ac:dyDescent="0.3">
      <c r="A338">
        <v>5</v>
      </c>
      <c r="B338">
        <v>5.2</v>
      </c>
      <c r="C338">
        <v>5.3147877013177176</v>
      </c>
      <c r="D338">
        <v>5.4679355783308887</v>
      </c>
      <c r="E338">
        <f t="shared" si="25"/>
        <v>8.4342824804013672E-2</v>
      </c>
      <c r="F338">
        <f t="shared" si="26"/>
        <v>9.9091296900892592E-2</v>
      </c>
      <c r="G338">
        <f t="shared" si="27"/>
        <v>7.1789474135507708E-2</v>
      </c>
      <c r="H338">
        <v>177.90128843338192</v>
      </c>
      <c r="I338">
        <v>162.98770131771641</v>
      </c>
      <c r="J338">
        <v>242.63557833089328</v>
      </c>
      <c r="K338">
        <f t="shared" si="28"/>
        <v>5.0606408476818334</v>
      </c>
      <c r="L338">
        <f t="shared" si="29"/>
        <v>5.1889515670962103</v>
      </c>
    </row>
    <row r="339" spans="1:12" x14ac:dyDescent="0.3">
      <c r="A339">
        <v>5.3</v>
      </c>
      <c r="B339">
        <v>5.3</v>
      </c>
      <c r="C339">
        <v>5.3147877013177176</v>
      </c>
      <c r="D339">
        <v>5.4679355783308887</v>
      </c>
      <c r="E339">
        <f t="shared" si="25"/>
        <v>2.4833811729753838E-3</v>
      </c>
      <c r="F339">
        <f t="shared" si="26"/>
        <v>2.1867611026203226E-4</v>
      </c>
      <c r="G339">
        <f t="shared" si="27"/>
        <v>2.8202358469330124E-2</v>
      </c>
      <c r="H339">
        <v>177.90128843338192</v>
      </c>
      <c r="I339">
        <v>162.98770131771641</v>
      </c>
      <c r="J339">
        <v>242.63557833089328</v>
      </c>
      <c r="K339">
        <f t="shared" si="28"/>
        <v>5.1814750484011682</v>
      </c>
      <c r="L339">
        <f t="shared" si="29"/>
        <v>5.3215946020747484</v>
      </c>
    </row>
    <row r="340" spans="1:12" x14ac:dyDescent="0.3">
      <c r="A340">
        <v>5.5</v>
      </c>
      <c r="B340">
        <v>5.7</v>
      </c>
      <c r="C340">
        <v>5.3147877013177176</v>
      </c>
      <c r="D340">
        <v>5.4679355783308887</v>
      </c>
      <c r="E340">
        <f t="shared" si="25"/>
        <v>4.2981184979710596E-2</v>
      </c>
      <c r="F340">
        <f t="shared" si="26"/>
        <v>3.4303595583174987E-2</v>
      </c>
      <c r="G340">
        <f t="shared" si="27"/>
        <v>5.3853895804619169E-2</v>
      </c>
      <c r="H340">
        <v>177.90128843338192</v>
      </c>
      <c r="I340">
        <v>162.98770131771641</v>
      </c>
      <c r="J340">
        <v>242.63557833089328</v>
      </c>
      <c r="K340">
        <f t="shared" si="28"/>
        <v>5.5224636889461456</v>
      </c>
      <c r="L340">
        <f t="shared" si="29"/>
        <v>5.6959072379496538</v>
      </c>
    </row>
    <row r="341" spans="1:12" x14ac:dyDescent="0.3">
      <c r="A341">
        <v>5.8</v>
      </c>
      <c r="B341">
        <v>6.1</v>
      </c>
      <c r="C341">
        <v>5.3147877013177176</v>
      </c>
      <c r="D341">
        <v>5.4679355783308887</v>
      </c>
      <c r="E341">
        <f t="shared" si="25"/>
        <v>0.3066854309533566</v>
      </c>
      <c r="F341">
        <f t="shared" si="26"/>
        <v>0.23543097479254424</v>
      </c>
      <c r="G341">
        <f t="shared" si="27"/>
        <v>0.39950543313990766</v>
      </c>
      <c r="H341">
        <v>177.90128843338192</v>
      </c>
      <c r="I341">
        <v>162.98770131771641</v>
      </c>
      <c r="J341">
        <v>242.63557833089328</v>
      </c>
      <c r="K341">
        <f t="shared" si="28"/>
        <v>5.8776871457243578</v>
      </c>
      <c r="L341">
        <f t="shared" si="29"/>
        <v>6.0858458242284819</v>
      </c>
    </row>
    <row r="342" spans="1:12" x14ac:dyDescent="0.3">
      <c r="A342">
        <v>5.0999999999999996</v>
      </c>
      <c r="B342">
        <v>5.4</v>
      </c>
      <c r="C342">
        <v>5.3147877013177176</v>
      </c>
      <c r="D342">
        <v>5.4679355783308887</v>
      </c>
      <c r="E342">
        <f t="shared" si="25"/>
        <v>1.4591726707381283E-2</v>
      </c>
      <c r="F342">
        <f t="shared" si="26"/>
        <v>4.613375663734922E-2</v>
      </c>
      <c r="G342">
        <f t="shared" si="27"/>
        <v>4.615242803152269E-3</v>
      </c>
      <c r="H342">
        <v>177.90128843338192</v>
      </c>
      <c r="I342">
        <v>162.98770131771641</v>
      </c>
      <c r="J342">
        <v>242.63557833089328</v>
      </c>
      <c r="K342">
        <f t="shared" si="28"/>
        <v>5.2311351679543217</v>
      </c>
      <c r="L342">
        <f t="shared" si="29"/>
        <v>5.3761078850336625</v>
      </c>
    </row>
    <row r="343" spans="1:12" x14ac:dyDescent="0.3">
      <c r="A343">
        <v>5.0999999999999996</v>
      </c>
      <c r="B343">
        <v>5.0999999999999996</v>
      </c>
      <c r="C343">
        <v>5.3147877013177176</v>
      </c>
      <c r="D343">
        <v>5.4679355783308887</v>
      </c>
      <c r="E343">
        <f t="shared" si="25"/>
        <v>7.9028037102696819E-2</v>
      </c>
      <c r="F343">
        <f t="shared" si="26"/>
        <v>4.613375663734922E-2</v>
      </c>
      <c r="G343">
        <f t="shared" si="27"/>
        <v>0.13537658980168582</v>
      </c>
      <c r="H343">
        <v>177.90128843338192</v>
      </c>
      <c r="I343">
        <v>162.98770131771641</v>
      </c>
      <c r="J343">
        <v>242.63557833089328</v>
      </c>
      <c r="K343">
        <f t="shared" si="28"/>
        <v>4.9967459118954443</v>
      </c>
      <c r="L343">
        <f t="shared" si="29"/>
        <v>5.1188123337333717</v>
      </c>
    </row>
    <row r="344" spans="1:12" x14ac:dyDescent="0.3">
      <c r="A344">
        <v>5.0999999999999996</v>
      </c>
      <c r="B344">
        <v>5.2</v>
      </c>
      <c r="C344">
        <v>5.3147877013177176</v>
      </c>
      <c r="D344">
        <v>5.4679355783308887</v>
      </c>
      <c r="E344">
        <f t="shared" si="25"/>
        <v>5.7549266970924912E-2</v>
      </c>
      <c r="F344">
        <f t="shared" si="26"/>
        <v>4.613375663734922E-2</v>
      </c>
      <c r="G344">
        <f t="shared" si="27"/>
        <v>7.1789474135507708E-2</v>
      </c>
      <c r="H344">
        <v>177.90128843338192</v>
      </c>
      <c r="I344">
        <v>162.98770131771641</v>
      </c>
      <c r="J344">
        <v>242.63557833089328</v>
      </c>
      <c r="K344">
        <f t="shared" si="28"/>
        <v>5.0748756639150701</v>
      </c>
      <c r="L344">
        <f t="shared" si="29"/>
        <v>5.2045775175001356</v>
      </c>
    </row>
    <row r="345" spans="1:12" x14ac:dyDescent="0.3">
      <c r="A345">
        <v>5.5</v>
      </c>
      <c r="B345">
        <v>5.8</v>
      </c>
      <c r="C345">
        <v>5.3147877013177176</v>
      </c>
      <c r="D345">
        <v>5.4679355783308887</v>
      </c>
      <c r="E345">
        <f t="shared" si="25"/>
        <v>6.1502414847938773E-2</v>
      </c>
      <c r="F345">
        <f t="shared" si="26"/>
        <v>3.4303595583174987E-2</v>
      </c>
      <c r="G345">
        <f t="shared" si="27"/>
        <v>0.11026678013844123</v>
      </c>
      <c r="H345">
        <v>177.90128843338192</v>
      </c>
      <c r="I345">
        <v>162.98770131771641</v>
      </c>
      <c r="J345">
        <v>242.63557833089328</v>
      </c>
      <c r="K345">
        <f t="shared" si="28"/>
        <v>5.6005934409657705</v>
      </c>
      <c r="L345">
        <f t="shared" si="29"/>
        <v>5.7816724217164159</v>
      </c>
    </row>
    <row r="346" spans="1:12" x14ac:dyDescent="0.3">
      <c r="A346">
        <v>5</v>
      </c>
      <c r="B346">
        <v>5</v>
      </c>
      <c r="C346">
        <v>5.3147877013177176</v>
      </c>
      <c r="D346">
        <v>5.4679355783308887</v>
      </c>
      <c r="E346">
        <f t="shared" si="25"/>
        <v>0.14730036506755725</v>
      </c>
      <c r="F346">
        <f t="shared" si="26"/>
        <v>9.9091296900892592E-2</v>
      </c>
      <c r="G346">
        <f t="shared" si="27"/>
        <v>0.21896370546786328</v>
      </c>
      <c r="H346">
        <v>177.90128843338192</v>
      </c>
      <c r="I346">
        <v>162.98770131771641</v>
      </c>
      <c r="J346">
        <v>242.63557833089328</v>
      </c>
      <c r="K346">
        <f t="shared" si="28"/>
        <v>4.9043813436425818</v>
      </c>
      <c r="L346">
        <f t="shared" si="29"/>
        <v>5.0174211995626834</v>
      </c>
    </row>
    <row r="347" spans="1:12" x14ac:dyDescent="0.3">
      <c r="A347">
        <v>4.9000000000000004</v>
      </c>
      <c r="B347">
        <v>4.8</v>
      </c>
      <c r="C347">
        <v>5.3147877013177176</v>
      </c>
      <c r="D347">
        <v>5.4679355783308887</v>
      </c>
      <c r="E347">
        <f t="shared" si="25"/>
        <v>0.27705146316418949</v>
      </c>
      <c r="F347">
        <f t="shared" si="26"/>
        <v>0.17204883716443581</v>
      </c>
      <c r="G347">
        <f t="shared" si="27"/>
        <v>0.44613793680021901</v>
      </c>
      <c r="H347">
        <v>177.90128843338192</v>
      </c>
      <c r="I347">
        <v>162.98770131771641</v>
      </c>
      <c r="J347">
        <v>242.63557833089328</v>
      </c>
      <c r="K347">
        <f t="shared" si="28"/>
        <v>4.7338870233700936</v>
      </c>
      <c r="L347">
        <f t="shared" si="29"/>
        <v>4.8302648816252312</v>
      </c>
    </row>
    <row r="348" spans="1:12" x14ac:dyDescent="0.3">
      <c r="A348">
        <v>5.0999999999999996</v>
      </c>
      <c r="B348">
        <v>5.2</v>
      </c>
      <c r="C348">
        <v>5.3147877013177176</v>
      </c>
      <c r="D348">
        <v>5.4679355783308887</v>
      </c>
      <c r="E348">
        <f t="shared" si="25"/>
        <v>5.7549266970924912E-2</v>
      </c>
      <c r="F348">
        <f t="shared" si="26"/>
        <v>4.613375663734922E-2</v>
      </c>
      <c r="G348">
        <f t="shared" si="27"/>
        <v>7.1789474135507708E-2</v>
      </c>
      <c r="H348">
        <v>177.90128843338192</v>
      </c>
      <c r="I348">
        <v>162.98770131771641</v>
      </c>
      <c r="J348">
        <v>242.63557833089328</v>
      </c>
      <c r="K348">
        <f t="shared" si="28"/>
        <v>5.0748756639150701</v>
      </c>
      <c r="L348">
        <f t="shared" si="29"/>
        <v>5.2045775175001356</v>
      </c>
    </row>
    <row r="349" spans="1:12" x14ac:dyDescent="0.3">
      <c r="A349">
        <v>5.5</v>
      </c>
      <c r="B349">
        <v>5.5</v>
      </c>
      <c r="C349">
        <v>5.3147877013177176</v>
      </c>
      <c r="D349">
        <v>5.4679355783308887</v>
      </c>
      <c r="E349">
        <f t="shared" si="25"/>
        <v>5.9387252432540859E-3</v>
      </c>
      <c r="F349">
        <f t="shared" si="26"/>
        <v>3.4303595583174987E-2</v>
      </c>
      <c r="G349">
        <f t="shared" si="27"/>
        <v>1.0281271369745727E-3</v>
      </c>
      <c r="H349">
        <v>177.90128843338192</v>
      </c>
      <c r="I349">
        <v>162.98770131771641</v>
      </c>
      <c r="J349">
        <v>242.63557833089328</v>
      </c>
      <c r="K349">
        <f t="shared" si="28"/>
        <v>5.366204184906894</v>
      </c>
      <c r="L349">
        <f t="shared" si="29"/>
        <v>5.5243768704161269</v>
      </c>
    </row>
    <row r="350" spans="1:12" x14ac:dyDescent="0.3">
      <c r="A350">
        <v>5.8</v>
      </c>
      <c r="B350">
        <v>6</v>
      </c>
      <c r="C350">
        <v>5.3147877013177176</v>
      </c>
      <c r="D350">
        <v>5.4679355783308887</v>
      </c>
      <c r="E350">
        <f t="shared" si="25"/>
        <v>0.25816420108512855</v>
      </c>
      <c r="F350">
        <f t="shared" si="26"/>
        <v>0.23543097479254424</v>
      </c>
      <c r="G350">
        <f t="shared" si="27"/>
        <v>0.28309254880608586</v>
      </c>
      <c r="H350">
        <v>177.90128843338192</v>
      </c>
      <c r="I350">
        <v>162.98770131771641</v>
      </c>
      <c r="J350">
        <v>242.63557833089328</v>
      </c>
      <c r="K350">
        <f t="shared" si="28"/>
        <v>5.799557393704732</v>
      </c>
      <c r="L350">
        <f t="shared" si="29"/>
        <v>6.000080640461718</v>
      </c>
    </row>
    <row r="351" spans="1:12" x14ac:dyDescent="0.3">
      <c r="A351">
        <v>4.7</v>
      </c>
      <c r="B351">
        <v>5.0999999999999996</v>
      </c>
      <c r="C351">
        <v>5.3147877013177176</v>
      </c>
      <c r="D351">
        <v>5.4679355783308887</v>
      </c>
      <c r="E351">
        <f t="shared" si="25"/>
        <v>0.22620226843505226</v>
      </c>
      <c r="F351">
        <f t="shared" si="26"/>
        <v>0.37796391769152293</v>
      </c>
      <c r="G351">
        <f t="shared" si="27"/>
        <v>0.13537658980168582</v>
      </c>
      <c r="H351">
        <v>177.90128843338192</v>
      </c>
      <c r="I351">
        <v>162.98770131771641</v>
      </c>
      <c r="J351">
        <v>242.63557833089328</v>
      </c>
      <c r="K351">
        <f t="shared" si="28"/>
        <v>4.9398066469624977</v>
      </c>
      <c r="L351">
        <f t="shared" si="29"/>
        <v>5.0563085321176713</v>
      </c>
    </row>
    <row r="352" spans="1:12" x14ac:dyDescent="0.3">
      <c r="A352">
        <v>4.5999999999999996</v>
      </c>
      <c r="B352">
        <v>4.8</v>
      </c>
      <c r="C352">
        <v>5.3147877013177176</v>
      </c>
      <c r="D352">
        <v>5.4679355783308887</v>
      </c>
      <c r="E352">
        <f t="shared" si="25"/>
        <v>0.47743213666345663</v>
      </c>
      <c r="F352">
        <f t="shared" si="26"/>
        <v>0.51092145795506716</v>
      </c>
      <c r="G352">
        <f t="shared" si="27"/>
        <v>0.44613793680021901</v>
      </c>
      <c r="H352">
        <v>177.90128843338192</v>
      </c>
      <c r="I352">
        <v>162.98770131771641</v>
      </c>
      <c r="J352">
        <v>242.63557833089328</v>
      </c>
      <c r="K352">
        <f t="shared" si="28"/>
        <v>4.6911825746703837</v>
      </c>
      <c r="L352">
        <f t="shared" si="29"/>
        <v>4.7833870304134551</v>
      </c>
    </row>
    <row r="353" spans="1:12" x14ac:dyDescent="0.3">
      <c r="A353">
        <v>4.8</v>
      </c>
      <c r="B353">
        <v>4.5999999999999996</v>
      </c>
      <c r="C353">
        <v>5.3147877013177176</v>
      </c>
      <c r="D353">
        <v>5.4679355783308887</v>
      </c>
      <c r="E353">
        <f t="shared" si="25"/>
        <v>0.44680256126082235</v>
      </c>
      <c r="F353">
        <f t="shared" si="26"/>
        <v>0.26500637742797983</v>
      </c>
      <c r="G353">
        <f t="shared" si="27"/>
        <v>0.75331216813257484</v>
      </c>
      <c r="H353">
        <v>177.90128843338192</v>
      </c>
      <c r="I353">
        <v>162.98770131771641</v>
      </c>
      <c r="J353">
        <v>242.63557833089328</v>
      </c>
      <c r="K353">
        <f t="shared" si="28"/>
        <v>4.5633927030976054</v>
      </c>
      <c r="L353">
        <f t="shared" si="29"/>
        <v>4.6431085636877789</v>
      </c>
    </row>
    <row r="354" spans="1:12" x14ac:dyDescent="0.3">
      <c r="A354">
        <v>5.4</v>
      </c>
      <c r="B354">
        <v>5.7</v>
      </c>
      <c r="C354">
        <v>5.3147877013177176</v>
      </c>
      <c r="D354">
        <v>5.4679355783308887</v>
      </c>
      <c r="E354">
        <f t="shared" si="25"/>
        <v>1.9774742812799534E-2</v>
      </c>
      <c r="F354">
        <f t="shared" si="26"/>
        <v>7.2611358467185661E-3</v>
      </c>
      <c r="G354">
        <f t="shared" si="27"/>
        <v>5.3853895804619169E-2</v>
      </c>
      <c r="H354">
        <v>177.90128843338192</v>
      </c>
      <c r="I354">
        <v>162.98770131771641</v>
      </c>
      <c r="J354">
        <v>242.63557833089328</v>
      </c>
      <c r="K354">
        <f t="shared" si="28"/>
        <v>5.508228872712909</v>
      </c>
      <c r="L354">
        <f t="shared" si="29"/>
        <v>5.6802812875457285</v>
      </c>
    </row>
    <row r="355" spans="1:12" x14ac:dyDescent="0.3">
      <c r="A355">
        <v>6.2</v>
      </c>
      <c r="B355">
        <v>6.3</v>
      </c>
      <c r="C355">
        <v>5.3147877013177176</v>
      </c>
      <c r="D355">
        <v>5.4679355783308887</v>
      </c>
      <c r="E355">
        <f t="shared" si="25"/>
        <v>0.73655365935745787</v>
      </c>
      <c r="F355">
        <f t="shared" si="26"/>
        <v>0.78360081373837065</v>
      </c>
      <c r="G355">
        <f t="shared" si="27"/>
        <v>0.69233120180755237</v>
      </c>
      <c r="H355">
        <v>177.90128843338192</v>
      </c>
      <c r="I355">
        <v>162.98770131771641</v>
      </c>
      <c r="J355">
        <v>242.63557833089328</v>
      </c>
      <c r="K355">
        <f t="shared" si="28"/>
        <v>6.0908859146965559</v>
      </c>
      <c r="L355">
        <f t="shared" si="29"/>
        <v>6.3198799933777092</v>
      </c>
    </row>
    <row r="356" spans="1:12" x14ac:dyDescent="0.3">
      <c r="A356">
        <v>5.9</v>
      </c>
      <c r="B356">
        <v>6.3</v>
      </c>
      <c r="C356">
        <v>5.3147877013177176</v>
      </c>
      <c r="D356">
        <v>5.4679355783308887</v>
      </c>
      <c r="E356">
        <f t="shared" si="25"/>
        <v>0.48693433285672472</v>
      </c>
      <c r="F356">
        <f t="shared" si="26"/>
        <v>0.34247343452900131</v>
      </c>
      <c r="G356">
        <f t="shared" si="27"/>
        <v>0.69233120180755237</v>
      </c>
      <c r="H356">
        <v>177.90128843338192</v>
      </c>
      <c r="I356">
        <v>162.98770131771641</v>
      </c>
      <c r="J356">
        <v>242.63557833089328</v>
      </c>
      <c r="K356">
        <f t="shared" si="28"/>
        <v>6.048181465996846</v>
      </c>
      <c r="L356">
        <f t="shared" si="29"/>
        <v>6.2730021421659341</v>
      </c>
    </row>
    <row r="357" spans="1:12" x14ac:dyDescent="0.3">
      <c r="A357">
        <v>5.5</v>
      </c>
      <c r="B357">
        <v>6.1</v>
      </c>
      <c r="C357">
        <v>5.3147877013177176</v>
      </c>
      <c r="D357">
        <v>5.4679355783308887</v>
      </c>
      <c r="E357">
        <f t="shared" si="25"/>
        <v>0.11706610445262346</v>
      </c>
      <c r="F357">
        <f t="shared" si="26"/>
        <v>3.4303595583174987E-2</v>
      </c>
      <c r="G357">
        <f t="shared" si="27"/>
        <v>0.39950543313990766</v>
      </c>
      <c r="H357">
        <v>177.90128843338192</v>
      </c>
      <c r="I357">
        <v>162.98770131771641</v>
      </c>
      <c r="J357">
        <v>242.63557833089328</v>
      </c>
      <c r="K357">
        <f t="shared" si="28"/>
        <v>5.8349826970246479</v>
      </c>
      <c r="L357">
        <f t="shared" si="29"/>
        <v>6.0389679730167058</v>
      </c>
    </row>
    <row r="358" spans="1:12" x14ac:dyDescent="0.3">
      <c r="A358">
        <v>5.5</v>
      </c>
      <c r="B358">
        <v>5.2</v>
      </c>
      <c r="C358">
        <v>5.3147877013177176</v>
      </c>
      <c r="D358">
        <v>5.4679355783308887</v>
      </c>
      <c r="E358">
        <f t="shared" si="25"/>
        <v>-4.9624964361430601E-2</v>
      </c>
      <c r="F358">
        <f t="shared" si="26"/>
        <v>3.4303595583174987E-2</v>
      </c>
      <c r="G358">
        <f t="shared" si="27"/>
        <v>7.1789474135507708E-2</v>
      </c>
      <c r="H358">
        <v>177.90128843338192</v>
      </c>
      <c r="I358">
        <v>162.98770131771641</v>
      </c>
      <c r="J358">
        <v>242.63557833089328</v>
      </c>
      <c r="K358">
        <f t="shared" si="28"/>
        <v>5.1318149288480166</v>
      </c>
      <c r="L358">
        <f t="shared" si="29"/>
        <v>5.2670813191158361</v>
      </c>
    </row>
    <row r="359" spans="1:12" x14ac:dyDescent="0.3">
      <c r="A359">
        <v>5.5</v>
      </c>
      <c r="B359">
        <v>5.4</v>
      </c>
      <c r="C359">
        <v>5.3147877013177176</v>
      </c>
      <c r="D359">
        <v>5.4679355783308887</v>
      </c>
      <c r="E359">
        <f t="shared" si="25"/>
        <v>-1.2582504624974088E-2</v>
      </c>
      <c r="F359">
        <f t="shared" si="26"/>
        <v>3.4303595583174987E-2</v>
      </c>
      <c r="G359">
        <f t="shared" si="27"/>
        <v>4.615242803152269E-3</v>
      </c>
      <c r="H359">
        <v>177.90128843338192</v>
      </c>
      <c r="I359">
        <v>162.98770131771641</v>
      </c>
      <c r="J359">
        <v>242.63557833089328</v>
      </c>
      <c r="K359">
        <f t="shared" si="28"/>
        <v>5.2880744328872682</v>
      </c>
      <c r="L359">
        <f t="shared" si="29"/>
        <v>5.438611686649363</v>
      </c>
    </row>
    <row r="360" spans="1:12" x14ac:dyDescent="0.3">
      <c r="A360">
        <v>5.2</v>
      </c>
      <c r="B360">
        <v>5.4</v>
      </c>
      <c r="C360">
        <v>5.3147877013177176</v>
      </c>
      <c r="D360">
        <v>5.4679355783308887</v>
      </c>
      <c r="E360">
        <f t="shared" si="25"/>
        <v>7.7981688742924105E-3</v>
      </c>
      <c r="F360">
        <f t="shared" si="26"/>
        <v>1.3176216373805507E-2</v>
      </c>
      <c r="G360">
        <f t="shared" si="27"/>
        <v>4.615242803152269E-3</v>
      </c>
      <c r="H360">
        <v>177.90128843338192</v>
      </c>
      <c r="I360">
        <v>162.98770131771641</v>
      </c>
      <c r="J360">
        <v>242.63557833089328</v>
      </c>
      <c r="K360">
        <f t="shared" si="28"/>
        <v>5.2453699841875583</v>
      </c>
      <c r="L360">
        <f t="shared" si="29"/>
        <v>5.391733835437587</v>
      </c>
    </row>
    <row r="361" spans="1:12" x14ac:dyDescent="0.3">
      <c r="A361">
        <v>5.5</v>
      </c>
      <c r="B361">
        <v>5.5</v>
      </c>
      <c r="C361">
        <v>5.3147877013177176</v>
      </c>
      <c r="D361">
        <v>5.4679355783308887</v>
      </c>
      <c r="E361">
        <f t="shared" si="25"/>
        <v>5.9387252432540859E-3</v>
      </c>
      <c r="F361">
        <f t="shared" si="26"/>
        <v>3.4303595583174987E-2</v>
      </c>
      <c r="G361">
        <f t="shared" si="27"/>
        <v>1.0281271369745727E-3</v>
      </c>
      <c r="H361">
        <v>177.90128843338192</v>
      </c>
      <c r="I361">
        <v>162.98770131771641</v>
      </c>
      <c r="J361">
        <v>242.63557833089328</v>
      </c>
      <c r="K361">
        <f t="shared" si="28"/>
        <v>5.366204184906894</v>
      </c>
      <c r="L361">
        <f t="shared" si="29"/>
        <v>5.5243768704161269</v>
      </c>
    </row>
    <row r="362" spans="1:12" x14ac:dyDescent="0.3">
      <c r="A362">
        <v>4.8</v>
      </c>
      <c r="B362">
        <v>5.2</v>
      </c>
      <c r="C362">
        <v>5.3147877013177176</v>
      </c>
      <c r="D362">
        <v>5.4679355783308887</v>
      </c>
      <c r="E362">
        <f t="shared" si="25"/>
        <v>0.13792994047019144</v>
      </c>
      <c r="F362">
        <f t="shared" si="26"/>
        <v>0.26500637742797983</v>
      </c>
      <c r="G362">
        <f t="shared" si="27"/>
        <v>7.1789474135507708E-2</v>
      </c>
      <c r="H362">
        <v>177.90128843338192</v>
      </c>
      <c r="I362">
        <v>162.98770131771641</v>
      </c>
      <c r="J362">
        <v>242.63557833089328</v>
      </c>
      <c r="K362">
        <f t="shared" si="28"/>
        <v>5.032171215215361</v>
      </c>
      <c r="L362">
        <f t="shared" si="29"/>
        <v>5.1576996662883605</v>
      </c>
    </row>
    <row r="363" spans="1:12" x14ac:dyDescent="0.3">
      <c r="A363">
        <v>5.4</v>
      </c>
      <c r="B363">
        <v>6</v>
      </c>
      <c r="C363">
        <v>5.3147877013177176</v>
      </c>
      <c r="D363">
        <v>5.4679355783308887</v>
      </c>
      <c r="E363">
        <f t="shared" si="25"/>
        <v>4.5338432417484344E-2</v>
      </c>
      <c r="F363">
        <f t="shared" si="26"/>
        <v>7.2611358467185661E-3</v>
      </c>
      <c r="G363">
        <f t="shared" si="27"/>
        <v>0.28309254880608586</v>
      </c>
      <c r="H363">
        <v>177.90128843338192</v>
      </c>
      <c r="I363">
        <v>162.98770131771641</v>
      </c>
      <c r="J363">
        <v>242.63557833089328</v>
      </c>
      <c r="K363">
        <f t="shared" si="28"/>
        <v>5.7426181287717872</v>
      </c>
      <c r="L363">
        <f t="shared" si="29"/>
        <v>5.9375768388460193</v>
      </c>
    </row>
    <row r="364" spans="1:12" x14ac:dyDescent="0.3">
      <c r="A364">
        <v>5</v>
      </c>
      <c r="B364">
        <v>5.3</v>
      </c>
      <c r="C364">
        <v>5.3147877013177176</v>
      </c>
      <c r="D364">
        <v>5.4679355783308887</v>
      </c>
      <c r="E364">
        <f t="shared" si="25"/>
        <v>5.2864054672242027E-2</v>
      </c>
      <c r="F364">
        <f t="shared" si="26"/>
        <v>9.9091296900892592E-2</v>
      </c>
      <c r="G364">
        <f t="shared" si="27"/>
        <v>2.8202358469330124E-2</v>
      </c>
      <c r="H364">
        <v>177.90128843338192</v>
      </c>
      <c r="I364">
        <v>162.98770131771641</v>
      </c>
      <c r="J364">
        <v>242.63557833089328</v>
      </c>
      <c r="K364">
        <f t="shared" si="28"/>
        <v>5.1387705997014592</v>
      </c>
      <c r="L364">
        <f t="shared" si="29"/>
        <v>5.2747167508629733</v>
      </c>
    </row>
    <row r="365" spans="1:12" x14ac:dyDescent="0.3">
      <c r="A365">
        <v>4.9000000000000004</v>
      </c>
      <c r="B365">
        <v>4.8</v>
      </c>
      <c r="C365">
        <v>5.3147877013177176</v>
      </c>
      <c r="D365">
        <v>5.4679355783308887</v>
      </c>
      <c r="E365">
        <f t="shared" si="25"/>
        <v>0.27705146316418949</v>
      </c>
      <c r="F365">
        <f t="shared" si="26"/>
        <v>0.17204883716443581</v>
      </c>
      <c r="G365">
        <f t="shared" si="27"/>
        <v>0.44613793680021901</v>
      </c>
      <c r="H365">
        <v>177.90128843338192</v>
      </c>
      <c r="I365">
        <v>162.98770131771641</v>
      </c>
      <c r="J365">
        <v>242.63557833089328</v>
      </c>
      <c r="K365">
        <f t="shared" si="28"/>
        <v>4.7338870233700936</v>
      </c>
      <c r="L365">
        <f t="shared" si="29"/>
        <v>4.8302648816252312</v>
      </c>
    </row>
    <row r="366" spans="1:12" x14ac:dyDescent="0.3">
      <c r="A366">
        <v>5.3</v>
      </c>
      <c r="B366">
        <v>5.2</v>
      </c>
      <c r="C366">
        <v>5.3147877013177176</v>
      </c>
      <c r="D366">
        <v>5.4679355783308887</v>
      </c>
      <c r="E366">
        <f t="shared" si="25"/>
        <v>3.9621513047471569E-3</v>
      </c>
      <c r="F366">
        <f t="shared" si="26"/>
        <v>2.1867611026203226E-4</v>
      </c>
      <c r="G366">
        <f t="shared" si="27"/>
        <v>7.1789474135507708E-2</v>
      </c>
      <c r="H366">
        <v>177.90128843338192</v>
      </c>
      <c r="I366">
        <v>162.98770131771641</v>
      </c>
      <c r="J366">
        <v>242.63557833089328</v>
      </c>
      <c r="K366">
        <f t="shared" si="28"/>
        <v>5.1033452963815442</v>
      </c>
      <c r="L366">
        <f t="shared" si="29"/>
        <v>5.2358294183079863</v>
      </c>
    </row>
    <row r="367" spans="1:12" x14ac:dyDescent="0.3">
      <c r="A367">
        <v>6</v>
      </c>
      <c r="B367">
        <v>6</v>
      </c>
      <c r="C367">
        <v>5.3147877013177176</v>
      </c>
      <c r="D367">
        <v>5.4679355783308887</v>
      </c>
      <c r="E367">
        <f t="shared" si="25"/>
        <v>0.3645770854189509</v>
      </c>
      <c r="F367">
        <f t="shared" si="26"/>
        <v>0.46951589426545737</v>
      </c>
      <c r="G367">
        <f t="shared" si="27"/>
        <v>0.28309254880608586</v>
      </c>
      <c r="H367">
        <v>177.90128843338192</v>
      </c>
      <c r="I367">
        <v>162.98770131771641</v>
      </c>
      <c r="J367">
        <v>242.63557833089328</v>
      </c>
      <c r="K367">
        <f t="shared" si="28"/>
        <v>5.8280270261712062</v>
      </c>
      <c r="L367">
        <f t="shared" si="29"/>
        <v>6.0313325412695695</v>
      </c>
    </row>
    <row r="368" spans="1:12" x14ac:dyDescent="0.3">
      <c r="A368">
        <v>4.8</v>
      </c>
      <c r="B368">
        <v>5</v>
      </c>
      <c r="C368">
        <v>5.3147877013177176</v>
      </c>
      <c r="D368">
        <v>5.4679355783308887</v>
      </c>
      <c r="E368">
        <f t="shared" si="25"/>
        <v>0.24088748073373509</v>
      </c>
      <c r="F368">
        <f t="shared" si="26"/>
        <v>0.26500637742797983</v>
      </c>
      <c r="G368">
        <f t="shared" si="27"/>
        <v>0.21896370546786328</v>
      </c>
      <c r="H368">
        <v>177.90128843338192</v>
      </c>
      <c r="I368">
        <v>162.98770131771641</v>
      </c>
      <c r="J368">
        <v>242.63557833089328</v>
      </c>
      <c r="K368">
        <f t="shared" si="28"/>
        <v>4.8759117111761086</v>
      </c>
      <c r="L368">
        <f t="shared" si="29"/>
        <v>4.9861692987548327</v>
      </c>
    </row>
    <row r="369" spans="1:12" x14ac:dyDescent="0.3">
      <c r="A369">
        <v>5.5</v>
      </c>
      <c r="B369">
        <v>5.3</v>
      </c>
      <c r="C369">
        <v>5.3147877013177176</v>
      </c>
      <c r="D369">
        <v>5.4679355783308887</v>
      </c>
      <c r="E369">
        <f t="shared" si="25"/>
        <v>-3.1103734493202428E-2</v>
      </c>
      <c r="F369">
        <f t="shared" si="26"/>
        <v>3.4303595583174987E-2</v>
      </c>
      <c r="G369">
        <f t="shared" si="27"/>
        <v>2.8202358469330124E-2</v>
      </c>
      <c r="H369">
        <v>177.90128843338192</v>
      </c>
      <c r="I369">
        <v>162.98770131771641</v>
      </c>
      <c r="J369">
        <v>242.63557833089328</v>
      </c>
      <c r="K369">
        <f t="shared" si="28"/>
        <v>5.2099446808676424</v>
      </c>
      <c r="L369">
        <f t="shared" si="29"/>
        <v>5.3528465028826</v>
      </c>
    </row>
    <row r="370" spans="1:12" x14ac:dyDescent="0.3">
      <c r="A370">
        <v>5.3</v>
      </c>
      <c r="B370">
        <v>5.5</v>
      </c>
      <c r="C370">
        <v>5.3147877013177176</v>
      </c>
      <c r="D370">
        <v>5.4679355783308887</v>
      </c>
      <c r="E370">
        <f t="shared" si="25"/>
        <v>-4.7415909056817545E-4</v>
      </c>
      <c r="F370">
        <f t="shared" si="26"/>
        <v>2.1867611026203226E-4</v>
      </c>
      <c r="G370">
        <f t="shared" si="27"/>
        <v>1.0281271369745727E-3</v>
      </c>
      <c r="H370">
        <v>177.90128843338192</v>
      </c>
      <c r="I370">
        <v>162.98770131771641</v>
      </c>
      <c r="J370">
        <v>242.63557833089328</v>
      </c>
      <c r="K370">
        <f t="shared" si="28"/>
        <v>5.3377345524404198</v>
      </c>
      <c r="L370">
        <f t="shared" si="29"/>
        <v>5.4931249696082753</v>
      </c>
    </row>
    <row r="371" spans="1:12" x14ac:dyDescent="0.3">
      <c r="A371">
        <v>4.9000000000000004</v>
      </c>
      <c r="B371">
        <v>5.4</v>
      </c>
      <c r="C371">
        <v>5.3147877013177176</v>
      </c>
      <c r="D371">
        <v>5.4679355783308887</v>
      </c>
      <c r="E371">
        <f t="shared" si="25"/>
        <v>2.8178842373558909E-2</v>
      </c>
      <c r="F371">
        <f t="shared" si="26"/>
        <v>0.17204883716443581</v>
      </c>
      <c r="G371">
        <f t="shared" si="27"/>
        <v>4.615242803152269E-3</v>
      </c>
      <c r="H371">
        <v>177.90128843338192</v>
      </c>
      <c r="I371">
        <v>162.98770131771641</v>
      </c>
      <c r="J371">
        <v>242.63557833089328</v>
      </c>
      <c r="K371">
        <f t="shared" si="28"/>
        <v>5.2026655354878493</v>
      </c>
      <c r="L371">
        <f t="shared" si="29"/>
        <v>5.3448559842258128</v>
      </c>
    </row>
    <row r="372" spans="1:12" x14ac:dyDescent="0.3">
      <c r="A372">
        <v>5.4</v>
      </c>
      <c r="B372">
        <v>5.6</v>
      </c>
      <c r="C372">
        <v>5.3147877013177176</v>
      </c>
      <c r="D372">
        <v>5.4679355783308887</v>
      </c>
      <c r="E372">
        <f t="shared" si="25"/>
        <v>1.1253512944571213E-2</v>
      </c>
      <c r="F372">
        <f t="shared" si="26"/>
        <v>7.2611358467185661E-3</v>
      </c>
      <c r="G372">
        <f t="shared" si="27"/>
        <v>1.7441011470796734E-2</v>
      </c>
      <c r="H372">
        <v>177.90128843338192</v>
      </c>
      <c r="I372">
        <v>162.98770131771641</v>
      </c>
      <c r="J372">
        <v>242.63557833089328</v>
      </c>
      <c r="K372">
        <f t="shared" si="28"/>
        <v>5.4300991206932823</v>
      </c>
      <c r="L372">
        <f t="shared" si="29"/>
        <v>5.5945161037789637</v>
      </c>
    </row>
    <row r="373" spans="1:12" x14ac:dyDescent="0.3">
      <c r="A373">
        <v>5.0999999999999996</v>
      </c>
      <c r="B373">
        <v>5.3</v>
      </c>
      <c r="C373">
        <v>5.3147877013177176</v>
      </c>
      <c r="D373">
        <v>5.4679355783308887</v>
      </c>
      <c r="E373">
        <f t="shared" si="25"/>
        <v>3.6070496839153192E-2</v>
      </c>
      <c r="F373">
        <f t="shared" si="26"/>
        <v>4.613375663734922E-2</v>
      </c>
      <c r="G373">
        <f t="shared" si="27"/>
        <v>2.8202358469330124E-2</v>
      </c>
      <c r="H373">
        <v>177.90128843338192</v>
      </c>
      <c r="I373">
        <v>162.98770131771641</v>
      </c>
      <c r="J373">
        <v>242.63557833089328</v>
      </c>
      <c r="K373">
        <f t="shared" si="28"/>
        <v>5.1530054159346959</v>
      </c>
      <c r="L373">
        <f t="shared" si="29"/>
        <v>5.2903427012668987</v>
      </c>
    </row>
    <row r="374" spans="1:12" x14ac:dyDescent="0.3">
      <c r="A374">
        <v>4.9000000000000004</v>
      </c>
      <c r="B374">
        <v>5.0999999999999996</v>
      </c>
      <c r="C374">
        <v>5.3147877013177176</v>
      </c>
      <c r="D374">
        <v>5.4679355783308887</v>
      </c>
      <c r="E374">
        <f t="shared" si="25"/>
        <v>0.15261515276887438</v>
      </c>
      <c r="F374">
        <f t="shared" si="26"/>
        <v>0.17204883716443581</v>
      </c>
      <c r="G374">
        <f t="shared" si="27"/>
        <v>0.13537658980168582</v>
      </c>
      <c r="H374">
        <v>177.90128843338192</v>
      </c>
      <c r="I374">
        <v>162.98770131771641</v>
      </c>
      <c r="J374">
        <v>242.63557833089328</v>
      </c>
      <c r="K374">
        <f t="shared" si="28"/>
        <v>4.968276279428971</v>
      </c>
      <c r="L374">
        <f t="shared" si="29"/>
        <v>5.0875604329255211</v>
      </c>
    </row>
    <row r="375" spans="1:12" x14ac:dyDescent="0.3">
      <c r="A375">
        <v>6</v>
      </c>
      <c r="B375">
        <v>6.4</v>
      </c>
      <c r="C375">
        <v>5.3147877013177176</v>
      </c>
      <c r="D375">
        <v>5.4679355783308887</v>
      </c>
      <c r="E375">
        <f t="shared" si="25"/>
        <v>0.63866200489186409</v>
      </c>
      <c r="F375">
        <f t="shared" si="26"/>
        <v>0.46951589426545737</v>
      </c>
      <c r="G375">
        <f t="shared" si="27"/>
        <v>0.86874408614137555</v>
      </c>
      <c r="H375">
        <v>177.90128843338192</v>
      </c>
      <c r="I375">
        <v>162.98770131771641</v>
      </c>
      <c r="J375">
        <v>242.63557833089328</v>
      </c>
      <c r="K375">
        <f t="shared" si="28"/>
        <v>6.1405460342497094</v>
      </c>
      <c r="L375">
        <f t="shared" si="29"/>
        <v>6.3743932763366233</v>
      </c>
    </row>
    <row r="376" spans="1:12" x14ac:dyDescent="0.3">
      <c r="A376">
        <v>5.2</v>
      </c>
      <c r="B376">
        <v>5.2</v>
      </c>
      <c r="C376">
        <v>5.3147877013177176</v>
      </c>
      <c r="D376">
        <v>5.4679355783308887</v>
      </c>
      <c r="E376">
        <f t="shared" si="25"/>
        <v>3.0755709137835915E-2</v>
      </c>
      <c r="F376">
        <f t="shared" si="26"/>
        <v>1.3176216373805507E-2</v>
      </c>
      <c r="G376">
        <f t="shared" si="27"/>
        <v>7.1789474135507708E-2</v>
      </c>
      <c r="H376">
        <v>177.90128843338192</v>
      </c>
      <c r="I376">
        <v>162.98770131771641</v>
      </c>
      <c r="J376">
        <v>242.63557833089328</v>
      </c>
      <c r="K376">
        <f t="shared" si="28"/>
        <v>5.0891104801483067</v>
      </c>
      <c r="L376">
        <f t="shared" si="29"/>
        <v>5.2202034679040601</v>
      </c>
    </row>
    <row r="377" spans="1:12" x14ac:dyDescent="0.3">
      <c r="A377">
        <v>5</v>
      </c>
      <c r="B377">
        <v>5.0999999999999996</v>
      </c>
      <c r="C377">
        <v>5.3147877013177176</v>
      </c>
      <c r="D377">
        <v>5.4679355783308887</v>
      </c>
      <c r="E377">
        <f t="shared" si="25"/>
        <v>0.1158215949357856</v>
      </c>
      <c r="F377">
        <f t="shared" si="26"/>
        <v>9.9091296900892592E-2</v>
      </c>
      <c r="G377">
        <f t="shared" si="27"/>
        <v>0.13537658980168582</v>
      </c>
      <c r="H377">
        <v>177.90128843338192</v>
      </c>
      <c r="I377">
        <v>162.98770131771641</v>
      </c>
      <c r="J377">
        <v>242.63557833089328</v>
      </c>
      <c r="K377">
        <f t="shared" si="28"/>
        <v>4.9825110956622076</v>
      </c>
      <c r="L377">
        <f t="shared" si="29"/>
        <v>5.1031863833294464</v>
      </c>
    </row>
    <row r="378" spans="1:12" x14ac:dyDescent="0.3">
      <c r="A378">
        <v>5.3</v>
      </c>
      <c r="B378">
        <v>5.0999999999999996</v>
      </c>
      <c r="C378">
        <v>5.3147877013177176</v>
      </c>
      <c r="D378">
        <v>5.4679355783308887</v>
      </c>
      <c r="E378">
        <f t="shared" si="25"/>
        <v>5.440921436518943E-3</v>
      </c>
      <c r="F378">
        <f t="shared" si="26"/>
        <v>2.1867611026203226E-4</v>
      </c>
      <c r="G378">
        <f t="shared" si="27"/>
        <v>0.13537658980168582</v>
      </c>
      <c r="H378">
        <v>177.90128843338192</v>
      </c>
      <c r="I378">
        <v>162.98770131771641</v>
      </c>
      <c r="J378">
        <v>242.63557833089328</v>
      </c>
      <c r="K378">
        <f t="shared" si="28"/>
        <v>5.0252155443619166</v>
      </c>
      <c r="L378">
        <f t="shared" si="29"/>
        <v>5.1500642345412215</v>
      </c>
    </row>
    <row r="379" spans="1:12" x14ac:dyDescent="0.3">
      <c r="A379">
        <v>4.8</v>
      </c>
      <c r="B379">
        <v>4.7</v>
      </c>
      <c r="C379">
        <v>5.3147877013177176</v>
      </c>
      <c r="D379">
        <v>5.4679355783308887</v>
      </c>
      <c r="E379">
        <f t="shared" si="25"/>
        <v>0.39532379112905031</v>
      </c>
      <c r="F379">
        <f t="shared" si="26"/>
        <v>0.26500637742797983</v>
      </c>
      <c r="G379">
        <f t="shared" si="27"/>
        <v>0.58972505246639628</v>
      </c>
      <c r="H379">
        <v>177.90128843338192</v>
      </c>
      <c r="I379">
        <v>162.98770131771641</v>
      </c>
      <c r="J379">
        <v>242.63557833089328</v>
      </c>
      <c r="K379">
        <f t="shared" si="28"/>
        <v>4.6415224551172312</v>
      </c>
      <c r="L379">
        <f t="shared" si="29"/>
        <v>4.7288737474545428</v>
      </c>
    </row>
    <row r="380" spans="1:12" x14ac:dyDescent="0.3">
      <c r="A380">
        <v>5.3</v>
      </c>
      <c r="B380">
        <v>5.5</v>
      </c>
      <c r="C380">
        <v>5.3147877013177176</v>
      </c>
      <c r="D380">
        <v>5.4679355783308887</v>
      </c>
      <c r="E380">
        <f t="shared" si="25"/>
        <v>-4.7415909056817545E-4</v>
      </c>
      <c r="F380">
        <f t="shared" si="26"/>
        <v>2.1867611026203226E-4</v>
      </c>
      <c r="G380">
        <f t="shared" si="27"/>
        <v>1.0281271369745727E-3</v>
      </c>
      <c r="H380">
        <v>177.90128843338192</v>
      </c>
      <c r="I380">
        <v>162.98770131771641</v>
      </c>
      <c r="J380">
        <v>242.63557833089328</v>
      </c>
      <c r="K380">
        <f t="shared" si="28"/>
        <v>5.3377345524404198</v>
      </c>
      <c r="L380">
        <f t="shared" si="29"/>
        <v>5.4931249696082753</v>
      </c>
    </row>
    <row r="381" spans="1:12" x14ac:dyDescent="0.3">
      <c r="A381">
        <v>5.5</v>
      </c>
      <c r="B381">
        <v>5.9</v>
      </c>
      <c r="C381">
        <v>5.3147877013177176</v>
      </c>
      <c r="D381">
        <v>5.4679355783308887</v>
      </c>
      <c r="E381">
        <f t="shared" si="25"/>
        <v>8.0023644716167103E-2</v>
      </c>
      <c r="F381">
        <f t="shared" si="26"/>
        <v>3.4303595583174987E-2</v>
      </c>
      <c r="G381">
        <f t="shared" si="27"/>
        <v>0.18667966447226389</v>
      </c>
      <c r="H381">
        <v>177.90128843338192</v>
      </c>
      <c r="I381">
        <v>162.98770131771641</v>
      </c>
      <c r="J381">
        <v>242.63557833089328</v>
      </c>
      <c r="K381">
        <f t="shared" si="28"/>
        <v>5.6787231929853972</v>
      </c>
      <c r="L381">
        <f t="shared" si="29"/>
        <v>5.8674376054831807</v>
      </c>
    </row>
    <row r="382" spans="1:12" x14ac:dyDescent="0.3">
      <c r="A382">
        <v>5</v>
      </c>
      <c r="B382">
        <v>4.9000000000000004</v>
      </c>
      <c r="C382">
        <v>5.3147877013177176</v>
      </c>
      <c r="D382">
        <v>5.4679355783308887</v>
      </c>
      <c r="E382">
        <f t="shared" si="25"/>
        <v>0.17877913519932889</v>
      </c>
      <c r="F382">
        <f t="shared" si="26"/>
        <v>9.9091296900892592E-2</v>
      </c>
      <c r="G382">
        <f t="shared" si="27"/>
        <v>0.32255082113404066</v>
      </c>
      <c r="H382">
        <v>177.90128843338192</v>
      </c>
      <c r="I382">
        <v>162.98770131771641</v>
      </c>
      <c r="J382">
        <v>242.63557833089328</v>
      </c>
      <c r="K382">
        <f t="shared" si="28"/>
        <v>4.826251591622956</v>
      </c>
      <c r="L382">
        <f t="shared" si="29"/>
        <v>4.9316560157959195</v>
      </c>
    </row>
    <row r="383" spans="1:12" x14ac:dyDescent="0.3">
      <c r="A383">
        <v>5.7</v>
      </c>
      <c r="B383">
        <v>5.9</v>
      </c>
      <c r="C383">
        <v>5.3147877013177176</v>
      </c>
      <c r="D383">
        <v>5.4679355783308887</v>
      </c>
      <c r="E383">
        <f t="shared" si="25"/>
        <v>0.16643652904998951</v>
      </c>
      <c r="F383">
        <f t="shared" si="26"/>
        <v>0.14838851505608808</v>
      </c>
      <c r="G383">
        <f t="shared" si="27"/>
        <v>0.18667966447226389</v>
      </c>
      <c r="H383">
        <v>177.90128843338192</v>
      </c>
      <c r="I383">
        <v>162.98770131771641</v>
      </c>
      <c r="J383">
        <v>242.63557833089328</v>
      </c>
      <c r="K383">
        <f t="shared" si="28"/>
        <v>5.7071928254518696</v>
      </c>
      <c r="L383">
        <f t="shared" si="29"/>
        <v>5.8986895062910296</v>
      </c>
    </row>
    <row r="384" spans="1:12" x14ac:dyDescent="0.3">
      <c r="A384">
        <v>5.3</v>
      </c>
      <c r="B384">
        <v>5.0999999999999996</v>
      </c>
      <c r="C384">
        <v>5.3147877013177176</v>
      </c>
      <c r="D384">
        <v>5.4679355783308887</v>
      </c>
      <c r="E384">
        <f t="shared" si="25"/>
        <v>5.440921436518943E-3</v>
      </c>
      <c r="F384">
        <f t="shared" si="26"/>
        <v>2.1867611026203226E-4</v>
      </c>
      <c r="G384">
        <f t="shared" si="27"/>
        <v>0.13537658980168582</v>
      </c>
      <c r="H384">
        <v>177.90128843338192</v>
      </c>
      <c r="I384">
        <v>162.98770131771641</v>
      </c>
      <c r="J384">
        <v>242.63557833089328</v>
      </c>
      <c r="K384">
        <f t="shared" si="28"/>
        <v>5.0252155443619166</v>
      </c>
      <c r="L384">
        <f t="shared" si="29"/>
        <v>5.1500642345412215</v>
      </c>
    </row>
    <row r="385" spans="1:12" x14ac:dyDescent="0.3">
      <c r="A385">
        <v>5.0999999999999996</v>
      </c>
      <c r="B385">
        <v>5.0999999999999996</v>
      </c>
      <c r="C385">
        <v>5.3147877013177176</v>
      </c>
      <c r="D385">
        <v>5.4679355783308887</v>
      </c>
      <c r="E385">
        <f t="shared" si="25"/>
        <v>7.9028037102696819E-2</v>
      </c>
      <c r="F385">
        <f t="shared" si="26"/>
        <v>4.613375663734922E-2</v>
      </c>
      <c r="G385">
        <f t="shared" si="27"/>
        <v>0.13537658980168582</v>
      </c>
      <c r="H385">
        <v>177.90128843338192</v>
      </c>
      <c r="I385">
        <v>162.98770131771641</v>
      </c>
      <c r="J385">
        <v>242.63557833089328</v>
      </c>
      <c r="K385">
        <f t="shared" si="28"/>
        <v>4.9967459118954443</v>
      </c>
      <c r="L385">
        <f t="shared" si="29"/>
        <v>5.1188123337333717</v>
      </c>
    </row>
    <row r="386" spans="1:12" x14ac:dyDescent="0.3">
      <c r="A386">
        <v>5.6</v>
      </c>
      <c r="B386">
        <v>5.6</v>
      </c>
      <c r="C386">
        <v>5.3147877013177176</v>
      </c>
      <c r="D386">
        <v>5.4679355783308887</v>
      </c>
      <c r="E386">
        <f t="shared" si="25"/>
        <v>3.7666397278393306E-2</v>
      </c>
      <c r="F386">
        <f t="shared" si="26"/>
        <v>8.1346055319631266E-2</v>
      </c>
      <c r="G386">
        <f t="shared" si="27"/>
        <v>1.7441011470796734E-2</v>
      </c>
      <c r="H386">
        <v>177.90128843338192</v>
      </c>
      <c r="I386">
        <v>162.98770131771641</v>
      </c>
      <c r="J386">
        <v>242.63557833089328</v>
      </c>
      <c r="K386">
        <f t="shared" si="28"/>
        <v>5.4585687531597555</v>
      </c>
      <c r="L386">
        <f t="shared" si="29"/>
        <v>5.6257680045868144</v>
      </c>
    </row>
    <row r="387" spans="1:12" x14ac:dyDescent="0.3">
      <c r="A387">
        <v>4.9000000000000004</v>
      </c>
      <c r="B387">
        <v>5.2</v>
      </c>
      <c r="C387">
        <v>5.3147877013177176</v>
      </c>
      <c r="D387">
        <v>5.4679355783308887</v>
      </c>
      <c r="E387">
        <f t="shared" ref="E387:E450" si="30">(A387-C387)*(B387-D387)</f>
        <v>0.11113638263710243</v>
      </c>
      <c r="F387">
        <f t="shared" ref="F387:F450" si="31">(A387-C387)^2</f>
        <v>0.17204883716443581</v>
      </c>
      <c r="G387">
        <f t="shared" ref="G387:G450" si="32">(B387-D387)^2</f>
        <v>7.1789474135507708E-2</v>
      </c>
      <c r="H387">
        <v>177.90128843338192</v>
      </c>
      <c r="I387">
        <v>162.98770131771641</v>
      </c>
      <c r="J387">
        <v>242.63557833089328</v>
      </c>
      <c r="K387">
        <f t="shared" ref="K387:K450" si="33">(1.097727582*(B387+0.366253474)+0.2*A387)/(0.2+1.097727582^2)</f>
        <v>5.0464060314485977</v>
      </c>
      <c r="L387">
        <f t="shared" ref="L387:L450" si="34">1.097727582*K387-0.366253474</f>
        <v>5.1733256166922859</v>
      </c>
    </row>
    <row r="388" spans="1:12" x14ac:dyDescent="0.3">
      <c r="A388">
        <v>5.2</v>
      </c>
      <c r="B388">
        <v>5.4</v>
      </c>
      <c r="C388">
        <v>5.3147877013177176</v>
      </c>
      <c r="D388">
        <v>5.4679355783308887</v>
      </c>
      <c r="E388">
        <f t="shared" si="30"/>
        <v>7.7981688742924105E-3</v>
      </c>
      <c r="F388">
        <f t="shared" si="31"/>
        <v>1.3176216373805507E-2</v>
      </c>
      <c r="G388">
        <f t="shared" si="32"/>
        <v>4.615242803152269E-3</v>
      </c>
      <c r="H388">
        <v>177.90128843338192</v>
      </c>
      <c r="I388">
        <v>162.98770131771641</v>
      </c>
      <c r="J388">
        <v>242.63557833089328</v>
      </c>
      <c r="K388">
        <f t="shared" si="33"/>
        <v>5.2453699841875583</v>
      </c>
      <c r="L388">
        <f t="shared" si="34"/>
        <v>5.391733835437587</v>
      </c>
    </row>
    <row r="389" spans="1:12" x14ac:dyDescent="0.3">
      <c r="A389">
        <v>5.4</v>
      </c>
      <c r="B389">
        <v>6.1</v>
      </c>
      <c r="C389">
        <v>5.3147877013177176</v>
      </c>
      <c r="D389">
        <v>5.4679355783308887</v>
      </c>
      <c r="E389">
        <f t="shared" si="30"/>
        <v>5.3859662285712588E-2</v>
      </c>
      <c r="F389">
        <f t="shared" si="31"/>
        <v>7.2611358467185661E-3</v>
      </c>
      <c r="G389">
        <f t="shared" si="32"/>
        <v>0.39950543313990766</v>
      </c>
      <c r="H389">
        <v>177.90128843338192</v>
      </c>
      <c r="I389">
        <v>162.98770131771641</v>
      </c>
      <c r="J389">
        <v>242.63557833089328</v>
      </c>
      <c r="K389">
        <f t="shared" si="33"/>
        <v>5.8207478807914113</v>
      </c>
      <c r="L389">
        <f t="shared" si="34"/>
        <v>6.0233420226127814</v>
      </c>
    </row>
    <row r="390" spans="1:12" x14ac:dyDescent="0.3">
      <c r="A390">
        <v>5.2</v>
      </c>
      <c r="B390">
        <v>5.2</v>
      </c>
      <c r="C390">
        <v>5.3147877013177176</v>
      </c>
      <c r="D390">
        <v>5.4679355783308887</v>
      </c>
      <c r="E390">
        <f t="shared" si="30"/>
        <v>3.0755709137835915E-2</v>
      </c>
      <c r="F390">
        <f t="shared" si="31"/>
        <v>1.3176216373805507E-2</v>
      </c>
      <c r="G390">
        <f t="shared" si="32"/>
        <v>7.1789474135507708E-2</v>
      </c>
      <c r="H390">
        <v>177.90128843338192</v>
      </c>
      <c r="I390">
        <v>162.98770131771641</v>
      </c>
      <c r="J390">
        <v>242.63557833089328</v>
      </c>
      <c r="K390">
        <f t="shared" si="33"/>
        <v>5.0891104801483067</v>
      </c>
      <c r="L390">
        <f t="shared" si="34"/>
        <v>5.2202034679040601</v>
      </c>
    </row>
    <row r="391" spans="1:12" x14ac:dyDescent="0.3">
      <c r="A391">
        <v>5</v>
      </c>
      <c r="B391">
        <v>5.0999999999999996</v>
      </c>
      <c r="C391">
        <v>5.3147877013177176</v>
      </c>
      <c r="D391">
        <v>5.4679355783308887</v>
      </c>
      <c r="E391">
        <f t="shared" si="30"/>
        <v>0.1158215949357856</v>
      </c>
      <c r="F391">
        <f t="shared" si="31"/>
        <v>9.9091296900892592E-2</v>
      </c>
      <c r="G391">
        <f t="shared" si="32"/>
        <v>0.13537658980168582</v>
      </c>
      <c r="H391">
        <v>177.90128843338192</v>
      </c>
      <c r="I391">
        <v>162.98770131771641</v>
      </c>
      <c r="J391">
        <v>242.63557833089328</v>
      </c>
      <c r="K391">
        <f t="shared" si="33"/>
        <v>4.9825110956622076</v>
      </c>
      <c r="L391">
        <f t="shared" si="34"/>
        <v>5.1031863833294464</v>
      </c>
    </row>
    <row r="392" spans="1:12" x14ac:dyDescent="0.3">
      <c r="A392">
        <v>4.8</v>
      </c>
      <c r="B392">
        <v>5.0999999999999996</v>
      </c>
      <c r="C392">
        <v>5.3147877013177176</v>
      </c>
      <c r="D392">
        <v>5.4679355783308887</v>
      </c>
      <c r="E392">
        <f t="shared" si="30"/>
        <v>0.18940871060196349</v>
      </c>
      <c r="F392">
        <f t="shared" si="31"/>
        <v>0.26500637742797983</v>
      </c>
      <c r="G392">
        <f t="shared" si="32"/>
        <v>0.13537658980168582</v>
      </c>
      <c r="H392">
        <v>177.90128843338192</v>
      </c>
      <c r="I392">
        <v>162.98770131771641</v>
      </c>
      <c r="J392">
        <v>242.63557833089328</v>
      </c>
      <c r="K392">
        <f t="shared" si="33"/>
        <v>4.9540414631957344</v>
      </c>
      <c r="L392">
        <f t="shared" si="34"/>
        <v>5.0719344825215966</v>
      </c>
    </row>
    <row r="393" spans="1:12" x14ac:dyDescent="0.3">
      <c r="A393">
        <v>5.5</v>
      </c>
      <c r="B393">
        <v>5.6</v>
      </c>
      <c r="C393">
        <v>5.3147877013177176</v>
      </c>
      <c r="D393">
        <v>5.4679355783308887</v>
      </c>
      <c r="E393">
        <f t="shared" si="30"/>
        <v>2.4459955111482259E-2</v>
      </c>
      <c r="F393">
        <f t="shared" si="31"/>
        <v>3.4303595583174987E-2</v>
      </c>
      <c r="G393">
        <f t="shared" si="32"/>
        <v>1.7441011470796734E-2</v>
      </c>
      <c r="H393">
        <v>177.90128843338192</v>
      </c>
      <c r="I393">
        <v>162.98770131771641</v>
      </c>
      <c r="J393">
        <v>242.63557833089328</v>
      </c>
      <c r="K393">
        <f t="shared" si="33"/>
        <v>5.4443339369265189</v>
      </c>
      <c r="L393">
        <f t="shared" si="34"/>
        <v>5.610142054182889</v>
      </c>
    </row>
    <row r="394" spans="1:12" x14ac:dyDescent="0.3">
      <c r="A394">
        <v>4.5999999999999996</v>
      </c>
      <c r="B394">
        <v>5.2</v>
      </c>
      <c r="C394">
        <v>5.3147877013177176</v>
      </c>
      <c r="D394">
        <v>5.4679355783308887</v>
      </c>
      <c r="E394">
        <f t="shared" si="30"/>
        <v>0.19151705613636918</v>
      </c>
      <c r="F394">
        <f t="shared" si="31"/>
        <v>0.51092145795506716</v>
      </c>
      <c r="G394">
        <f t="shared" si="32"/>
        <v>7.1789474135507708E-2</v>
      </c>
      <c r="H394">
        <v>177.90128843338192</v>
      </c>
      <c r="I394">
        <v>162.98770131771641</v>
      </c>
      <c r="J394">
        <v>242.63557833089328</v>
      </c>
      <c r="K394">
        <f t="shared" si="33"/>
        <v>5.0037015827488878</v>
      </c>
      <c r="L394">
        <f t="shared" si="34"/>
        <v>5.1264477654805107</v>
      </c>
    </row>
    <row r="395" spans="1:12" x14ac:dyDescent="0.3">
      <c r="A395">
        <v>5.2</v>
      </c>
      <c r="B395">
        <v>5.2</v>
      </c>
      <c r="C395">
        <v>5.3147877013177176</v>
      </c>
      <c r="D395">
        <v>5.4679355783308887</v>
      </c>
      <c r="E395">
        <f t="shared" si="30"/>
        <v>3.0755709137835915E-2</v>
      </c>
      <c r="F395">
        <f t="shared" si="31"/>
        <v>1.3176216373805507E-2</v>
      </c>
      <c r="G395">
        <f t="shared" si="32"/>
        <v>7.1789474135507708E-2</v>
      </c>
      <c r="H395">
        <v>177.90128843338192</v>
      </c>
      <c r="I395">
        <v>162.98770131771641</v>
      </c>
      <c r="J395">
        <v>242.63557833089328</v>
      </c>
      <c r="K395">
        <f t="shared" si="33"/>
        <v>5.0891104801483067</v>
      </c>
      <c r="L395">
        <f t="shared" si="34"/>
        <v>5.2202034679040601</v>
      </c>
    </row>
    <row r="396" spans="1:12" x14ac:dyDescent="0.3">
      <c r="A396">
        <v>5.4</v>
      </c>
      <c r="B396">
        <v>5.2</v>
      </c>
      <c r="C396">
        <v>5.3147877013177176</v>
      </c>
      <c r="D396">
        <v>5.4679355783308887</v>
      </c>
      <c r="E396">
        <f t="shared" si="30"/>
        <v>-2.2831406528341841E-2</v>
      </c>
      <c r="F396">
        <f t="shared" si="31"/>
        <v>7.2611358467185661E-3</v>
      </c>
      <c r="G396">
        <f t="shared" si="32"/>
        <v>7.1789474135507708E-2</v>
      </c>
      <c r="H396">
        <v>177.90128843338192</v>
      </c>
      <c r="I396">
        <v>162.98770131771641</v>
      </c>
      <c r="J396">
        <v>242.63557833089328</v>
      </c>
      <c r="K396">
        <f t="shared" si="33"/>
        <v>5.11758011261478</v>
      </c>
      <c r="L396">
        <f t="shared" si="34"/>
        <v>5.2514553687119108</v>
      </c>
    </row>
    <row r="397" spans="1:12" x14ac:dyDescent="0.3">
      <c r="A397">
        <v>5.9</v>
      </c>
      <c r="B397">
        <v>5.7</v>
      </c>
      <c r="C397">
        <v>5.3147877013177176</v>
      </c>
      <c r="D397">
        <v>5.4679355783308887</v>
      </c>
      <c r="E397">
        <f t="shared" si="30"/>
        <v>0.13580695364735526</v>
      </c>
      <c r="F397">
        <f t="shared" si="31"/>
        <v>0.34247343452900131</v>
      </c>
      <c r="G397">
        <f t="shared" si="32"/>
        <v>5.3853895804619169E-2</v>
      </c>
      <c r="H397">
        <v>177.90128843338192</v>
      </c>
      <c r="I397">
        <v>162.98770131771641</v>
      </c>
      <c r="J397">
        <v>242.63557833089328</v>
      </c>
      <c r="K397">
        <f t="shared" si="33"/>
        <v>5.5794029538790921</v>
      </c>
      <c r="L397">
        <f t="shared" si="34"/>
        <v>5.7584110395653543</v>
      </c>
    </row>
    <row r="398" spans="1:12" x14ac:dyDescent="0.3">
      <c r="A398">
        <v>5.8</v>
      </c>
      <c r="B398">
        <v>5.9</v>
      </c>
      <c r="C398">
        <v>5.3147877013177176</v>
      </c>
      <c r="D398">
        <v>5.4679355783308887</v>
      </c>
      <c r="E398">
        <f t="shared" si="30"/>
        <v>0.20964297121690051</v>
      </c>
      <c r="F398">
        <f t="shared" si="31"/>
        <v>0.23543097479254424</v>
      </c>
      <c r="G398">
        <f t="shared" si="32"/>
        <v>0.18667966447226389</v>
      </c>
      <c r="H398">
        <v>177.90128843338192</v>
      </c>
      <c r="I398">
        <v>162.98770131771641</v>
      </c>
      <c r="J398">
        <v>242.63557833089328</v>
      </c>
      <c r="K398">
        <f t="shared" si="33"/>
        <v>5.7214276416851062</v>
      </c>
      <c r="L398">
        <f t="shared" si="34"/>
        <v>5.914315456694955</v>
      </c>
    </row>
    <row r="399" spans="1:12" x14ac:dyDescent="0.3">
      <c r="A399">
        <v>5.2</v>
      </c>
      <c r="B399">
        <v>5</v>
      </c>
      <c r="C399">
        <v>5.3147877013177176</v>
      </c>
      <c r="D399">
        <v>5.4679355783308887</v>
      </c>
      <c r="E399">
        <f t="shared" si="30"/>
        <v>5.371324940137942E-2</v>
      </c>
      <c r="F399">
        <f t="shared" si="31"/>
        <v>1.3176216373805507E-2</v>
      </c>
      <c r="G399">
        <f t="shared" si="32"/>
        <v>0.21896370546786328</v>
      </c>
      <c r="H399">
        <v>177.90128843338192</v>
      </c>
      <c r="I399">
        <v>162.98770131771641</v>
      </c>
      <c r="J399">
        <v>242.63557833089328</v>
      </c>
      <c r="K399">
        <f t="shared" si="33"/>
        <v>4.9328509761090551</v>
      </c>
      <c r="L399">
        <f t="shared" si="34"/>
        <v>5.0486731003705341</v>
      </c>
    </row>
    <row r="400" spans="1:12" x14ac:dyDescent="0.3">
      <c r="A400">
        <v>5.3</v>
      </c>
      <c r="B400">
        <v>5.0999999999999996</v>
      </c>
      <c r="C400">
        <v>5.3147877013177176</v>
      </c>
      <c r="D400">
        <v>5.4679355783308887</v>
      </c>
      <c r="E400">
        <f t="shared" si="30"/>
        <v>5.440921436518943E-3</v>
      </c>
      <c r="F400">
        <f t="shared" si="31"/>
        <v>2.1867611026203226E-4</v>
      </c>
      <c r="G400">
        <f t="shared" si="32"/>
        <v>0.13537658980168582</v>
      </c>
      <c r="H400">
        <v>177.90128843338192</v>
      </c>
      <c r="I400">
        <v>162.98770131771641</v>
      </c>
      <c r="J400">
        <v>242.63557833089328</v>
      </c>
      <c r="K400">
        <f t="shared" si="33"/>
        <v>5.0252155443619166</v>
      </c>
      <c r="L400">
        <f t="shared" si="34"/>
        <v>5.1500642345412215</v>
      </c>
    </row>
    <row r="401" spans="1:12" x14ac:dyDescent="0.3">
      <c r="A401">
        <v>5.5</v>
      </c>
      <c r="B401">
        <v>5.7</v>
      </c>
      <c r="C401">
        <v>5.3147877013177176</v>
      </c>
      <c r="D401">
        <v>5.4679355783308887</v>
      </c>
      <c r="E401">
        <f t="shared" si="30"/>
        <v>4.2981184979710596E-2</v>
      </c>
      <c r="F401">
        <f t="shared" si="31"/>
        <v>3.4303595583174987E-2</v>
      </c>
      <c r="G401">
        <f t="shared" si="32"/>
        <v>5.3853895804619169E-2</v>
      </c>
      <c r="H401">
        <v>177.90128843338192</v>
      </c>
      <c r="I401">
        <v>162.98770131771641</v>
      </c>
      <c r="J401">
        <v>242.63557833089328</v>
      </c>
      <c r="K401">
        <f t="shared" si="33"/>
        <v>5.5224636889461456</v>
      </c>
      <c r="L401">
        <f t="shared" si="34"/>
        <v>5.6959072379496538</v>
      </c>
    </row>
    <row r="402" spans="1:12" x14ac:dyDescent="0.3">
      <c r="A402">
        <v>5.8</v>
      </c>
      <c r="B402">
        <v>6</v>
      </c>
      <c r="C402">
        <v>5.3147877013177176</v>
      </c>
      <c r="D402">
        <v>5.4679355783308887</v>
      </c>
      <c r="E402">
        <f t="shared" si="30"/>
        <v>0.25816420108512855</v>
      </c>
      <c r="F402">
        <f t="shared" si="31"/>
        <v>0.23543097479254424</v>
      </c>
      <c r="G402">
        <f t="shared" si="32"/>
        <v>0.28309254880608586</v>
      </c>
      <c r="H402">
        <v>177.90128843338192</v>
      </c>
      <c r="I402">
        <v>162.98770131771641</v>
      </c>
      <c r="J402">
        <v>242.63557833089328</v>
      </c>
      <c r="K402">
        <f t="shared" si="33"/>
        <v>5.799557393704732</v>
      </c>
      <c r="L402">
        <f t="shared" si="34"/>
        <v>6.000080640461718</v>
      </c>
    </row>
    <row r="403" spans="1:12" x14ac:dyDescent="0.3">
      <c r="A403">
        <v>5.0999999999999996</v>
      </c>
      <c r="B403">
        <v>5.2</v>
      </c>
      <c r="C403">
        <v>5.3147877013177176</v>
      </c>
      <c r="D403">
        <v>5.4679355783308887</v>
      </c>
      <c r="E403">
        <f t="shared" si="30"/>
        <v>5.7549266970924912E-2</v>
      </c>
      <c r="F403">
        <f t="shared" si="31"/>
        <v>4.613375663734922E-2</v>
      </c>
      <c r="G403">
        <f t="shared" si="32"/>
        <v>7.1789474135507708E-2</v>
      </c>
      <c r="H403">
        <v>177.90128843338192</v>
      </c>
      <c r="I403">
        <v>162.98770131771641</v>
      </c>
      <c r="J403">
        <v>242.63557833089328</v>
      </c>
      <c r="K403">
        <f t="shared" si="33"/>
        <v>5.0748756639150701</v>
      </c>
      <c r="L403">
        <f t="shared" si="34"/>
        <v>5.2045775175001356</v>
      </c>
    </row>
    <row r="404" spans="1:12" x14ac:dyDescent="0.3">
      <c r="A404">
        <v>4.8</v>
      </c>
      <c r="B404">
        <v>5.4</v>
      </c>
      <c r="C404">
        <v>5.3147877013177176</v>
      </c>
      <c r="D404">
        <v>5.4679355783308887</v>
      </c>
      <c r="E404">
        <f t="shared" si="30"/>
        <v>3.4972400206647783E-2</v>
      </c>
      <c r="F404">
        <f t="shared" si="31"/>
        <v>0.26500637742797983</v>
      </c>
      <c r="G404">
        <f t="shared" si="32"/>
        <v>4.615242803152269E-3</v>
      </c>
      <c r="H404">
        <v>177.90128843338192</v>
      </c>
      <c r="I404">
        <v>162.98770131771641</v>
      </c>
      <c r="J404">
        <v>242.63557833089328</v>
      </c>
      <c r="K404">
        <f t="shared" si="33"/>
        <v>5.1884307192546126</v>
      </c>
      <c r="L404">
        <f t="shared" si="34"/>
        <v>5.3292300338218874</v>
      </c>
    </row>
    <row r="405" spans="1:12" x14ac:dyDescent="0.3">
      <c r="A405">
        <v>4.7</v>
      </c>
      <c r="B405">
        <v>4.9000000000000004</v>
      </c>
      <c r="C405">
        <v>5.3147877013177176</v>
      </c>
      <c r="D405">
        <v>5.4679355783308887</v>
      </c>
      <c r="E405">
        <f t="shared" si="30"/>
        <v>0.34915980869859531</v>
      </c>
      <c r="F405">
        <f t="shared" si="31"/>
        <v>0.37796391769152293</v>
      </c>
      <c r="G405">
        <f t="shared" si="32"/>
        <v>0.32255082113404066</v>
      </c>
      <c r="H405">
        <v>177.90128843338192</v>
      </c>
      <c r="I405">
        <v>162.98770131771641</v>
      </c>
      <c r="J405">
        <v>242.63557833089328</v>
      </c>
      <c r="K405">
        <f t="shared" si="33"/>
        <v>4.783547142923247</v>
      </c>
      <c r="L405">
        <f t="shared" si="34"/>
        <v>4.8847781645841453</v>
      </c>
    </row>
    <row r="406" spans="1:12" x14ac:dyDescent="0.3">
      <c r="A406">
        <v>5</v>
      </c>
      <c r="B406">
        <v>5.3</v>
      </c>
      <c r="C406">
        <v>5.3147877013177176</v>
      </c>
      <c r="D406">
        <v>5.4679355783308887</v>
      </c>
      <c r="E406">
        <f t="shared" si="30"/>
        <v>5.2864054672242027E-2</v>
      </c>
      <c r="F406">
        <f t="shared" si="31"/>
        <v>9.9091296900892592E-2</v>
      </c>
      <c r="G406">
        <f t="shared" si="32"/>
        <v>2.8202358469330124E-2</v>
      </c>
      <c r="H406">
        <v>177.90128843338192</v>
      </c>
      <c r="I406">
        <v>162.98770131771641</v>
      </c>
      <c r="J406">
        <v>242.63557833089328</v>
      </c>
      <c r="K406">
        <f t="shared" si="33"/>
        <v>5.1387705997014592</v>
      </c>
      <c r="L406">
        <f t="shared" si="34"/>
        <v>5.2747167508629733</v>
      </c>
    </row>
    <row r="407" spans="1:12" x14ac:dyDescent="0.3">
      <c r="A407">
        <v>5</v>
      </c>
      <c r="B407">
        <v>5.7</v>
      </c>
      <c r="C407">
        <v>5.3147877013177176</v>
      </c>
      <c r="D407">
        <v>5.4679355783308887</v>
      </c>
      <c r="E407">
        <f t="shared" si="30"/>
        <v>-7.3051025854845131E-2</v>
      </c>
      <c r="F407">
        <f t="shared" si="31"/>
        <v>9.9091296900892592E-2</v>
      </c>
      <c r="G407">
        <f t="shared" si="32"/>
        <v>5.3853895804619169E-2</v>
      </c>
      <c r="H407">
        <v>177.90128843338192</v>
      </c>
      <c r="I407">
        <v>162.98770131771641</v>
      </c>
      <c r="J407">
        <v>242.63557833089328</v>
      </c>
      <c r="K407">
        <f t="shared" si="33"/>
        <v>5.4512896077799624</v>
      </c>
      <c r="L407">
        <f t="shared" si="34"/>
        <v>5.6177774859300271</v>
      </c>
    </row>
    <row r="408" spans="1:12" x14ac:dyDescent="0.3">
      <c r="A408">
        <v>5.7</v>
      </c>
      <c r="B408">
        <v>5.9</v>
      </c>
      <c r="C408">
        <v>5.3147877013177176</v>
      </c>
      <c r="D408">
        <v>5.4679355783308887</v>
      </c>
      <c r="E408">
        <f t="shared" si="30"/>
        <v>0.16643652904998951</v>
      </c>
      <c r="F408">
        <f t="shared" si="31"/>
        <v>0.14838851505608808</v>
      </c>
      <c r="G408">
        <f t="shared" si="32"/>
        <v>0.18667966447226389</v>
      </c>
      <c r="H408">
        <v>177.90128843338192</v>
      </c>
      <c r="I408">
        <v>162.98770131771641</v>
      </c>
      <c r="J408">
        <v>242.63557833089328</v>
      </c>
      <c r="K408">
        <f t="shared" si="33"/>
        <v>5.7071928254518696</v>
      </c>
      <c r="L408">
        <f t="shared" si="34"/>
        <v>5.8986895062910296</v>
      </c>
    </row>
    <row r="409" spans="1:12" x14ac:dyDescent="0.3">
      <c r="A409">
        <v>5</v>
      </c>
      <c r="B409">
        <v>5.4</v>
      </c>
      <c r="C409">
        <v>5.3147877013177176</v>
      </c>
      <c r="D409">
        <v>5.4679355783308887</v>
      </c>
      <c r="E409">
        <f t="shared" si="30"/>
        <v>2.1385284540470097E-2</v>
      </c>
      <c r="F409">
        <f t="shared" si="31"/>
        <v>9.9091296900892592E-2</v>
      </c>
      <c r="G409">
        <f t="shared" si="32"/>
        <v>4.615242803152269E-3</v>
      </c>
      <c r="H409">
        <v>177.90128843338192</v>
      </c>
      <c r="I409">
        <v>162.98770131771641</v>
      </c>
      <c r="J409">
        <v>242.63557833089328</v>
      </c>
      <c r="K409">
        <f t="shared" si="33"/>
        <v>5.2169003517210859</v>
      </c>
      <c r="L409">
        <f t="shared" si="34"/>
        <v>5.3604819346297381</v>
      </c>
    </row>
    <row r="410" spans="1:12" x14ac:dyDescent="0.3">
      <c r="A410">
        <v>4.8</v>
      </c>
      <c r="B410">
        <v>4.9000000000000004</v>
      </c>
      <c r="C410">
        <v>5.3147877013177176</v>
      </c>
      <c r="D410">
        <v>5.4679355783308887</v>
      </c>
      <c r="E410">
        <f t="shared" si="30"/>
        <v>0.29236625086550666</v>
      </c>
      <c r="F410">
        <f t="shared" si="31"/>
        <v>0.26500637742797983</v>
      </c>
      <c r="G410">
        <f t="shared" si="32"/>
        <v>0.32255082113404066</v>
      </c>
      <c r="H410">
        <v>177.90128843338192</v>
      </c>
      <c r="I410">
        <v>162.98770131771641</v>
      </c>
      <c r="J410">
        <v>242.63557833089328</v>
      </c>
      <c r="K410">
        <f t="shared" si="33"/>
        <v>4.7977819591564828</v>
      </c>
      <c r="L410">
        <f t="shared" si="34"/>
        <v>4.9004041149880697</v>
      </c>
    </row>
    <row r="411" spans="1:12" x14ac:dyDescent="0.3">
      <c r="A411">
        <v>4.7</v>
      </c>
      <c r="B411">
        <v>5.3</v>
      </c>
      <c r="C411">
        <v>5.3147877013177176</v>
      </c>
      <c r="D411">
        <v>5.4679355783308887</v>
      </c>
      <c r="E411">
        <f t="shared" si="30"/>
        <v>0.10324472817150866</v>
      </c>
      <c r="F411">
        <f t="shared" si="31"/>
        <v>0.37796391769152293</v>
      </c>
      <c r="G411">
        <f t="shared" si="32"/>
        <v>2.8202358469330124E-2</v>
      </c>
      <c r="H411">
        <v>177.90128843338192</v>
      </c>
      <c r="I411">
        <v>162.98770131771641</v>
      </c>
      <c r="J411">
        <v>242.63557833089328</v>
      </c>
      <c r="K411">
        <f t="shared" si="33"/>
        <v>5.0960661510017493</v>
      </c>
      <c r="L411">
        <f t="shared" si="34"/>
        <v>5.2278388996511982</v>
      </c>
    </row>
    <row r="412" spans="1:12" x14ac:dyDescent="0.3">
      <c r="A412">
        <v>5.3</v>
      </c>
      <c r="B412">
        <v>5.7</v>
      </c>
      <c r="C412">
        <v>5.3147877013177176</v>
      </c>
      <c r="D412">
        <v>5.4679355783308887</v>
      </c>
      <c r="E412">
        <f t="shared" si="30"/>
        <v>-3.4316993541117346E-3</v>
      </c>
      <c r="F412">
        <f t="shared" si="31"/>
        <v>2.1867611026203226E-4</v>
      </c>
      <c r="G412">
        <f t="shared" si="32"/>
        <v>5.3853895804619169E-2</v>
      </c>
      <c r="H412">
        <v>177.90128843338192</v>
      </c>
      <c r="I412">
        <v>162.98770131771641</v>
      </c>
      <c r="J412">
        <v>242.63557833089328</v>
      </c>
      <c r="K412">
        <f t="shared" si="33"/>
        <v>5.4939940564796714</v>
      </c>
      <c r="L412">
        <f t="shared" si="34"/>
        <v>5.6646553371418022</v>
      </c>
    </row>
    <row r="413" spans="1:12" x14ac:dyDescent="0.3">
      <c r="A413">
        <v>4.7</v>
      </c>
      <c r="B413">
        <v>4.7</v>
      </c>
      <c r="C413">
        <v>5.3147877013177176</v>
      </c>
      <c r="D413">
        <v>5.4679355783308887</v>
      </c>
      <c r="E413">
        <f t="shared" si="30"/>
        <v>0.47211734896213892</v>
      </c>
      <c r="F413">
        <f t="shared" si="31"/>
        <v>0.37796391769152293</v>
      </c>
      <c r="G413">
        <f t="shared" si="32"/>
        <v>0.58972505246639628</v>
      </c>
      <c r="H413">
        <v>177.90128843338192</v>
      </c>
      <c r="I413">
        <v>162.98770131771641</v>
      </c>
      <c r="J413">
        <v>242.63557833089328</v>
      </c>
      <c r="K413">
        <f t="shared" si="33"/>
        <v>4.6272876388839954</v>
      </c>
      <c r="L413">
        <f t="shared" si="34"/>
        <v>4.7132477970506184</v>
      </c>
    </row>
    <row r="414" spans="1:12" x14ac:dyDescent="0.3">
      <c r="A414">
        <v>5.4</v>
      </c>
      <c r="B414">
        <v>5.7</v>
      </c>
      <c r="C414">
        <v>5.3147877013177176</v>
      </c>
      <c r="D414">
        <v>5.4679355783308887</v>
      </c>
      <c r="E414">
        <f t="shared" si="30"/>
        <v>1.9774742812799534E-2</v>
      </c>
      <c r="F414">
        <f t="shared" si="31"/>
        <v>7.2611358467185661E-3</v>
      </c>
      <c r="G414">
        <f t="shared" si="32"/>
        <v>5.3853895804619169E-2</v>
      </c>
      <c r="H414">
        <v>177.90128843338192</v>
      </c>
      <c r="I414">
        <v>162.98770131771641</v>
      </c>
      <c r="J414">
        <v>242.63557833089328</v>
      </c>
      <c r="K414">
        <f t="shared" si="33"/>
        <v>5.508228872712909</v>
      </c>
      <c r="L414">
        <f t="shared" si="34"/>
        <v>5.6802812875457285</v>
      </c>
    </row>
    <row r="415" spans="1:12" x14ac:dyDescent="0.3">
      <c r="A415">
        <v>5.8</v>
      </c>
      <c r="B415">
        <v>5.3</v>
      </c>
      <c r="C415">
        <v>5.3147877013177176</v>
      </c>
      <c r="D415">
        <v>5.4679355783308887</v>
      </c>
      <c r="E415">
        <f t="shared" si="30"/>
        <v>-8.1484407992469074E-2</v>
      </c>
      <c r="F415">
        <f t="shared" si="31"/>
        <v>0.23543097479254424</v>
      </c>
      <c r="G415">
        <f t="shared" si="32"/>
        <v>2.8202358469330124E-2</v>
      </c>
      <c r="H415">
        <v>177.90128843338192</v>
      </c>
      <c r="I415">
        <v>162.98770131771641</v>
      </c>
      <c r="J415">
        <v>242.63557833089328</v>
      </c>
      <c r="K415">
        <f t="shared" si="33"/>
        <v>5.2526491295673514</v>
      </c>
      <c r="L415">
        <f t="shared" si="34"/>
        <v>5.3997243540943742</v>
      </c>
    </row>
    <row r="416" spans="1:12" x14ac:dyDescent="0.3">
      <c r="A416">
        <v>5.2</v>
      </c>
      <c r="B416">
        <v>5.4</v>
      </c>
      <c r="C416">
        <v>5.3147877013177176</v>
      </c>
      <c r="D416">
        <v>5.4679355783308887</v>
      </c>
      <c r="E416">
        <f t="shared" si="30"/>
        <v>7.7981688742924105E-3</v>
      </c>
      <c r="F416">
        <f t="shared" si="31"/>
        <v>1.3176216373805507E-2</v>
      </c>
      <c r="G416">
        <f t="shared" si="32"/>
        <v>4.615242803152269E-3</v>
      </c>
      <c r="H416">
        <v>177.90128843338192</v>
      </c>
      <c r="I416">
        <v>162.98770131771641</v>
      </c>
      <c r="J416">
        <v>242.63557833089328</v>
      </c>
      <c r="K416">
        <f t="shared" si="33"/>
        <v>5.2453699841875583</v>
      </c>
      <c r="L416">
        <f t="shared" si="34"/>
        <v>5.391733835437587</v>
      </c>
    </row>
    <row r="417" spans="1:12" x14ac:dyDescent="0.3">
      <c r="A417">
        <v>5.3</v>
      </c>
      <c r="B417">
        <v>5.4</v>
      </c>
      <c r="C417">
        <v>5.3147877013177176</v>
      </c>
      <c r="D417">
        <v>5.4679355783308887</v>
      </c>
      <c r="E417">
        <f t="shared" si="30"/>
        <v>1.0046110412035977E-3</v>
      </c>
      <c r="F417">
        <f t="shared" si="31"/>
        <v>2.1867611026203226E-4</v>
      </c>
      <c r="G417">
        <f t="shared" si="32"/>
        <v>4.615242803152269E-3</v>
      </c>
      <c r="H417">
        <v>177.90128843338192</v>
      </c>
      <c r="I417">
        <v>162.98770131771641</v>
      </c>
      <c r="J417">
        <v>242.63557833089328</v>
      </c>
      <c r="K417">
        <f t="shared" si="33"/>
        <v>5.2596048004207958</v>
      </c>
      <c r="L417">
        <f t="shared" si="34"/>
        <v>5.4073597858415132</v>
      </c>
    </row>
    <row r="418" spans="1:12" x14ac:dyDescent="0.3">
      <c r="A418">
        <v>5.2</v>
      </c>
      <c r="B418">
        <v>5.4</v>
      </c>
      <c r="C418">
        <v>5.3147877013177176</v>
      </c>
      <c r="D418">
        <v>5.4679355783308887</v>
      </c>
      <c r="E418">
        <f t="shared" si="30"/>
        <v>7.7981688742924105E-3</v>
      </c>
      <c r="F418">
        <f t="shared" si="31"/>
        <v>1.3176216373805507E-2</v>
      </c>
      <c r="G418">
        <f t="shared" si="32"/>
        <v>4.615242803152269E-3</v>
      </c>
      <c r="H418">
        <v>177.90128843338192</v>
      </c>
      <c r="I418">
        <v>162.98770131771641</v>
      </c>
      <c r="J418">
        <v>242.63557833089328</v>
      </c>
      <c r="K418">
        <f t="shared" si="33"/>
        <v>5.2453699841875583</v>
      </c>
      <c r="L418">
        <f t="shared" si="34"/>
        <v>5.391733835437587</v>
      </c>
    </row>
    <row r="419" spans="1:12" x14ac:dyDescent="0.3">
      <c r="A419">
        <v>4.8</v>
      </c>
      <c r="B419">
        <v>4.7</v>
      </c>
      <c r="C419">
        <v>5.3147877013177176</v>
      </c>
      <c r="D419">
        <v>5.4679355783308887</v>
      </c>
      <c r="E419">
        <f t="shared" si="30"/>
        <v>0.39532379112905031</v>
      </c>
      <c r="F419">
        <f t="shared" si="31"/>
        <v>0.26500637742797983</v>
      </c>
      <c r="G419">
        <f t="shared" si="32"/>
        <v>0.58972505246639628</v>
      </c>
      <c r="H419">
        <v>177.90128843338192</v>
      </c>
      <c r="I419">
        <v>162.98770131771641</v>
      </c>
      <c r="J419">
        <v>242.63557833089328</v>
      </c>
      <c r="K419">
        <f t="shared" si="33"/>
        <v>4.6415224551172312</v>
      </c>
      <c r="L419">
        <f t="shared" si="34"/>
        <v>4.7288737474545428</v>
      </c>
    </row>
    <row r="420" spans="1:12" x14ac:dyDescent="0.3">
      <c r="A420">
        <v>5.8</v>
      </c>
      <c r="B420">
        <v>6</v>
      </c>
      <c r="C420">
        <v>5.3147877013177176</v>
      </c>
      <c r="D420">
        <v>5.4679355783308887</v>
      </c>
      <c r="E420">
        <f t="shared" si="30"/>
        <v>0.25816420108512855</v>
      </c>
      <c r="F420">
        <f t="shared" si="31"/>
        <v>0.23543097479254424</v>
      </c>
      <c r="G420">
        <f t="shared" si="32"/>
        <v>0.28309254880608586</v>
      </c>
      <c r="H420">
        <v>177.90128843338192</v>
      </c>
      <c r="I420">
        <v>162.98770131771641</v>
      </c>
      <c r="J420">
        <v>242.63557833089328</v>
      </c>
      <c r="K420">
        <f t="shared" si="33"/>
        <v>5.799557393704732</v>
      </c>
      <c r="L420">
        <f t="shared" si="34"/>
        <v>6.000080640461718</v>
      </c>
    </row>
    <row r="421" spans="1:12" x14ac:dyDescent="0.3">
      <c r="A421">
        <v>5</v>
      </c>
      <c r="B421">
        <v>5</v>
      </c>
      <c r="C421">
        <v>5.3147877013177176</v>
      </c>
      <c r="D421">
        <v>5.4679355783308887</v>
      </c>
      <c r="E421">
        <f t="shared" si="30"/>
        <v>0.14730036506755725</v>
      </c>
      <c r="F421">
        <f t="shared" si="31"/>
        <v>9.9091296900892592E-2</v>
      </c>
      <c r="G421">
        <f t="shared" si="32"/>
        <v>0.21896370546786328</v>
      </c>
      <c r="H421">
        <v>177.90128843338192</v>
      </c>
      <c r="I421">
        <v>162.98770131771641</v>
      </c>
      <c r="J421">
        <v>242.63557833089328</v>
      </c>
      <c r="K421">
        <f t="shared" si="33"/>
        <v>4.9043813436425818</v>
      </c>
      <c r="L421">
        <f t="shared" si="34"/>
        <v>5.0174211995626834</v>
      </c>
    </row>
    <row r="422" spans="1:12" x14ac:dyDescent="0.3">
      <c r="A422">
        <v>5.5</v>
      </c>
      <c r="B422">
        <v>5.7</v>
      </c>
      <c r="C422">
        <v>5.3147877013177176</v>
      </c>
      <c r="D422">
        <v>5.4679355783308887</v>
      </c>
      <c r="E422">
        <f t="shared" si="30"/>
        <v>4.2981184979710596E-2</v>
      </c>
      <c r="F422">
        <f t="shared" si="31"/>
        <v>3.4303595583174987E-2</v>
      </c>
      <c r="G422">
        <f t="shared" si="32"/>
        <v>5.3853895804619169E-2</v>
      </c>
      <c r="H422">
        <v>177.90128843338192</v>
      </c>
      <c r="I422">
        <v>162.98770131771641</v>
      </c>
      <c r="J422">
        <v>242.63557833089328</v>
      </c>
      <c r="K422">
        <f t="shared" si="33"/>
        <v>5.5224636889461456</v>
      </c>
      <c r="L422">
        <f t="shared" si="34"/>
        <v>5.6959072379496538</v>
      </c>
    </row>
    <row r="423" spans="1:12" x14ac:dyDescent="0.3">
      <c r="A423">
        <v>5</v>
      </c>
      <c r="B423">
        <v>5.0999999999999996</v>
      </c>
      <c r="C423">
        <v>5.3147877013177176</v>
      </c>
      <c r="D423">
        <v>5.4679355783308887</v>
      </c>
      <c r="E423">
        <f t="shared" si="30"/>
        <v>0.1158215949357856</v>
      </c>
      <c r="F423">
        <f t="shared" si="31"/>
        <v>9.9091296900892592E-2</v>
      </c>
      <c r="G423">
        <f t="shared" si="32"/>
        <v>0.13537658980168582</v>
      </c>
      <c r="H423">
        <v>177.90128843338192</v>
      </c>
      <c r="I423">
        <v>162.98770131771641</v>
      </c>
      <c r="J423">
        <v>242.63557833089328</v>
      </c>
      <c r="K423">
        <f t="shared" si="33"/>
        <v>4.9825110956622076</v>
      </c>
      <c r="L423">
        <f t="shared" si="34"/>
        <v>5.1031863833294464</v>
      </c>
    </row>
    <row r="424" spans="1:12" x14ac:dyDescent="0.3">
      <c r="A424">
        <v>5.3</v>
      </c>
      <c r="B424">
        <v>5.2</v>
      </c>
      <c r="C424">
        <v>5.3147877013177176</v>
      </c>
      <c r="D424">
        <v>5.4679355783308887</v>
      </c>
      <c r="E424">
        <f t="shared" si="30"/>
        <v>3.9621513047471569E-3</v>
      </c>
      <c r="F424">
        <f t="shared" si="31"/>
        <v>2.1867611026203226E-4</v>
      </c>
      <c r="G424">
        <f t="shared" si="32"/>
        <v>7.1789474135507708E-2</v>
      </c>
      <c r="H424">
        <v>177.90128843338192</v>
      </c>
      <c r="I424">
        <v>162.98770131771641</v>
      </c>
      <c r="J424">
        <v>242.63557833089328</v>
      </c>
      <c r="K424">
        <f t="shared" si="33"/>
        <v>5.1033452963815442</v>
      </c>
      <c r="L424">
        <f t="shared" si="34"/>
        <v>5.2358294183079863</v>
      </c>
    </row>
    <row r="425" spans="1:12" x14ac:dyDescent="0.3">
      <c r="A425">
        <v>5.5</v>
      </c>
      <c r="B425">
        <v>5.8</v>
      </c>
      <c r="C425">
        <v>5.3147877013177176</v>
      </c>
      <c r="D425">
        <v>5.4679355783308887</v>
      </c>
      <c r="E425">
        <f t="shared" si="30"/>
        <v>6.1502414847938773E-2</v>
      </c>
      <c r="F425">
        <f t="shared" si="31"/>
        <v>3.4303595583174987E-2</v>
      </c>
      <c r="G425">
        <f t="shared" si="32"/>
        <v>0.11026678013844123</v>
      </c>
      <c r="H425">
        <v>177.90128843338192</v>
      </c>
      <c r="I425">
        <v>162.98770131771641</v>
      </c>
      <c r="J425">
        <v>242.63557833089328</v>
      </c>
      <c r="K425">
        <f t="shared" si="33"/>
        <v>5.6005934409657705</v>
      </c>
      <c r="L425">
        <f t="shared" si="34"/>
        <v>5.7816724217164159</v>
      </c>
    </row>
    <row r="426" spans="1:12" x14ac:dyDescent="0.3">
      <c r="A426">
        <v>5.6</v>
      </c>
      <c r="B426">
        <v>5.9</v>
      </c>
      <c r="C426">
        <v>5.3147877013177176</v>
      </c>
      <c r="D426">
        <v>5.4679355783308887</v>
      </c>
      <c r="E426">
        <f t="shared" si="30"/>
        <v>0.12323008688307811</v>
      </c>
      <c r="F426">
        <f t="shared" si="31"/>
        <v>8.1346055319631266E-2</v>
      </c>
      <c r="G426">
        <f t="shared" si="32"/>
        <v>0.18667966447226389</v>
      </c>
      <c r="H426">
        <v>177.90128843338192</v>
      </c>
      <c r="I426">
        <v>162.98770131771641</v>
      </c>
      <c r="J426">
        <v>242.63557833089328</v>
      </c>
      <c r="K426">
        <f t="shared" si="33"/>
        <v>5.6929580092186338</v>
      </c>
      <c r="L426">
        <f t="shared" si="34"/>
        <v>5.8830635558871052</v>
      </c>
    </row>
    <row r="427" spans="1:12" x14ac:dyDescent="0.3">
      <c r="A427">
        <v>5.6</v>
      </c>
      <c r="B427">
        <v>5.4</v>
      </c>
      <c r="C427">
        <v>5.3147877013177176</v>
      </c>
      <c r="D427">
        <v>5.4679355783308887</v>
      </c>
      <c r="E427">
        <f t="shared" si="30"/>
        <v>-1.93760624580629E-2</v>
      </c>
      <c r="F427">
        <f t="shared" si="31"/>
        <v>8.1346055319631266E-2</v>
      </c>
      <c r="G427">
        <f t="shared" si="32"/>
        <v>4.615242803152269E-3</v>
      </c>
      <c r="H427">
        <v>177.90128843338192</v>
      </c>
      <c r="I427">
        <v>162.98770131771641</v>
      </c>
      <c r="J427">
        <v>242.63557833089328</v>
      </c>
      <c r="K427">
        <f t="shared" si="33"/>
        <v>5.3023092491205048</v>
      </c>
      <c r="L427">
        <f t="shared" si="34"/>
        <v>5.4542376370532883</v>
      </c>
    </row>
    <row r="428" spans="1:12" x14ac:dyDescent="0.3">
      <c r="A428">
        <v>4.7</v>
      </c>
      <c r="B428">
        <v>5.2</v>
      </c>
      <c r="C428">
        <v>5.3147877013177176</v>
      </c>
      <c r="D428">
        <v>5.4679355783308887</v>
      </c>
      <c r="E428">
        <f t="shared" si="30"/>
        <v>0.1647234983032802</v>
      </c>
      <c r="F428">
        <f t="shared" si="31"/>
        <v>0.37796391769152293</v>
      </c>
      <c r="G428">
        <f t="shared" si="32"/>
        <v>7.1789474135507708E-2</v>
      </c>
      <c r="H428">
        <v>177.90128843338192</v>
      </c>
      <c r="I428">
        <v>162.98770131771641</v>
      </c>
      <c r="J428">
        <v>242.63557833089328</v>
      </c>
      <c r="K428">
        <f t="shared" si="33"/>
        <v>5.0179363989821244</v>
      </c>
      <c r="L428">
        <f t="shared" si="34"/>
        <v>5.1420737158844352</v>
      </c>
    </row>
    <row r="429" spans="1:12" x14ac:dyDescent="0.3">
      <c r="A429">
        <v>5.7</v>
      </c>
      <c r="B429">
        <v>6.3</v>
      </c>
      <c r="C429">
        <v>5.3147877013177176</v>
      </c>
      <c r="D429">
        <v>5.4679355783308887</v>
      </c>
      <c r="E429">
        <f t="shared" si="30"/>
        <v>0.32052144852290232</v>
      </c>
      <c r="F429">
        <f t="shared" si="31"/>
        <v>0.14838851505608808</v>
      </c>
      <c r="G429">
        <f t="shared" si="32"/>
        <v>0.69233120180755237</v>
      </c>
      <c r="H429">
        <v>177.90128843338192</v>
      </c>
      <c r="I429">
        <v>162.98770131771641</v>
      </c>
      <c r="J429">
        <v>242.63557833089328</v>
      </c>
      <c r="K429">
        <f t="shared" si="33"/>
        <v>6.0197118335303728</v>
      </c>
      <c r="L429">
        <f t="shared" si="34"/>
        <v>6.2417502413580834</v>
      </c>
    </row>
    <row r="430" spans="1:12" x14ac:dyDescent="0.3">
      <c r="A430">
        <v>5.3</v>
      </c>
      <c r="B430">
        <v>5.5</v>
      </c>
      <c r="C430">
        <v>5.3147877013177176</v>
      </c>
      <c r="D430">
        <v>5.4679355783308887</v>
      </c>
      <c r="E430">
        <f t="shared" si="30"/>
        <v>-4.7415909056817545E-4</v>
      </c>
      <c r="F430">
        <f t="shared" si="31"/>
        <v>2.1867611026203226E-4</v>
      </c>
      <c r="G430">
        <f t="shared" si="32"/>
        <v>1.0281271369745727E-3</v>
      </c>
      <c r="H430">
        <v>177.90128843338192</v>
      </c>
      <c r="I430">
        <v>162.98770131771641</v>
      </c>
      <c r="J430">
        <v>242.63557833089328</v>
      </c>
      <c r="K430">
        <f t="shared" si="33"/>
        <v>5.3377345524404198</v>
      </c>
      <c r="L430">
        <f t="shared" si="34"/>
        <v>5.4931249696082753</v>
      </c>
    </row>
    <row r="431" spans="1:12" x14ac:dyDescent="0.3">
      <c r="A431">
        <v>4.8</v>
      </c>
      <c r="B431">
        <v>5.2</v>
      </c>
      <c r="C431">
        <v>5.3147877013177176</v>
      </c>
      <c r="D431">
        <v>5.4679355783308887</v>
      </c>
      <c r="E431">
        <f t="shared" si="30"/>
        <v>0.13792994047019144</v>
      </c>
      <c r="F431">
        <f t="shared" si="31"/>
        <v>0.26500637742797983</v>
      </c>
      <c r="G431">
        <f t="shared" si="32"/>
        <v>7.1789474135507708E-2</v>
      </c>
      <c r="H431">
        <v>177.90128843338192</v>
      </c>
      <c r="I431">
        <v>162.98770131771641</v>
      </c>
      <c r="J431">
        <v>242.63557833089328</v>
      </c>
      <c r="K431">
        <f t="shared" si="33"/>
        <v>5.032171215215361</v>
      </c>
      <c r="L431">
        <f t="shared" si="34"/>
        <v>5.1576996662883605</v>
      </c>
    </row>
    <row r="432" spans="1:12" x14ac:dyDescent="0.3">
      <c r="A432">
        <v>4.9000000000000004</v>
      </c>
      <c r="B432">
        <v>5.0999999999999996</v>
      </c>
      <c r="C432">
        <v>5.3147877013177176</v>
      </c>
      <c r="D432">
        <v>5.4679355783308887</v>
      </c>
      <c r="E432">
        <f t="shared" si="30"/>
        <v>0.15261515276887438</v>
      </c>
      <c r="F432">
        <f t="shared" si="31"/>
        <v>0.17204883716443581</v>
      </c>
      <c r="G432">
        <f t="shared" si="32"/>
        <v>0.13537658980168582</v>
      </c>
      <c r="H432">
        <v>177.90128843338192</v>
      </c>
      <c r="I432">
        <v>162.98770131771641</v>
      </c>
      <c r="J432">
        <v>242.63557833089328</v>
      </c>
      <c r="K432">
        <f t="shared" si="33"/>
        <v>4.968276279428971</v>
      </c>
      <c r="L432">
        <f t="shared" si="34"/>
        <v>5.0875604329255211</v>
      </c>
    </row>
    <row r="433" spans="1:12" x14ac:dyDescent="0.3">
      <c r="A433">
        <v>5.0999999999999996</v>
      </c>
      <c r="B433">
        <v>5.3</v>
      </c>
      <c r="C433">
        <v>5.3147877013177176</v>
      </c>
      <c r="D433">
        <v>5.4679355783308887</v>
      </c>
      <c r="E433">
        <f t="shared" si="30"/>
        <v>3.6070496839153192E-2</v>
      </c>
      <c r="F433">
        <f t="shared" si="31"/>
        <v>4.613375663734922E-2</v>
      </c>
      <c r="G433">
        <f t="shared" si="32"/>
        <v>2.8202358469330124E-2</v>
      </c>
      <c r="H433">
        <v>177.90128843338192</v>
      </c>
      <c r="I433">
        <v>162.98770131771641</v>
      </c>
      <c r="J433">
        <v>242.63557833089328</v>
      </c>
      <c r="K433">
        <f t="shared" si="33"/>
        <v>5.1530054159346959</v>
      </c>
      <c r="L433">
        <f t="shared" si="34"/>
        <v>5.2903427012668987</v>
      </c>
    </row>
    <row r="434" spans="1:12" x14ac:dyDescent="0.3">
      <c r="A434">
        <v>5</v>
      </c>
      <c r="B434">
        <v>5</v>
      </c>
      <c r="C434">
        <v>5.3147877013177176</v>
      </c>
      <c r="D434">
        <v>5.4679355783308887</v>
      </c>
      <c r="E434">
        <f t="shared" si="30"/>
        <v>0.14730036506755725</v>
      </c>
      <c r="F434">
        <f t="shared" si="31"/>
        <v>9.9091296900892592E-2</v>
      </c>
      <c r="G434">
        <f t="shared" si="32"/>
        <v>0.21896370546786328</v>
      </c>
      <c r="H434">
        <v>177.90128843338192</v>
      </c>
      <c r="I434">
        <v>162.98770131771641</v>
      </c>
      <c r="J434">
        <v>242.63557833089328</v>
      </c>
      <c r="K434">
        <f t="shared" si="33"/>
        <v>4.9043813436425818</v>
      </c>
      <c r="L434">
        <f t="shared" si="34"/>
        <v>5.0174211995626834</v>
      </c>
    </row>
    <row r="435" spans="1:12" x14ac:dyDescent="0.3">
      <c r="A435">
        <v>6.2</v>
      </c>
      <c r="B435">
        <v>6.2</v>
      </c>
      <c r="C435">
        <v>5.3147877013177176</v>
      </c>
      <c r="D435">
        <v>5.4679355783308887</v>
      </c>
      <c r="E435">
        <f t="shared" si="30"/>
        <v>0.6480324294892299</v>
      </c>
      <c r="F435">
        <f t="shared" si="31"/>
        <v>0.78360081373837065</v>
      </c>
      <c r="G435">
        <f t="shared" si="32"/>
        <v>0.53591831747373064</v>
      </c>
      <c r="H435">
        <v>177.90128843338192</v>
      </c>
      <c r="I435">
        <v>162.98770131771641</v>
      </c>
      <c r="J435">
        <v>242.63557833089328</v>
      </c>
      <c r="K435">
        <f t="shared" si="33"/>
        <v>6.012756162676931</v>
      </c>
      <c r="L435">
        <f t="shared" si="34"/>
        <v>6.2341148096109471</v>
      </c>
    </row>
    <row r="436" spans="1:12" x14ac:dyDescent="0.3">
      <c r="A436">
        <v>4.7</v>
      </c>
      <c r="B436">
        <v>4.7</v>
      </c>
      <c r="C436">
        <v>5.3147877013177176</v>
      </c>
      <c r="D436">
        <v>5.4679355783308887</v>
      </c>
      <c r="E436">
        <f t="shared" si="30"/>
        <v>0.47211734896213892</v>
      </c>
      <c r="F436">
        <f t="shared" si="31"/>
        <v>0.37796391769152293</v>
      </c>
      <c r="G436">
        <f t="shared" si="32"/>
        <v>0.58972505246639628</v>
      </c>
      <c r="H436">
        <v>177.90128843338192</v>
      </c>
      <c r="I436">
        <v>162.98770131771641</v>
      </c>
      <c r="J436">
        <v>242.63557833089328</v>
      </c>
      <c r="K436">
        <f t="shared" si="33"/>
        <v>4.6272876388839954</v>
      </c>
      <c r="L436">
        <f t="shared" si="34"/>
        <v>4.7132477970506184</v>
      </c>
    </row>
    <row r="437" spans="1:12" x14ac:dyDescent="0.3">
      <c r="A437">
        <v>5.4</v>
      </c>
      <c r="B437">
        <v>5.7</v>
      </c>
      <c r="C437">
        <v>5.3147877013177176</v>
      </c>
      <c r="D437">
        <v>5.4679355783308887</v>
      </c>
      <c r="E437">
        <f t="shared" si="30"/>
        <v>1.9774742812799534E-2</v>
      </c>
      <c r="F437">
        <f t="shared" si="31"/>
        <v>7.2611358467185661E-3</v>
      </c>
      <c r="G437">
        <f t="shared" si="32"/>
        <v>5.3853895804619169E-2</v>
      </c>
      <c r="H437">
        <v>177.90128843338192</v>
      </c>
      <c r="I437">
        <v>162.98770131771641</v>
      </c>
      <c r="J437">
        <v>242.63557833089328</v>
      </c>
      <c r="K437">
        <f t="shared" si="33"/>
        <v>5.508228872712909</v>
      </c>
      <c r="L437">
        <f t="shared" si="34"/>
        <v>5.6802812875457285</v>
      </c>
    </row>
    <row r="438" spans="1:12" x14ac:dyDescent="0.3">
      <c r="A438">
        <v>5.7</v>
      </c>
      <c r="B438">
        <v>5.9</v>
      </c>
      <c r="C438">
        <v>5.3147877013177176</v>
      </c>
      <c r="D438">
        <v>5.4679355783308887</v>
      </c>
      <c r="E438">
        <f t="shared" si="30"/>
        <v>0.16643652904998951</v>
      </c>
      <c r="F438">
        <f t="shared" si="31"/>
        <v>0.14838851505608808</v>
      </c>
      <c r="G438">
        <f t="shared" si="32"/>
        <v>0.18667966447226389</v>
      </c>
      <c r="H438">
        <v>177.90128843338192</v>
      </c>
      <c r="I438">
        <v>162.98770131771641</v>
      </c>
      <c r="J438">
        <v>242.63557833089328</v>
      </c>
      <c r="K438">
        <f t="shared" si="33"/>
        <v>5.7071928254518696</v>
      </c>
      <c r="L438">
        <f t="shared" si="34"/>
        <v>5.8986895062910296</v>
      </c>
    </row>
    <row r="439" spans="1:12" x14ac:dyDescent="0.3">
      <c r="A439">
        <v>5</v>
      </c>
      <c r="B439">
        <v>5</v>
      </c>
      <c r="C439">
        <v>5.3147877013177176</v>
      </c>
      <c r="D439">
        <v>5.4679355783308887</v>
      </c>
      <c r="E439">
        <f t="shared" si="30"/>
        <v>0.14730036506755725</v>
      </c>
      <c r="F439">
        <f t="shared" si="31"/>
        <v>9.9091296900892592E-2</v>
      </c>
      <c r="G439">
        <f t="shared" si="32"/>
        <v>0.21896370546786328</v>
      </c>
      <c r="H439">
        <v>177.90128843338192</v>
      </c>
      <c r="I439">
        <v>162.98770131771641</v>
      </c>
      <c r="J439">
        <v>242.63557833089328</v>
      </c>
      <c r="K439">
        <f t="shared" si="33"/>
        <v>4.9043813436425818</v>
      </c>
      <c r="L439">
        <f t="shared" si="34"/>
        <v>5.0174211995626834</v>
      </c>
    </row>
    <row r="440" spans="1:12" x14ac:dyDescent="0.3">
      <c r="A440">
        <v>5.2</v>
      </c>
      <c r="B440">
        <v>5.0999999999999996</v>
      </c>
      <c r="C440">
        <v>5.3147877013177176</v>
      </c>
      <c r="D440">
        <v>5.4679355783308887</v>
      </c>
      <c r="E440">
        <f t="shared" si="30"/>
        <v>4.2234479269607723E-2</v>
      </c>
      <c r="F440">
        <f t="shared" si="31"/>
        <v>1.3176216373805507E-2</v>
      </c>
      <c r="G440">
        <f t="shared" si="32"/>
        <v>0.13537658980168582</v>
      </c>
      <c r="H440">
        <v>177.90128843338192</v>
      </c>
      <c r="I440">
        <v>162.98770131771641</v>
      </c>
      <c r="J440">
        <v>242.63557833089328</v>
      </c>
      <c r="K440">
        <f t="shared" si="33"/>
        <v>5.0109807281286809</v>
      </c>
      <c r="L440">
        <f t="shared" si="34"/>
        <v>5.1344382841372971</v>
      </c>
    </row>
    <row r="441" spans="1:12" x14ac:dyDescent="0.3">
      <c r="A441">
        <v>5.7</v>
      </c>
      <c r="B441">
        <v>5.5</v>
      </c>
      <c r="C441">
        <v>5.3147877013177176</v>
      </c>
      <c r="D441">
        <v>5.4679355783308887</v>
      </c>
      <c r="E441">
        <f t="shared" si="30"/>
        <v>1.2351609577076346E-2</v>
      </c>
      <c r="F441">
        <f t="shared" si="31"/>
        <v>0.14838851505608808</v>
      </c>
      <c r="G441">
        <f t="shared" si="32"/>
        <v>1.0281271369745727E-3</v>
      </c>
      <c r="H441">
        <v>177.90128843338192</v>
      </c>
      <c r="I441">
        <v>162.98770131771641</v>
      </c>
      <c r="J441">
        <v>242.63557833089328</v>
      </c>
      <c r="K441">
        <f t="shared" si="33"/>
        <v>5.3946738173733664</v>
      </c>
      <c r="L441">
        <f t="shared" si="34"/>
        <v>5.5556287712239758</v>
      </c>
    </row>
    <row r="442" spans="1:12" x14ac:dyDescent="0.3">
      <c r="A442">
        <v>4.7</v>
      </c>
      <c r="B442">
        <v>4.9000000000000004</v>
      </c>
      <c r="C442">
        <v>5.3147877013177176</v>
      </c>
      <c r="D442">
        <v>5.4679355783308887</v>
      </c>
      <c r="E442">
        <f t="shared" si="30"/>
        <v>0.34915980869859531</v>
      </c>
      <c r="F442">
        <f t="shared" si="31"/>
        <v>0.37796391769152293</v>
      </c>
      <c r="G442">
        <f t="shared" si="32"/>
        <v>0.32255082113404066</v>
      </c>
      <c r="H442">
        <v>177.90128843338192</v>
      </c>
      <c r="I442">
        <v>162.98770131771641</v>
      </c>
      <c r="J442">
        <v>242.63557833089328</v>
      </c>
      <c r="K442">
        <f t="shared" si="33"/>
        <v>4.783547142923247</v>
      </c>
      <c r="L442">
        <f t="shared" si="34"/>
        <v>4.8847781645841453</v>
      </c>
    </row>
    <row r="443" spans="1:12" x14ac:dyDescent="0.3">
      <c r="A443">
        <v>5.3</v>
      </c>
      <c r="B443">
        <v>5.9</v>
      </c>
      <c r="C443">
        <v>5.3147877013177176</v>
      </c>
      <c r="D443">
        <v>5.4679355783308887</v>
      </c>
      <c r="E443">
        <f t="shared" si="30"/>
        <v>-6.3892396176552938E-3</v>
      </c>
      <c r="F443">
        <f t="shared" si="31"/>
        <v>2.1867611026203226E-4</v>
      </c>
      <c r="G443">
        <f t="shared" si="32"/>
        <v>0.18667966447226389</v>
      </c>
      <c r="H443">
        <v>177.90128843338192</v>
      </c>
      <c r="I443">
        <v>162.98770131771641</v>
      </c>
      <c r="J443">
        <v>242.63557833089328</v>
      </c>
      <c r="K443">
        <f t="shared" si="33"/>
        <v>5.650253560518923</v>
      </c>
      <c r="L443">
        <f t="shared" si="34"/>
        <v>5.8361857046753292</v>
      </c>
    </row>
    <row r="444" spans="1:12" x14ac:dyDescent="0.3">
      <c r="A444">
        <v>5</v>
      </c>
      <c r="B444">
        <v>5.5</v>
      </c>
      <c r="C444">
        <v>5.3147877013177176</v>
      </c>
      <c r="D444">
        <v>5.4679355783308887</v>
      </c>
      <c r="E444">
        <f t="shared" si="30"/>
        <v>-1.0093485591301552E-2</v>
      </c>
      <c r="F444">
        <f t="shared" si="31"/>
        <v>9.9091296900892592E-2</v>
      </c>
      <c r="G444">
        <f t="shared" si="32"/>
        <v>1.0281271369745727E-3</v>
      </c>
      <c r="H444">
        <v>177.90128843338192</v>
      </c>
      <c r="I444">
        <v>162.98770131771641</v>
      </c>
      <c r="J444">
        <v>242.63557833089328</v>
      </c>
      <c r="K444">
        <f t="shared" si="33"/>
        <v>5.2950301037407108</v>
      </c>
      <c r="L444">
        <f t="shared" si="34"/>
        <v>5.4462471183965002</v>
      </c>
    </row>
    <row r="445" spans="1:12" x14ac:dyDescent="0.3">
      <c r="A445">
        <v>5.6</v>
      </c>
      <c r="B445">
        <v>5.4</v>
      </c>
      <c r="C445">
        <v>5.3147877013177176</v>
      </c>
      <c r="D445">
        <v>5.4679355783308887</v>
      </c>
      <c r="E445">
        <f t="shared" si="30"/>
        <v>-1.93760624580629E-2</v>
      </c>
      <c r="F445">
        <f t="shared" si="31"/>
        <v>8.1346055319631266E-2</v>
      </c>
      <c r="G445">
        <f t="shared" si="32"/>
        <v>4.615242803152269E-3</v>
      </c>
      <c r="H445">
        <v>177.90128843338192</v>
      </c>
      <c r="I445">
        <v>162.98770131771641</v>
      </c>
      <c r="J445">
        <v>242.63557833089328</v>
      </c>
      <c r="K445">
        <f t="shared" si="33"/>
        <v>5.3023092491205048</v>
      </c>
      <c r="L445">
        <f t="shared" si="34"/>
        <v>5.4542376370532883</v>
      </c>
    </row>
    <row r="446" spans="1:12" x14ac:dyDescent="0.3">
      <c r="A446">
        <v>5.3</v>
      </c>
      <c r="B446">
        <v>5.5</v>
      </c>
      <c r="C446">
        <v>5.3147877013177176</v>
      </c>
      <c r="D446">
        <v>5.4679355783308887</v>
      </c>
      <c r="E446">
        <f t="shared" si="30"/>
        <v>-4.7415909056817545E-4</v>
      </c>
      <c r="F446">
        <f t="shared" si="31"/>
        <v>2.1867611026203226E-4</v>
      </c>
      <c r="G446">
        <f t="shared" si="32"/>
        <v>1.0281271369745727E-3</v>
      </c>
      <c r="H446">
        <v>177.90128843338192</v>
      </c>
      <c r="I446">
        <v>162.98770131771641</v>
      </c>
      <c r="J446">
        <v>242.63557833089328</v>
      </c>
      <c r="K446">
        <f t="shared" si="33"/>
        <v>5.3377345524404198</v>
      </c>
      <c r="L446">
        <f t="shared" si="34"/>
        <v>5.4931249696082753</v>
      </c>
    </row>
    <row r="447" spans="1:12" x14ac:dyDescent="0.3">
      <c r="A447">
        <v>4.9000000000000004</v>
      </c>
      <c r="B447">
        <v>5.3</v>
      </c>
      <c r="C447">
        <v>5.3147877013177176</v>
      </c>
      <c r="D447">
        <v>5.4679355783308887</v>
      </c>
      <c r="E447">
        <f t="shared" si="30"/>
        <v>6.9657612505330854E-2</v>
      </c>
      <c r="F447">
        <f t="shared" si="31"/>
        <v>0.17204883716443581</v>
      </c>
      <c r="G447">
        <f t="shared" si="32"/>
        <v>2.8202358469330124E-2</v>
      </c>
      <c r="H447">
        <v>177.90128843338192</v>
      </c>
      <c r="I447">
        <v>162.98770131771641</v>
      </c>
      <c r="J447">
        <v>242.63557833089328</v>
      </c>
      <c r="K447">
        <f t="shared" si="33"/>
        <v>5.1245357834682226</v>
      </c>
      <c r="L447">
        <f t="shared" si="34"/>
        <v>5.259090800459048</v>
      </c>
    </row>
    <row r="448" spans="1:12" x14ac:dyDescent="0.3">
      <c r="A448">
        <v>5.2</v>
      </c>
      <c r="B448">
        <v>5.3</v>
      </c>
      <c r="C448">
        <v>5.3147877013177176</v>
      </c>
      <c r="D448">
        <v>5.4679355783308887</v>
      </c>
      <c r="E448">
        <f t="shared" si="30"/>
        <v>1.9276939006064215E-2</v>
      </c>
      <c r="F448">
        <f t="shared" si="31"/>
        <v>1.3176216373805507E-2</v>
      </c>
      <c r="G448">
        <f t="shared" si="32"/>
        <v>2.8202358469330124E-2</v>
      </c>
      <c r="H448">
        <v>177.90128843338192</v>
      </c>
      <c r="I448">
        <v>162.98770131771641</v>
      </c>
      <c r="J448">
        <v>242.63557833089328</v>
      </c>
      <c r="K448">
        <f t="shared" si="33"/>
        <v>5.1672402321679325</v>
      </c>
      <c r="L448">
        <f t="shared" si="34"/>
        <v>5.305968651670824</v>
      </c>
    </row>
    <row r="449" spans="1:12" x14ac:dyDescent="0.3">
      <c r="A449">
        <v>5.5</v>
      </c>
      <c r="B449">
        <v>5.5</v>
      </c>
      <c r="C449">
        <v>5.3147877013177176</v>
      </c>
      <c r="D449">
        <v>5.4679355783308887</v>
      </c>
      <c r="E449">
        <f t="shared" si="30"/>
        <v>5.9387252432540859E-3</v>
      </c>
      <c r="F449">
        <f t="shared" si="31"/>
        <v>3.4303595583174987E-2</v>
      </c>
      <c r="G449">
        <f t="shared" si="32"/>
        <v>1.0281271369745727E-3</v>
      </c>
      <c r="H449">
        <v>177.90128843338192</v>
      </c>
      <c r="I449">
        <v>162.98770131771641</v>
      </c>
      <c r="J449">
        <v>242.63557833089328</v>
      </c>
      <c r="K449">
        <f t="shared" si="33"/>
        <v>5.366204184906894</v>
      </c>
      <c r="L449">
        <f t="shared" si="34"/>
        <v>5.5243768704161269</v>
      </c>
    </row>
    <row r="450" spans="1:12" x14ac:dyDescent="0.3">
      <c r="A450">
        <v>5.8</v>
      </c>
      <c r="B450">
        <v>6</v>
      </c>
      <c r="C450">
        <v>5.3147877013177176</v>
      </c>
      <c r="D450">
        <v>5.4679355783308887</v>
      </c>
      <c r="E450">
        <f t="shared" si="30"/>
        <v>0.25816420108512855</v>
      </c>
      <c r="F450">
        <f t="shared" si="31"/>
        <v>0.23543097479254424</v>
      </c>
      <c r="G450">
        <f t="shared" si="32"/>
        <v>0.28309254880608586</v>
      </c>
      <c r="H450">
        <v>177.90128843338192</v>
      </c>
      <c r="I450">
        <v>162.98770131771641</v>
      </c>
      <c r="J450">
        <v>242.63557833089328</v>
      </c>
      <c r="K450">
        <f t="shared" si="33"/>
        <v>5.799557393704732</v>
      </c>
      <c r="L450">
        <f t="shared" si="34"/>
        <v>6.000080640461718</v>
      </c>
    </row>
    <row r="451" spans="1:12" x14ac:dyDescent="0.3">
      <c r="A451">
        <v>5.4</v>
      </c>
      <c r="B451">
        <v>5.6</v>
      </c>
      <c r="C451">
        <v>5.3147877013177176</v>
      </c>
      <c r="D451">
        <v>5.4679355783308887</v>
      </c>
      <c r="E451">
        <f t="shared" ref="E451:E514" si="35">(A451-C451)*(B451-D451)</f>
        <v>1.1253512944571213E-2</v>
      </c>
      <c r="F451">
        <f t="shared" ref="F451:F514" si="36">(A451-C451)^2</f>
        <v>7.2611358467185661E-3</v>
      </c>
      <c r="G451">
        <f t="shared" ref="G451:G514" si="37">(B451-D451)^2</f>
        <v>1.7441011470796734E-2</v>
      </c>
      <c r="H451">
        <v>177.90128843338192</v>
      </c>
      <c r="I451">
        <v>162.98770131771641</v>
      </c>
      <c r="J451">
        <v>242.63557833089328</v>
      </c>
      <c r="K451">
        <f t="shared" ref="K451:K514" si="38">(1.097727582*(B451+0.366253474)+0.2*A451)/(0.2+1.097727582^2)</f>
        <v>5.4300991206932823</v>
      </c>
      <c r="L451">
        <f t="shared" ref="L451:L514" si="39">1.097727582*K451-0.366253474</f>
        <v>5.5945161037789637</v>
      </c>
    </row>
    <row r="452" spans="1:12" x14ac:dyDescent="0.3">
      <c r="A452">
        <v>5.3</v>
      </c>
      <c r="B452">
        <v>5.9</v>
      </c>
      <c r="C452">
        <v>5.3147877013177176</v>
      </c>
      <c r="D452">
        <v>5.4679355783308887</v>
      </c>
      <c r="E452">
        <f t="shared" si="35"/>
        <v>-6.3892396176552938E-3</v>
      </c>
      <c r="F452">
        <f t="shared" si="36"/>
        <v>2.1867611026203226E-4</v>
      </c>
      <c r="G452">
        <f t="shared" si="37"/>
        <v>0.18667966447226389</v>
      </c>
      <c r="H452">
        <v>177.90128843338192</v>
      </c>
      <c r="I452">
        <v>162.98770131771641</v>
      </c>
      <c r="J452">
        <v>242.63557833089328</v>
      </c>
      <c r="K452">
        <f t="shared" si="38"/>
        <v>5.650253560518923</v>
      </c>
      <c r="L452">
        <f t="shared" si="39"/>
        <v>5.8361857046753292</v>
      </c>
    </row>
    <row r="453" spans="1:12" x14ac:dyDescent="0.3">
      <c r="A453">
        <v>5.8</v>
      </c>
      <c r="B453">
        <v>5.8</v>
      </c>
      <c r="C453">
        <v>5.3147877013177176</v>
      </c>
      <c r="D453">
        <v>5.4679355783308887</v>
      </c>
      <c r="E453">
        <f t="shared" si="35"/>
        <v>0.16112174134867205</v>
      </c>
      <c r="F453">
        <f t="shared" si="36"/>
        <v>0.23543097479254424</v>
      </c>
      <c r="G453">
        <f t="shared" si="37"/>
        <v>0.11026678013844123</v>
      </c>
      <c r="H453">
        <v>177.90128843338192</v>
      </c>
      <c r="I453">
        <v>162.98770131771641</v>
      </c>
      <c r="J453">
        <v>242.63557833089328</v>
      </c>
      <c r="K453">
        <f t="shared" si="38"/>
        <v>5.6432978896654804</v>
      </c>
      <c r="L453">
        <f t="shared" si="39"/>
        <v>5.8285502729281911</v>
      </c>
    </row>
    <row r="454" spans="1:12" x14ac:dyDescent="0.3">
      <c r="A454">
        <v>5</v>
      </c>
      <c r="B454">
        <v>5.2</v>
      </c>
      <c r="C454">
        <v>5.3147877013177176</v>
      </c>
      <c r="D454">
        <v>5.4679355783308887</v>
      </c>
      <c r="E454">
        <f t="shared" si="35"/>
        <v>8.4342824804013672E-2</v>
      </c>
      <c r="F454">
        <f t="shared" si="36"/>
        <v>9.9091296900892592E-2</v>
      </c>
      <c r="G454">
        <f t="shared" si="37"/>
        <v>7.1789474135507708E-2</v>
      </c>
      <c r="H454">
        <v>177.90128843338192</v>
      </c>
      <c r="I454">
        <v>162.98770131771641</v>
      </c>
      <c r="J454">
        <v>242.63557833089328</v>
      </c>
      <c r="K454">
        <f t="shared" si="38"/>
        <v>5.0606408476818334</v>
      </c>
      <c r="L454">
        <f t="shared" si="39"/>
        <v>5.1889515670962103</v>
      </c>
    </row>
    <row r="455" spans="1:12" x14ac:dyDescent="0.3">
      <c r="A455">
        <v>5.7</v>
      </c>
      <c r="B455">
        <v>5.7</v>
      </c>
      <c r="C455">
        <v>5.3147877013177176</v>
      </c>
      <c r="D455">
        <v>5.4679355783308887</v>
      </c>
      <c r="E455">
        <f t="shared" si="35"/>
        <v>8.9394069313532928E-2</v>
      </c>
      <c r="F455">
        <f t="shared" si="36"/>
        <v>0.14838851505608808</v>
      </c>
      <c r="G455">
        <f t="shared" si="37"/>
        <v>5.3853895804619169E-2</v>
      </c>
      <c r="H455">
        <v>177.90128843338192</v>
      </c>
      <c r="I455">
        <v>162.98770131771641</v>
      </c>
      <c r="J455">
        <v>242.63557833089328</v>
      </c>
      <c r="K455">
        <f t="shared" si="38"/>
        <v>5.550933321412618</v>
      </c>
      <c r="L455">
        <f t="shared" si="39"/>
        <v>5.7271591387575027</v>
      </c>
    </row>
    <row r="456" spans="1:12" x14ac:dyDescent="0.3">
      <c r="A456">
        <v>5.8</v>
      </c>
      <c r="B456">
        <v>5.6</v>
      </c>
      <c r="C456">
        <v>5.3147877013177176</v>
      </c>
      <c r="D456">
        <v>5.4679355783308887</v>
      </c>
      <c r="E456">
        <f t="shared" si="35"/>
        <v>6.4079281612215516E-2</v>
      </c>
      <c r="F456">
        <f t="shared" si="36"/>
        <v>0.23543097479254424</v>
      </c>
      <c r="G456">
        <f t="shared" si="37"/>
        <v>1.7441011470796734E-2</v>
      </c>
      <c r="H456">
        <v>177.90128843338192</v>
      </c>
      <c r="I456">
        <v>162.98770131771641</v>
      </c>
      <c r="J456">
        <v>242.63557833089328</v>
      </c>
      <c r="K456">
        <f t="shared" si="38"/>
        <v>5.4870383856262288</v>
      </c>
      <c r="L456">
        <f t="shared" si="39"/>
        <v>5.6570199053946641</v>
      </c>
    </row>
    <row r="457" spans="1:12" x14ac:dyDescent="0.3">
      <c r="A457">
        <v>5.9</v>
      </c>
      <c r="B457">
        <v>6.4</v>
      </c>
      <c r="C457">
        <v>5.3147877013177176</v>
      </c>
      <c r="D457">
        <v>5.4679355783308887</v>
      </c>
      <c r="E457">
        <f t="shared" si="35"/>
        <v>0.54545556272495332</v>
      </c>
      <c r="F457">
        <f t="shared" si="36"/>
        <v>0.34247343452900131</v>
      </c>
      <c r="G457">
        <f t="shared" si="37"/>
        <v>0.86874408614137555</v>
      </c>
      <c r="H457">
        <v>177.90128843338192</v>
      </c>
      <c r="I457">
        <v>162.98770131771641</v>
      </c>
      <c r="J457">
        <v>242.63557833089328</v>
      </c>
      <c r="K457">
        <f t="shared" si="38"/>
        <v>6.1263112180164727</v>
      </c>
      <c r="L457">
        <f t="shared" si="39"/>
        <v>6.358767325932698</v>
      </c>
    </row>
    <row r="458" spans="1:12" x14ac:dyDescent="0.3">
      <c r="A458">
        <v>5.3</v>
      </c>
      <c r="B458">
        <v>5.4</v>
      </c>
      <c r="C458">
        <v>5.3147877013177176</v>
      </c>
      <c r="D458">
        <v>5.4679355783308887</v>
      </c>
      <c r="E458">
        <f t="shared" si="35"/>
        <v>1.0046110412035977E-3</v>
      </c>
      <c r="F458">
        <f t="shared" si="36"/>
        <v>2.1867611026203226E-4</v>
      </c>
      <c r="G458">
        <f t="shared" si="37"/>
        <v>4.615242803152269E-3</v>
      </c>
      <c r="H458">
        <v>177.90128843338192</v>
      </c>
      <c r="I458">
        <v>162.98770131771641</v>
      </c>
      <c r="J458">
        <v>242.63557833089328</v>
      </c>
      <c r="K458">
        <f t="shared" si="38"/>
        <v>5.2596048004207958</v>
      </c>
      <c r="L458">
        <f t="shared" si="39"/>
        <v>5.4073597858415132</v>
      </c>
    </row>
    <row r="459" spans="1:12" x14ac:dyDescent="0.3">
      <c r="A459">
        <v>5.4</v>
      </c>
      <c r="B459">
        <v>5.5</v>
      </c>
      <c r="C459">
        <v>5.3147877013177176</v>
      </c>
      <c r="D459">
        <v>5.4679355783308887</v>
      </c>
      <c r="E459">
        <f t="shared" si="35"/>
        <v>2.7322830763429691E-3</v>
      </c>
      <c r="F459">
        <f t="shared" si="36"/>
        <v>7.2611358467185661E-3</v>
      </c>
      <c r="G459">
        <f t="shared" si="37"/>
        <v>1.0281271369745727E-3</v>
      </c>
      <c r="H459">
        <v>177.90128843338192</v>
      </c>
      <c r="I459">
        <v>162.98770131771641</v>
      </c>
      <c r="J459">
        <v>242.63557833089328</v>
      </c>
      <c r="K459">
        <f t="shared" si="38"/>
        <v>5.3519693686736574</v>
      </c>
      <c r="L459">
        <f t="shared" si="39"/>
        <v>5.5087509200122016</v>
      </c>
    </row>
    <row r="460" spans="1:12" x14ac:dyDescent="0.3">
      <c r="A460">
        <v>4.8</v>
      </c>
      <c r="B460">
        <v>5.2</v>
      </c>
      <c r="C460">
        <v>5.3147877013177176</v>
      </c>
      <c r="D460">
        <v>5.4679355783308887</v>
      </c>
      <c r="E460">
        <f t="shared" si="35"/>
        <v>0.13792994047019144</v>
      </c>
      <c r="F460">
        <f t="shared" si="36"/>
        <v>0.26500637742797983</v>
      </c>
      <c r="G460">
        <f t="shared" si="37"/>
        <v>7.1789474135507708E-2</v>
      </c>
      <c r="H460">
        <v>177.90128843338192</v>
      </c>
      <c r="I460">
        <v>162.98770131771641</v>
      </c>
      <c r="J460">
        <v>242.63557833089328</v>
      </c>
      <c r="K460">
        <f t="shared" si="38"/>
        <v>5.032171215215361</v>
      </c>
      <c r="L460">
        <f t="shared" si="39"/>
        <v>5.1576996662883605</v>
      </c>
    </row>
    <row r="461" spans="1:12" x14ac:dyDescent="0.3">
      <c r="A461">
        <v>5.0999999999999996</v>
      </c>
      <c r="B461">
        <v>5.0999999999999996</v>
      </c>
      <c r="C461">
        <v>5.3147877013177176</v>
      </c>
      <c r="D461">
        <v>5.4679355783308887</v>
      </c>
      <c r="E461">
        <f t="shared" si="35"/>
        <v>7.9028037102696819E-2</v>
      </c>
      <c r="F461">
        <f t="shared" si="36"/>
        <v>4.613375663734922E-2</v>
      </c>
      <c r="G461">
        <f t="shared" si="37"/>
        <v>0.13537658980168582</v>
      </c>
      <c r="H461">
        <v>177.90128843338192</v>
      </c>
      <c r="I461">
        <v>162.98770131771641</v>
      </c>
      <c r="J461">
        <v>242.63557833089328</v>
      </c>
      <c r="K461">
        <f t="shared" si="38"/>
        <v>4.9967459118954443</v>
      </c>
      <c r="L461">
        <f t="shared" si="39"/>
        <v>5.1188123337333717</v>
      </c>
    </row>
    <row r="462" spans="1:12" x14ac:dyDescent="0.3">
      <c r="A462">
        <v>5.6</v>
      </c>
      <c r="B462">
        <v>5.6</v>
      </c>
      <c r="C462">
        <v>5.3147877013177176</v>
      </c>
      <c r="D462">
        <v>5.4679355783308887</v>
      </c>
      <c r="E462">
        <f t="shared" si="35"/>
        <v>3.7666397278393306E-2</v>
      </c>
      <c r="F462">
        <f t="shared" si="36"/>
        <v>8.1346055319631266E-2</v>
      </c>
      <c r="G462">
        <f t="shared" si="37"/>
        <v>1.7441011470796734E-2</v>
      </c>
      <c r="H462">
        <v>177.90128843338192</v>
      </c>
      <c r="I462">
        <v>162.98770131771641</v>
      </c>
      <c r="J462">
        <v>242.63557833089328</v>
      </c>
      <c r="K462">
        <f t="shared" si="38"/>
        <v>5.4585687531597555</v>
      </c>
      <c r="L462">
        <f t="shared" si="39"/>
        <v>5.6257680045868144</v>
      </c>
    </row>
    <row r="463" spans="1:12" x14ac:dyDescent="0.3">
      <c r="A463">
        <v>5.3</v>
      </c>
      <c r="B463">
        <v>5.2</v>
      </c>
      <c r="C463">
        <v>5.3147877013177176</v>
      </c>
      <c r="D463">
        <v>5.4679355783308887</v>
      </c>
      <c r="E463">
        <f t="shared" si="35"/>
        <v>3.9621513047471569E-3</v>
      </c>
      <c r="F463">
        <f t="shared" si="36"/>
        <v>2.1867611026203226E-4</v>
      </c>
      <c r="G463">
        <f t="shared" si="37"/>
        <v>7.1789474135507708E-2</v>
      </c>
      <c r="H463">
        <v>177.90128843338192</v>
      </c>
      <c r="I463">
        <v>162.98770131771641</v>
      </c>
      <c r="J463">
        <v>242.63557833089328</v>
      </c>
      <c r="K463">
        <f t="shared" si="38"/>
        <v>5.1033452963815442</v>
      </c>
      <c r="L463">
        <f t="shared" si="39"/>
        <v>5.2358294183079863</v>
      </c>
    </row>
    <row r="464" spans="1:12" x14ac:dyDescent="0.3">
      <c r="A464">
        <v>4.8</v>
      </c>
      <c r="B464">
        <v>5.3</v>
      </c>
      <c r="C464">
        <v>5.3147877013177176</v>
      </c>
      <c r="D464">
        <v>5.4679355783308887</v>
      </c>
      <c r="E464">
        <f t="shared" si="35"/>
        <v>8.6451170338419828E-2</v>
      </c>
      <c r="F464">
        <f t="shared" si="36"/>
        <v>0.26500637742797983</v>
      </c>
      <c r="G464">
        <f t="shared" si="37"/>
        <v>2.8202358469330124E-2</v>
      </c>
      <c r="H464">
        <v>177.90128843338192</v>
      </c>
      <c r="I464">
        <v>162.98770131771641</v>
      </c>
      <c r="J464">
        <v>242.63557833089328</v>
      </c>
      <c r="K464">
        <f t="shared" si="38"/>
        <v>5.1103009672349859</v>
      </c>
      <c r="L464">
        <f t="shared" si="39"/>
        <v>5.2434648500551235</v>
      </c>
    </row>
    <row r="465" spans="1:12" x14ac:dyDescent="0.3">
      <c r="A465">
        <v>5.6</v>
      </c>
      <c r="B465">
        <v>5.5</v>
      </c>
      <c r="C465">
        <v>5.3147877013177176</v>
      </c>
      <c r="D465">
        <v>5.4679355783308887</v>
      </c>
      <c r="E465">
        <f t="shared" si="35"/>
        <v>9.1451674101652013E-3</v>
      </c>
      <c r="F465">
        <f t="shared" si="36"/>
        <v>8.1346055319631266E-2</v>
      </c>
      <c r="G465">
        <f t="shared" si="37"/>
        <v>1.0281271369745727E-3</v>
      </c>
      <c r="H465">
        <v>177.90128843338192</v>
      </c>
      <c r="I465">
        <v>162.98770131771641</v>
      </c>
      <c r="J465">
        <v>242.63557833089328</v>
      </c>
      <c r="K465">
        <f t="shared" si="38"/>
        <v>5.3804390011401306</v>
      </c>
      <c r="L465">
        <f t="shared" si="39"/>
        <v>5.5400028208200514</v>
      </c>
    </row>
    <row r="466" spans="1:12" x14ac:dyDescent="0.3">
      <c r="A466">
        <v>5.6</v>
      </c>
      <c r="B466">
        <v>5.5</v>
      </c>
      <c r="C466">
        <v>5.3147877013177176</v>
      </c>
      <c r="D466">
        <v>5.4679355783308887</v>
      </c>
      <c r="E466">
        <f t="shared" si="35"/>
        <v>9.1451674101652013E-3</v>
      </c>
      <c r="F466">
        <f t="shared" si="36"/>
        <v>8.1346055319631266E-2</v>
      </c>
      <c r="G466">
        <f t="shared" si="37"/>
        <v>1.0281271369745727E-3</v>
      </c>
      <c r="H466">
        <v>177.90128843338192</v>
      </c>
      <c r="I466">
        <v>162.98770131771641</v>
      </c>
      <c r="J466">
        <v>242.63557833089328</v>
      </c>
      <c r="K466">
        <f t="shared" si="38"/>
        <v>5.3804390011401306</v>
      </c>
      <c r="L466">
        <f t="shared" si="39"/>
        <v>5.5400028208200514</v>
      </c>
    </row>
    <row r="467" spans="1:12" x14ac:dyDescent="0.3">
      <c r="A467">
        <v>4.9000000000000004</v>
      </c>
      <c r="B467">
        <v>5.4</v>
      </c>
      <c r="C467">
        <v>5.3147877013177176</v>
      </c>
      <c r="D467">
        <v>5.4679355783308887</v>
      </c>
      <c r="E467">
        <f t="shared" si="35"/>
        <v>2.8178842373558909E-2</v>
      </c>
      <c r="F467">
        <f t="shared" si="36"/>
        <v>0.17204883716443581</v>
      </c>
      <c r="G467">
        <f t="shared" si="37"/>
        <v>4.615242803152269E-3</v>
      </c>
      <c r="H467">
        <v>177.90128843338192</v>
      </c>
      <c r="I467">
        <v>162.98770131771641</v>
      </c>
      <c r="J467">
        <v>242.63557833089328</v>
      </c>
      <c r="K467">
        <f t="shared" si="38"/>
        <v>5.2026655354878493</v>
      </c>
      <c r="L467">
        <f t="shared" si="39"/>
        <v>5.3448559842258128</v>
      </c>
    </row>
    <row r="468" spans="1:12" x14ac:dyDescent="0.3">
      <c r="A468">
        <v>4.8</v>
      </c>
      <c r="B468">
        <v>5.0999999999999996</v>
      </c>
      <c r="C468">
        <v>5.3147877013177176</v>
      </c>
      <c r="D468">
        <v>5.4679355783308887</v>
      </c>
      <c r="E468">
        <f t="shared" si="35"/>
        <v>0.18940871060196349</v>
      </c>
      <c r="F468">
        <f t="shared" si="36"/>
        <v>0.26500637742797983</v>
      </c>
      <c r="G468">
        <f t="shared" si="37"/>
        <v>0.13537658980168582</v>
      </c>
      <c r="H468">
        <v>177.90128843338192</v>
      </c>
      <c r="I468">
        <v>162.98770131771641</v>
      </c>
      <c r="J468">
        <v>242.63557833089328</v>
      </c>
      <c r="K468">
        <f t="shared" si="38"/>
        <v>4.9540414631957344</v>
      </c>
      <c r="L468">
        <f t="shared" si="39"/>
        <v>5.0719344825215966</v>
      </c>
    </row>
    <row r="469" spans="1:12" x14ac:dyDescent="0.3">
      <c r="A469">
        <v>5.8</v>
      </c>
      <c r="B469">
        <v>5.9</v>
      </c>
      <c r="C469">
        <v>5.3147877013177176</v>
      </c>
      <c r="D469">
        <v>5.4679355783308887</v>
      </c>
      <c r="E469">
        <f t="shared" si="35"/>
        <v>0.20964297121690051</v>
      </c>
      <c r="F469">
        <f t="shared" si="36"/>
        <v>0.23543097479254424</v>
      </c>
      <c r="G469">
        <f t="shared" si="37"/>
        <v>0.18667966447226389</v>
      </c>
      <c r="H469">
        <v>177.90128843338192</v>
      </c>
      <c r="I469">
        <v>162.98770131771641</v>
      </c>
      <c r="J469">
        <v>242.63557833089328</v>
      </c>
      <c r="K469">
        <f t="shared" si="38"/>
        <v>5.7214276416851062</v>
      </c>
      <c r="L469">
        <f t="shared" si="39"/>
        <v>5.914315456694955</v>
      </c>
    </row>
    <row r="470" spans="1:12" x14ac:dyDescent="0.3">
      <c r="A470">
        <v>5.2</v>
      </c>
      <c r="B470">
        <v>5.5</v>
      </c>
      <c r="C470">
        <v>5.3147877013177176</v>
      </c>
      <c r="D470">
        <v>5.4679355783308887</v>
      </c>
      <c r="E470">
        <f t="shared" si="35"/>
        <v>-3.6806012574792917E-3</v>
      </c>
      <c r="F470">
        <f t="shared" si="36"/>
        <v>1.3176216373805507E-2</v>
      </c>
      <c r="G470">
        <f t="shared" si="37"/>
        <v>1.0281271369745727E-3</v>
      </c>
      <c r="H470">
        <v>177.90128843338192</v>
      </c>
      <c r="I470">
        <v>162.98770131771641</v>
      </c>
      <c r="J470">
        <v>242.63557833089328</v>
      </c>
      <c r="K470">
        <f t="shared" si="38"/>
        <v>5.3234997362071841</v>
      </c>
      <c r="L470">
        <f t="shared" si="39"/>
        <v>5.4774990192043509</v>
      </c>
    </row>
    <row r="471" spans="1:12" x14ac:dyDescent="0.3">
      <c r="A471">
        <v>5.2</v>
      </c>
      <c r="B471">
        <v>5.3</v>
      </c>
      <c r="C471">
        <v>5.3147877013177176</v>
      </c>
      <c r="D471">
        <v>5.4679355783308887</v>
      </c>
      <c r="E471">
        <f t="shared" si="35"/>
        <v>1.9276939006064215E-2</v>
      </c>
      <c r="F471">
        <f t="shared" si="36"/>
        <v>1.3176216373805507E-2</v>
      </c>
      <c r="G471">
        <f t="shared" si="37"/>
        <v>2.8202358469330124E-2</v>
      </c>
      <c r="H471">
        <v>177.90128843338192</v>
      </c>
      <c r="I471">
        <v>162.98770131771641</v>
      </c>
      <c r="J471">
        <v>242.63557833089328</v>
      </c>
      <c r="K471">
        <f t="shared" si="38"/>
        <v>5.1672402321679325</v>
      </c>
      <c r="L471">
        <f t="shared" si="39"/>
        <v>5.305968651670824</v>
      </c>
    </row>
    <row r="472" spans="1:12" x14ac:dyDescent="0.3">
      <c r="A472">
        <v>5.3</v>
      </c>
      <c r="B472">
        <v>5.5</v>
      </c>
      <c r="C472">
        <v>5.3147877013177176</v>
      </c>
      <c r="D472">
        <v>5.4679355783308887</v>
      </c>
      <c r="E472">
        <f t="shared" si="35"/>
        <v>-4.7415909056817545E-4</v>
      </c>
      <c r="F472">
        <f t="shared" si="36"/>
        <v>2.1867611026203226E-4</v>
      </c>
      <c r="G472">
        <f t="shared" si="37"/>
        <v>1.0281271369745727E-3</v>
      </c>
      <c r="H472">
        <v>177.90128843338192</v>
      </c>
      <c r="I472">
        <v>162.98770131771641</v>
      </c>
      <c r="J472">
        <v>242.63557833089328</v>
      </c>
      <c r="K472">
        <f t="shared" si="38"/>
        <v>5.3377345524404198</v>
      </c>
      <c r="L472">
        <f t="shared" si="39"/>
        <v>5.4931249696082753</v>
      </c>
    </row>
    <row r="473" spans="1:12" x14ac:dyDescent="0.3">
      <c r="A473">
        <v>4.5999999999999996</v>
      </c>
      <c r="B473">
        <v>4.8</v>
      </c>
      <c r="C473">
        <v>5.3147877013177176</v>
      </c>
      <c r="D473">
        <v>5.4679355783308887</v>
      </c>
      <c r="E473">
        <f t="shared" si="35"/>
        <v>0.47743213666345663</v>
      </c>
      <c r="F473">
        <f t="shared" si="36"/>
        <v>0.51092145795506716</v>
      </c>
      <c r="G473">
        <f t="shared" si="37"/>
        <v>0.44613793680021901</v>
      </c>
      <c r="H473">
        <v>177.90128843338192</v>
      </c>
      <c r="I473">
        <v>162.98770131771641</v>
      </c>
      <c r="J473">
        <v>242.63557833089328</v>
      </c>
      <c r="K473">
        <f t="shared" si="38"/>
        <v>4.6911825746703837</v>
      </c>
      <c r="L473">
        <f t="shared" si="39"/>
        <v>4.7833870304134551</v>
      </c>
    </row>
    <row r="474" spans="1:12" x14ac:dyDescent="0.3">
      <c r="A474">
        <v>5.9</v>
      </c>
      <c r="B474">
        <v>6.7</v>
      </c>
      <c r="C474">
        <v>5.3147877013177176</v>
      </c>
      <c r="D474">
        <v>5.4679355783308887</v>
      </c>
      <c r="E474">
        <f t="shared" si="35"/>
        <v>0.72101925232963804</v>
      </c>
      <c r="F474">
        <f t="shared" si="36"/>
        <v>0.34247343452900131</v>
      </c>
      <c r="G474">
        <f t="shared" si="37"/>
        <v>1.517982739142842</v>
      </c>
      <c r="H474">
        <v>177.90128843338192</v>
      </c>
      <c r="I474">
        <v>162.98770131771641</v>
      </c>
      <c r="J474">
        <v>242.63557833089328</v>
      </c>
      <c r="K474">
        <f t="shared" si="38"/>
        <v>6.3607004740753492</v>
      </c>
      <c r="L474">
        <f t="shared" si="39"/>
        <v>6.6160628772329879</v>
      </c>
    </row>
    <row r="475" spans="1:12" x14ac:dyDescent="0.3">
      <c r="A475">
        <v>5.0999999999999996</v>
      </c>
      <c r="B475">
        <v>4.9000000000000004</v>
      </c>
      <c r="C475">
        <v>5.3147877013177176</v>
      </c>
      <c r="D475">
        <v>5.4679355783308887</v>
      </c>
      <c r="E475">
        <f t="shared" si="35"/>
        <v>0.12198557736624026</v>
      </c>
      <c r="F475">
        <f t="shared" si="36"/>
        <v>4.613375663734922E-2</v>
      </c>
      <c r="G475">
        <f t="shared" si="37"/>
        <v>0.32255082113404066</v>
      </c>
      <c r="H475">
        <v>177.90128843338192</v>
      </c>
      <c r="I475">
        <v>162.98770131771641</v>
      </c>
      <c r="J475">
        <v>242.63557833089328</v>
      </c>
      <c r="K475">
        <f t="shared" si="38"/>
        <v>4.8404864078561927</v>
      </c>
      <c r="L475">
        <f t="shared" si="39"/>
        <v>4.9472819661998448</v>
      </c>
    </row>
    <row r="476" spans="1:12" x14ac:dyDescent="0.3">
      <c r="A476">
        <v>5.0999999999999996</v>
      </c>
      <c r="B476">
        <v>5.5</v>
      </c>
      <c r="C476">
        <v>5.3147877013177176</v>
      </c>
      <c r="D476">
        <v>5.4679355783308887</v>
      </c>
      <c r="E476">
        <f t="shared" si="35"/>
        <v>-6.8870434243904367E-3</v>
      </c>
      <c r="F476">
        <f t="shared" si="36"/>
        <v>4.613375663734922E-2</v>
      </c>
      <c r="G476">
        <f t="shared" si="37"/>
        <v>1.0281271369745727E-3</v>
      </c>
      <c r="H476">
        <v>177.90128843338192</v>
      </c>
      <c r="I476">
        <v>162.98770131771641</v>
      </c>
      <c r="J476">
        <v>242.63557833089328</v>
      </c>
      <c r="K476">
        <f t="shared" si="38"/>
        <v>5.3092649199739474</v>
      </c>
      <c r="L476">
        <f t="shared" si="39"/>
        <v>5.4618730688004256</v>
      </c>
    </row>
    <row r="477" spans="1:12" x14ac:dyDescent="0.3">
      <c r="A477">
        <v>5</v>
      </c>
      <c r="B477">
        <v>5.4</v>
      </c>
      <c r="C477">
        <v>5.3147877013177176</v>
      </c>
      <c r="D477">
        <v>5.4679355783308887</v>
      </c>
      <c r="E477">
        <f t="shared" si="35"/>
        <v>2.1385284540470097E-2</v>
      </c>
      <c r="F477">
        <f t="shared" si="36"/>
        <v>9.9091296900892592E-2</v>
      </c>
      <c r="G477">
        <f t="shared" si="37"/>
        <v>4.615242803152269E-3</v>
      </c>
      <c r="H477">
        <v>177.90128843338192</v>
      </c>
      <c r="I477">
        <v>162.98770131771641</v>
      </c>
      <c r="J477">
        <v>242.63557833089328</v>
      </c>
      <c r="K477">
        <f t="shared" si="38"/>
        <v>5.2169003517210859</v>
      </c>
      <c r="L477">
        <f t="shared" si="39"/>
        <v>5.3604819346297381</v>
      </c>
    </row>
    <row r="478" spans="1:12" x14ac:dyDescent="0.3">
      <c r="A478">
        <v>5.3</v>
      </c>
      <c r="B478">
        <v>5.4</v>
      </c>
      <c r="C478">
        <v>5.3147877013177176</v>
      </c>
      <c r="D478">
        <v>5.4679355783308887</v>
      </c>
      <c r="E478">
        <f t="shared" si="35"/>
        <v>1.0046110412035977E-3</v>
      </c>
      <c r="F478">
        <f t="shared" si="36"/>
        <v>2.1867611026203226E-4</v>
      </c>
      <c r="G478">
        <f t="shared" si="37"/>
        <v>4.615242803152269E-3</v>
      </c>
      <c r="H478">
        <v>177.90128843338192</v>
      </c>
      <c r="I478">
        <v>162.98770131771641</v>
      </c>
      <c r="J478">
        <v>242.63557833089328</v>
      </c>
      <c r="K478">
        <f t="shared" si="38"/>
        <v>5.2596048004207958</v>
      </c>
      <c r="L478">
        <f t="shared" si="39"/>
        <v>5.4073597858415132</v>
      </c>
    </row>
    <row r="479" spans="1:12" x14ac:dyDescent="0.3">
      <c r="A479">
        <v>5.5</v>
      </c>
      <c r="B479">
        <v>5.3</v>
      </c>
      <c r="C479">
        <v>5.3147877013177176</v>
      </c>
      <c r="D479">
        <v>5.4679355783308887</v>
      </c>
      <c r="E479">
        <f t="shared" si="35"/>
        <v>-3.1103734493202428E-2</v>
      </c>
      <c r="F479">
        <f t="shared" si="36"/>
        <v>3.4303595583174987E-2</v>
      </c>
      <c r="G479">
        <f t="shared" si="37"/>
        <v>2.8202358469330124E-2</v>
      </c>
      <c r="H479">
        <v>177.90128843338192</v>
      </c>
      <c r="I479">
        <v>162.98770131771641</v>
      </c>
      <c r="J479">
        <v>242.63557833089328</v>
      </c>
      <c r="K479">
        <f t="shared" si="38"/>
        <v>5.2099446808676424</v>
      </c>
      <c r="L479">
        <f t="shared" si="39"/>
        <v>5.3528465028826</v>
      </c>
    </row>
    <row r="480" spans="1:12" x14ac:dyDescent="0.3">
      <c r="A480">
        <v>5.3</v>
      </c>
      <c r="B480">
        <v>5.4</v>
      </c>
      <c r="C480">
        <v>5.3147877013177176</v>
      </c>
      <c r="D480">
        <v>5.4679355783308887</v>
      </c>
      <c r="E480">
        <f t="shared" si="35"/>
        <v>1.0046110412035977E-3</v>
      </c>
      <c r="F480">
        <f t="shared" si="36"/>
        <v>2.1867611026203226E-4</v>
      </c>
      <c r="G480">
        <f t="shared" si="37"/>
        <v>4.615242803152269E-3</v>
      </c>
      <c r="H480">
        <v>177.90128843338192</v>
      </c>
      <c r="I480">
        <v>162.98770131771641</v>
      </c>
      <c r="J480">
        <v>242.63557833089328</v>
      </c>
      <c r="K480">
        <f t="shared" si="38"/>
        <v>5.2596048004207958</v>
      </c>
      <c r="L480">
        <f t="shared" si="39"/>
        <v>5.4073597858415132</v>
      </c>
    </row>
    <row r="481" spans="1:12" x14ac:dyDescent="0.3">
      <c r="A481">
        <v>4.9000000000000004</v>
      </c>
      <c r="B481">
        <v>5.5</v>
      </c>
      <c r="C481">
        <v>5.3147877013177176</v>
      </c>
      <c r="D481">
        <v>5.4679355783308887</v>
      </c>
      <c r="E481">
        <f t="shared" si="35"/>
        <v>-1.3299927758212669E-2</v>
      </c>
      <c r="F481">
        <f t="shared" si="36"/>
        <v>0.17204883716443581</v>
      </c>
      <c r="G481">
        <f t="shared" si="37"/>
        <v>1.0281271369745727E-3</v>
      </c>
      <c r="H481">
        <v>177.90128843338192</v>
      </c>
      <c r="I481">
        <v>162.98770131771641</v>
      </c>
      <c r="J481">
        <v>242.63557833089328</v>
      </c>
      <c r="K481">
        <f t="shared" si="38"/>
        <v>5.2807952875074742</v>
      </c>
      <c r="L481">
        <f t="shared" si="39"/>
        <v>5.4306211679925749</v>
      </c>
    </row>
    <row r="482" spans="1:12" x14ac:dyDescent="0.3">
      <c r="A482">
        <v>5</v>
      </c>
      <c r="B482">
        <v>4.8</v>
      </c>
      <c r="C482">
        <v>5.3147877013177176</v>
      </c>
      <c r="D482">
        <v>5.4679355783308887</v>
      </c>
      <c r="E482">
        <f t="shared" si="35"/>
        <v>0.21025790533110084</v>
      </c>
      <c r="F482">
        <f t="shared" si="36"/>
        <v>9.9091296900892592E-2</v>
      </c>
      <c r="G482">
        <f t="shared" si="37"/>
        <v>0.44613793680021901</v>
      </c>
      <c r="H482">
        <v>177.90128843338192</v>
      </c>
      <c r="I482">
        <v>162.98770131771641</v>
      </c>
      <c r="J482">
        <v>242.63557833089328</v>
      </c>
      <c r="K482">
        <f t="shared" si="38"/>
        <v>4.7481218396033302</v>
      </c>
      <c r="L482">
        <f t="shared" si="39"/>
        <v>4.8458908320291565</v>
      </c>
    </row>
    <row r="483" spans="1:12" x14ac:dyDescent="0.3">
      <c r="A483">
        <v>6</v>
      </c>
      <c r="B483">
        <v>6.1</v>
      </c>
      <c r="C483">
        <v>5.3147877013177176</v>
      </c>
      <c r="D483">
        <v>5.4679355783308887</v>
      </c>
      <c r="E483">
        <f t="shared" si="35"/>
        <v>0.4330983152871789</v>
      </c>
      <c r="F483">
        <f t="shared" si="36"/>
        <v>0.46951589426545737</v>
      </c>
      <c r="G483">
        <f t="shared" si="37"/>
        <v>0.39950543313990766</v>
      </c>
      <c r="H483">
        <v>177.90128843338192</v>
      </c>
      <c r="I483">
        <v>162.98770131771641</v>
      </c>
      <c r="J483">
        <v>242.63557833089328</v>
      </c>
      <c r="K483">
        <f t="shared" si="38"/>
        <v>5.906156778190832</v>
      </c>
      <c r="L483">
        <f t="shared" si="39"/>
        <v>6.1170977250363334</v>
      </c>
    </row>
    <row r="484" spans="1:12" x14ac:dyDescent="0.3">
      <c r="A484">
        <v>5.0999999999999996</v>
      </c>
      <c r="B484">
        <v>5.7</v>
      </c>
      <c r="C484">
        <v>5.3147877013177176</v>
      </c>
      <c r="D484">
        <v>5.4679355783308887</v>
      </c>
      <c r="E484">
        <f t="shared" si="35"/>
        <v>-4.9844583687934069E-2</v>
      </c>
      <c r="F484">
        <f t="shared" si="36"/>
        <v>4.613375663734922E-2</v>
      </c>
      <c r="G484">
        <f t="shared" si="37"/>
        <v>5.3853895804619169E-2</v>
      </c>
      <c r="H484">
        <v>177.90128843338192</v>
      </c>
      <c r="I484">
        <v>162.98770131771641</v>
      </c>
      <c r="J484">
        <v>242.63557833089328</v>
      </c>
      <c r="K484">
        <f t="shared" si="38"/>
        <v>5.465524424013199</v>
      </c>
      <c r="L484">
        <f t="shared" si="39"/>
        <v>5.6334034363339525</v>
      </c>
    </row>
    <row r="485" spans="1:12" x14ac:dyDescent="0.3">
      <c r="A485">
        <v>5.7</v>
      </c>
      <c r="B485">
        <v>5.4</v>
      </c>
      <c r="C485">
        <v>5.3147877013177176</v>
      </c>
      <c r="D485">
        <v>5.4679355783308887</v>
      </c>
      <c r="E485">
        <f t="shared" si="35"/>
        <v>-2.6169620291151774E-2</v>
      </c>
      <c r="F485">
        <f t="shared" si="36"/>
        <v>0.14838851505608808</v>
      </c>
      <c r="G485">
        <f t="shared" si="37"/>
        <v>4.615242803152269E-3</v>
      </c>
      <c r="H485">
        <v>177.90128843338192</v>
      </c>
      <c r="I485">
        <v>162.98770131771641</v>
      </c>
      <c r="J485">
        <v>242.63557833089328</v>
      </c>
      <c r="K485">
        <f t="shared" si="38"/>
        <v>5.3165440653537424</v>
      </c>
      <c r="L485">
        <f t="shared" si="39"/>
        <v>5.4698635874572146</v>
      </c>
    </row>
    <row r="486" spans="1:12" x14ac:dyDescent="0.3">
      <c r="A486">
        <v>6</v>
      </c>
      <c r="B486">
        <v>5.8</v>
      </c>
      <c r="C486">
        <v>5.3147877013177176</v>
      </c>
      <c r="D486">
        <v>5.4679355783308887</v>
      </c>
      <c r="E486">
        <f t="shared" si="35"/>
        <v>0.22753462568249433</v>
      </c>
      <c r="F486">
        <f t="shared" si="36"/>
        <v>0.46951589426545737</v>
      </c>
      <c r="G486">
        <f t="shared" si="37"/>
        <v>0.11026678013844123</v>
      </c>
      <c r="H486">
        <v>177.90128843338192</v>
      </c>
      <c r="I486">
        <v>162.98770131771641</v>
      </c>
      <c r="J486">
        <v>242.63557833089328</v>
      </c>
      <c r="K486">
        <f t="shared" si="38"/>
        <v>5.6717675221319537</v>
      </c>
      <c r="L486">
        <f t="shared" si="39"/>
        <v>5.8598021737360417</v>
      </c>
    </row>
    <row r="487" spans="1:12" x14ac:dyDescent="0.3">
      <c r="A487">
        <v>5.2</v>
      </c>
      <c r="B487">
        <v>5.4</v>
      </c>
      <c r="C487">
        <v>5.3147877013177176</v>
      </c>
      <c r="D487">
        <v>5.4679355783308887</v>
      </c>
      <c r="E487">
        <f t="shared" si="35"/>
        <v>7.7981688742924105E-3</v>
      </c>
      <c r="F487">
        <f t="shared" si="36"/>
        <v>1.3176216373805507E-2</v>
      </c>
      <c r="G487">
        <f t="shared" si="37"/>
        <v>4.615242803152269E-3</v>
      </c>
      <c r="H487">
        <v>177.90128843338192</v>
      </c>
      <c r="I487">
        <v>162.98770131771641</v>
      </c>
      <c r="J487">
        <v>242.63557833089328</v>
      </c>
      <c r="K487">
        <f t="shared" si="38"/>
        <v>5.2453699841875583</v>
      </c>
      <c r="L487">
        <f t="shared" si="39"/>
        <v>5.391733835437587</v>
      </c>
    </row>
    <row r="488" spans="1:12" x14ac:dyDescent="0.3">
      <c r="A488">
        <v>5.4</v>
      </c>
      <c r="B488">
        <v>5.6</v>
      </c>
      <c r="C488">
        <v>5.3147877013177176</v>
      </c>
      <c r="D488">
        <v>5.4679355783308887</v>
      </c>
      <c r="E488">
        <f t="shared" si="35"/>
        <v>1.1253512944571213E-2</v>
      </c>
      <c r="F488">
        <f t="shared" si="36"/>
        <v>7.2611358467185661E-3</v>
      </c>
      <c r="G488">
        <f t="shared" si="37"/>
        <v>1.7441011470796734E-2</v>
      </c>
      <c r="H488">
        <v>177.90128843338192</v>
      </c>
      <c r="I488">
        <v>162.98770131771641</v>
      </c>
      <c r="J488">
        <v>242.63557833089328</v>
      </c>
      <c r="K488">
        <f t="shared" si="38"/>
        <v>5.4300991206932823</v>
      </c>
      <c r="L488">
        <f t="shared" si="39"/>
        <v>5.5945161037789637</v>
      </c>
    </row>
    <row r="489" spans="1:12" x14ac:dyDescent="0.3">
      <c r="A489">
        <v>5.0999999999999996</v>
      </c>
      <c r="B489">
        <v>5.4</v>
      </c>
      <c r="C489">
        <v>5.3147877013177176</v>
      </c>
      <c r="D489">
        <v>5.4679355783308887</v>
      </c>
      <c r="E489">
        <f t="shared" si="35"/>
        <v>1.4591726707381283E-2</v>
      </c>
      <c r="F489">
        <f t="shared" si="36"/>
        <v>4.613375663734922E-2</v>
      </c>
      <c r="G489">
        <f t="shared" si="37"/>
        <v>4.615242803152269E-3</v>
      </c>
      <c r="H489">
        <v>177.90128843338192</v>
      </c>
      <c r="I489">
        <v>162.98770131771641</v>
      </c>
      <c r="J489">
        <v>242.63557833089328</v>
      </c>
      <c r="K489">
        <f t="shared" si="38"/>
        <v>5.2311351679543217</v>
      </c>
      <c r="L489">
        <f t="shared" si="39"/>
        <v>5.3761078850336625</v>
      </c>
    </row>
    <row r="490" spans="1:12" x14ac:dyDescent="0.3">
      <c r="A490">
        <v>4.5</v>
      </c>
      <c r="B490">
        <v>4.7</v>
      </c>
      <c r="C490">
        <v>5.3147877013177176</v>
      </c>
      <c r="D490">
        <v>5.4679355783308887</v>
      </c>
      <c r="E490">
        <f t="shared" si="35"/>
        <v>0.62570446462831675</v>
      </c>
      <c r="F490">
        <f t="shared" si="36"/>
        <v>0.66387899821861018</v>
      </c>
      <c r="G490">
        <f t="shared" si="37"/>
        <v>0.58972505246639628</v>
      </c>
      <c r="H490">
        <v>177.90128843338192</v>
      </c>
      <c r="I490">
        <v>162.98770131771641</v>
      </c>
      <c r="J490">
        <v>242.63557833089328</v>
      </c>
      <c r="K490">
        <f t="shared" si="38"/>
        <v>4.5988180064175221</v>
      </c>
      <c r="L490">
        <f t="shared" si="39"/>
        <v>4.6819958962427677</v>
      </c>
    </row>
    <row r="491" spans="1:12" x14ac:dyDescent="0.3">
      <c r="A491">
        <v>5.3</v>
      </c>
      <c r="B491">
        <v>5.7</v>
      </c>
      <c r="C491">
        <v>5.3147877013177176</v>
      </c>
      <c r="D491">
        <v>5.4679355783308887</v>
      </c>
      <c r="E491">
        <f t="shared" si="35"/>
        <v>-3.4316993541117346E-3</v>
      </c>
      <c r="F491">
        <f t="shared" si="36"/>
        <v>2.1867611026203226E-4</v>
      </c>
      <c r="G491">
        <f t="shared" si="37"/>
        <v>5.3853895804619169E-2</v>
      </c>
      <c r="H491">
        <v>177.90128843338192</v>
      </c>
      <c r="I491">
        <v>162.98770131771641</v>
      </c>
      <c r="J491">
        <v>242.63557833089328</v>
      </c>
      <c r="K491">
        <f t="shared" si="38"/>
        <v>5.4939940564796714</v>
      </c>
      <c r="L491">
        <f t="shared" si="39"/>
        <v>5.6646553371418022</v>
      </c>
    </row>
    <row r="492" spans="1:12" x14ac:dyDescent="0.3">
      <c r="A492">
        <v>6</v>
      </c>
      <c r="B492">
        <v>6</v>
      </c>
      <c r="C492">
        <v>5.3147877013177176</v>
      </c>
      <c r="D492">
        <v>5.4679355783308887</v>
      </c>
      <c r="E492">
        <f t="shared" si="35"/>
        <v>0.3645770854189509</v>
      </c>
      <c r="F492">
        <f t="shared" si="36"/>
        <v>0.46951589426545737</v>
      </c>
      <c r="G492">
        <f t="shared" si="37"/>
        <v>0.28309254880608586</v>
      </c>
      <c r="H492">
        <v>177.90128843338192</v>
      </c>
      <c r="I492">
        <v>162.98770131771641</v>
      </c>
      <c r="J492">
        <v>242.63557833089328</v>
      </c>
      <c r="K492">
        <f t="shared" si="38"/>
        <v>5.8280270261712062</v>
      </c>
      <c r="L492">
        <f t="shared" si="39"/>
        <v>6.0313325412695695</v>
      </c>
    </row>
    <row r="493" spans="1:12" x14ac:dyDescent="0.3">
      <c r="A493">
        <v>5.6</v>
      </c>
      <c r="B493">
        <v>5.8</v>
      </c>
      <c r="C493">
        <v>5.3147877013177176</v>
      </c>
      <c r="D493">
        <v>5.4679355783308887</v>
      </c>
      <c r="E493">
        <f t="shared" si="35"/>
        <v>9.4708857014849768E-2</v>
      </c>
      <c r="F493">
        <f t="shared" si="36"/>
        <v>8.1346055319631266E-2</v>
      </c>
      <c r="G493">
        <f t="shared" si="37"/>
        <v>0.11026678013844123</v>
      </c>
      <c r="H493">
        <v>177.90128843338192</v>
      </c>
      <c r="I493">
        <v>162.98770131771641</v>
      </c>
      <c r="J493">
        <v>242.63557833089328</v>
      </c>
      <c r="K493">
        <f t="shared" si="38"/>
        <v>5.6148282571990071</v>
      </c>
      <c r="L493">
        <f t="shared" si="39"/>
        <v>5.7972983721203413</v>
      </c>
    </row>
    <row r="494" spans="1:12" x14ac:dyDescent="0.3">
      <c r="A494">
        <v>5.5</v>
      </c>
      <c r="B494">
        <v>5.7</v>
      </c>
      <c r="C494">
        <v>5.3147877013177176</v>
      </c>
      <c r="D494">
        <v>5.4679355783308887</v>
      </c>
      <c r="E494">
        <f t="shared" si="35"/>
        <v>4.2981184979710596E-2</v>
      </c>
      <c r="F494">
        <f t="shared" si="36"/>
        <v>3.4303595583174987E-2</v>
      </c>
      <c r="G494">
        <f t="shared" si="37"/>
        <v>5.3853895804619169E-2</v>
      </c>
      <c r="H494">
        <v>177.90128843338192</v>
      </c>
      <c r="I494">
        <v>162.98770131771641</v>
      </c>
      <c r="J494">
        <v>242.63557833089328</v>
      </c>
      <c r="K494">
        <f t="shared" si="38"/>
        <v>5.5224636889461456</v>
      </c>
      <c r="L494">
        <f t="shared" si="39"/>
        <v>5.6959072379496538</v>
      </c>
    </row>
    <row r="495" spans="1:12" x14ac:dyDescent="0.3">
      <c r="A495">
        <v>5.9</v>
      </c>
      <c r="B495">
        <v>6.4</v>
      </c>
      <c r="C495">
        <v>5.3147877013177176</v>
      </c>
      <c r="D495">
        <v>5.4679355783308887</v>
      </c>
      <c r="E495">
        <f t="shared" si="35"/>
        <v>0.54545556272495332</v>
      </c>
      <c r="F495">
        <f t="shared" si="36"/>
        <v>0.34247343452900131</v>
      </c>
      <c r="G495">
        <f t="shared" si="37"/>
        <v>0.86874408614137555</v>
      </c>
      <c r="H495">
        <v>177.90128843338192</v>
      </c>
      <c r="I495">
        <v>162.98770131771641</v>
      </c>
      <c r="J495">
        <v>242.63557833089328</v>
      </c>
      <c r="K495">
        <f t="shared" si="38"/>
        <v>6.1263112180164727</v>
      </c>
      <c r="L495">
        <f t="shared" si="39"/>
        <v>6.358767325932698</v>
      </c>
    </row>
    <row r="496" spans="1:12" x14ac:dyDescent="0.3">
      <c r="A496">
        <v>5.4</v>
      </c>
      <c r="B496">
        <v>5.3</v>
      </c>
      <c r="C496">
        <v>5.3147877013177176</v>
      </c>
      <c r="D496">
        <v>5.4679355783308887</v>
      </c>
      <c r="E496">
        <f t="shared" si="35"/>
        <v>-1.4310176660113597E-2</v>
      </c>
      <c r="F496">
        <f t="shared" si="36"/>
        <v>7.2611358467185661E-3</v>
      </c>
      <c r="G496">
        <f t="shared" si="37"/>
        <v>2.8202358469330124E-2</v>
      </c>
      <c r="H496">
        <v>177.90128843338192</v>
      </c>
      <c r="I496">
        <v>162.98770131771641</v>
      </c>
      <c r="J496">
        <v>242.63557833089328</v>
      </c>
      <c r="K496">
        <f t="shared" si="38"/>
        <v>5.1957098646344058</v>
      </c>
      <c r="L496">
        <f t="shared" si="39"/>
        <v>5.3372205524786747</v>
      </c>
    </row>
    <row r="497" spans="1:12" x14ac:dyDescent="0.3">
      <c r="A497">
        <v>5.2</v>
      </c>
      <c r="B497">
        <v>5.5</v>
      </c>
      <c r="C497">
        <v>5.3147877013177176</v>
      </c>
      <c r="D497">
        <v>5.4679355783308887</v>
      </c>
      <c r="E497">
        <f t="shared" si="35"/>
        <v>-3.6806012574792917E-3</v>
      </c>
      <c r="F497">
        <f t="shared" si="36"/>
        <v>1.3176216373805507E-2</v>
      </c>
      <c r="G497">
        <f t="shared" si="37"/>
        <v>1.0281271369745727E-3</v>
      </c>
      <c r="H497">
        <v>177.90128843338192</v>
      </c>
      <c r="I497">
        <v>162.98770131771641</v>
      </c>
      <c r="J497">
        <v>242.63557833089328</v>
      </c>
      <c r="K497">
        <f t="shared" si="38"/>
        <v>5.3234997362071841</v>
      </c>
      <c r="L497">
        <f t="shared" si="39"/>
        <v>5.4774990192043509</v>
      </c>
    </row>
    <row r="498" spans="1:12" x14ac:dyDescent="0.3">
      <c r="A498">
        <v>5.2</v>
      </c>
      <c r="B498">
        <v>5</v>
      </c>
      <c r="C498">
        <v>5.3147877013177176</v>
      </c>
      <c r="D498">
        <v>5.4679355783308887</v>
      </c>
      <c r="E498">
        <f t="shared" si="35"/>
        <v>5.371324940137942E-2</v>
      </c>
      <c r="F498">
        <f t="shared" si="36"/>
        <v>1.3176216373805507E-2</v>
      </c>
      <c r="G498">
        <f t="shared" si="37"/>
        <v>0.21896370546786328</v>
      </c>
      <c r="H498">
        <v>177.90128843338192</v>
      </c>
      <c r="I498">
        <v>162.98770131771641</v>
      </c>
      <c r="J498">
        <v>242.63557833089328</v>
      </c>
      <c r="K498">
        <f t="shared" si="38"/>
        <v>4.9328509761090551</v>
      </c>
      <c r="L498">
        <f t="shared" si="39"/>
        <v>5.0486731003705341</v>
      </c>
    </row>
    <row r="499" spans="1:12" x14ac:dyDescent="0.3">
      <c r="A499">
        <v>4.7</v>
      </c>
      <c r="B499">
        <v>5.2</v>
      </c>
      <c r="C499">
        <v>5.3147877013177176</v>
      </c>
      <c r="D499">
        <v>5.4679355783308887</v>
      </c>
      <c r="E499">
        <f t="shared" si="35"/>
        <v>0.1647234983032802</v>
      </c>
      <c r="F499">
        <f t="shared" si="36"/>
        <v>0.37796391769152293</v>
      </c>
      <c r="G499">
        <f t="shared" si="37"/>
        <v>7.1789474135507708E-2</v>
      </c>
      <c r="H499">
        <v>177.90128843338192</v>
      </c>
      <c r="I499">
        <v>162.98770131771641</v>
      </c>
      <c r="J499">
        <v>242.63557833089328</v>
      </c>
      <c r="K499">
        <f t="shared" si="38"/>
        <v>5.0179363989821244</v>
      </c>
      <c r="L499">
        <f t="shared" si="39"/>
        <v>5.1420737158844352</v>
      </c>
    </row>
    <row r="500" spans="1:12" x14ac:dyDescent="0.3">
      <c r="A500">
        <v>5</v>
      </c>
      <c r="B500">
        <v>5.0999999999999996</v>
      </c>
      <c r="C500">
        <v>5.3147877013177176</v>
      </c>
      <c r="D500">
        <v>5.4679355783308887</v>
      </c>
      <c r="E500">
        <f t="shared" si="35"/>
        <v>0.1158215949357856</v>
      </c>
      <c r="F500">
        <f t="shared" si="36"/>
        <v>9.9091296900892592E-2</v>
      </c>
      <c r="G500">
        <f t="shared" si="37"/>
        <v>0.13537658980168582</v>
      </c>
      <c r="H500">
        <v>177.90128843338192</v>
      </c>
      <c r="I500">
        <v>162.98770131771641</v>
      </c>
      <c r="J500">
        <v>242.63557833089328</v>
      </c>
      <c r="K500">
        <f t="shared" si="38"/>
        <v>4.9825110956622076</v>
      </c>
      <c r="L500">
        <f t="shared" si="39"/>
        <v>5.1031863833294464</v>
      </c>
    </row>
    <row r="501" spans="1:12" x14ac:dyDescent="0.3">
      <c r="A501">
        <v>4.8</v>
      </c>
      <c r="B501">
        <v>5</v>
      </c>
      <c r="C501">
        <v>5.3147877013177176</v>
      </c>
      <c r="D501">
        <v>5.4679355783308887</v>
      </c>
      <c r="E501">
        <f t="shared" si="35"/>
        <v>0.24088748073373509</v>
      </c>
      <c r="F501">
        <f t="shared" si="36"/>
        <v>0.26500637742797983</v>
      </c>
      <c r="G501">
        <f t="shared" si="37"/>
        <v>0.21896370546786328</v>
      </c>
      <c r="H501">
        <v>177.90128843338192</v>
      </c>
      <c r="I501">
        <v>162.98770131771641</v>
      </c>
      <c r="J501">
        <v>242.63557833089328</v>
      </c>
      <c r="K501">
        <f t="shared" si="38"/>
        <v>4.8759117111761086</v>
      </c>
      <c r="L501">
        <f t="shared" si="39"/>
        <v>4.9861692987548327</v>
      </c>
    </row>
    <row r="502" spans="1:12" x14ac:dyDescent="0.3">
      <c r="A502">
        <v>4.9000000000000004</v>
      </c>
      <c r="B502">
        <v>5.3</v>
      </c>
      <c r="C502">
        <v>5.3147877013177176</v>
      </c>
      <c r="D502">
        <v>5.4679355783308887</v>
      </c>
      <c r="E502">
        <f t="shared" si="35"/>
        <v>6.9657612505330854E-2</v>
      </c>
      <c r="F502">
        <f t="shared" si="36"/>
        <v>0.17204883716443581</v>
      </c>
      <c r="G502">
        <f t="shared" si="37"/>
        <v>2.8202358469330124E-2</v>
      </c>
      <c r="H502">
        <v>177.90128843338192</v>
      </c>
      <c r="I502">
        <v>162.98770131771641</v>
      </c>
      <c r="J502">
        <v>242.63557833089328</v>
      </c>
      <c r="K502">
        <f t="shared" si="38"/>
        <v>5.1245357834682226</v>
      </c>
      <c r="L502">
        <f t="shared" si="39"/>
        <v>5.259090800459048</v>
      </c>
    </row>
    <row r="503" spans="1:12" x14ac:dyDescent="0.3">
      <c r="A503">
        <v>5.3</v>
      </c>
      <c r="B503">
        <v>5.3</v>
      </c>
      <c r="C503">
        <v>5.3147877013177176</v>
      </c>
      <c r="D503">
        <v>5.4679355783308887</v>
      </c>
      <c r="E503">
        <f t="shared" si="35"/>
        <v>2.4833811729753838E-3</v>
      </c>
      <c r="F503">
        <f t="shared" si="36"/>
        <v>2.1867611026203226E-4</v>
      </c>
      <c r="G503">
        <f t="shared" si="37"/>
        <v>2.8202358469330124E-2</v>
      </c>
      <c r="H503">
        <v>177.90128843338192</v>
      </c>
      <c r="I503">
        <v>162.98770131771641</v>
      </c>
      <c r="J503">
        <v>242.63557833089328</v>
      </c>
      <c r="K503">
        <f t="shared" si="38"/>
        <v>5.1814750484011682</v>
      </c>
      <c r="L503">
        <f t="shared" si="39"/>
        <v>5.3215946020747484</v>
      </c>
    </row>
    <row r="504" spans="1:12" x14ac:dyDescent="0.3">
      <c r="A504">
        <v>4.8</v>
      </c>
      <c r="B504">
        <v>5</v>
      </c>
      <c r="C504">
        <v>5.3147877013177176</v>
      </c>
      <c r="D504">
        <v>5.4679355783308887</v>
      </c>
      <c r="E504">
        <f t="shared" si="35"/>
        <v>0.24088748073373509</v>
      </c>
      <c r="F504">
        <f t="shared" si="36"/>
        <v>0.26500637742797983</v>
      </c>
      <c r="G504">
        <f t="shared" si="37"/>
        <v>0.21896370546786328</v>
      </c>
      <c r="H504">
        <v>177.90128843338192</v>
      </c>
      <c r="I504">
        <v>162.98770131771641</v>
      </c>
      <c r="J504">
        <v>242.63557833089328</v>
      </c>
      <c r="K504">
        <f t="shared" si="38"/>
        <v>4.8759117111761086</v>
      </c>
      <c r="L504">
        <f t="shared" si="39"/>
        <v>4.9861692987548327</v>
      </c>
    </row>
    <row r="505" spans="1:12" x14ac:dyDescent="0.3">
      <c r="A505">
        <v>5.3</v>
      </c>
      <c r="B505">
        <v>5.2</v>
      </c>
      <c r="C505">
        <v>5.3147877013177176</v>
      </c>
      <c r="D505">
        <v>5.4679355783308887</v>
      </c>
      <c r="E505">
        <f t="shared" si="35"/>
        <v>3.9621513047471569E-3</v>
      </c>
      <c r="F505">
        <f t="shared" si="36"/>
        <v>2.1867611026203226E-4</v>
      </c>
      <c r="G505">
        <f t="shared" si="37"/>
        <v>7.1789474135507708E-2</v>
      </c>
      <c r="H505">
        <v>177.90128843338192</v>
      </c>
      <c r="I505">
        <v>162.98770131771641</v>
      </c>
      <c r="J505">
        <v>242.63557833089328</v>
      </c>
      <c r="K505">
        <f t="shared" si="38"/>
        <v>5.1033452963815442</v>
      </c>
      <c r="L505">
        <f t="shared" si="39"/>
        <v>5.2358294183079863</v>
      </c>
    </row>
    <row r="506" spans="1:12" x14ac:dyDescent="0.3">
      <c r="A506">
        <v>5.7</v>
      </c>
      <c r="B506">
        <v>5.9</v>
      </c>
      <c r="C506">
        <v>5.3147877013177176</v>
      </c>
      <c r="D506">
        <v>5.4679355783308887</v>
      </c>
      <c r="E506">
        <f t="shared" si="35"/>
        <v>0.16643652904998951</v>
      </c>
      <c r="F506">
        <f t="shared" si="36"/>
        <v>0.14838851505608808</v>
      </c>
      <c r="G506">
        <f t="shared" si="37"/>
        <v>0.18667966447226389</v>
      </c>
      <c r="H506">
        <v>177.90128843338192</v>
      </c>
      <c r="I506">
        <v>162.98770131771641</v>
      </c>
      <c r="J506">
        <v>242.63557833089328</v>
      </c>
      <c r="K506">
        <f t="shared" si="38"/>
        <v>5.7071928254518696</v>
      </c>
      <c r="L506">
        <f t="shared" si="39"/>
        <v>5.8986895062910296</v>
      </c>
    </row>
    <row r="507" spans="1:12" x14ac:dyDescent="0.3">
      <c r="A507">
        <v>6</v>
      </c>
      <c r="B507">
        <v>5.8</v>
      </c>
      <c r="C507">
        <v>5.3147877013177176</v>
      </c>
      <c r="D507">
        <v>5.4679355783308887</v>
      </c>
      <c r="E507">
        <f t="shared" si="35"/>
        <v>0.22753462568249433</v>
      </c>
      <c r="F507">
        <f t="shared" si="36"/>
        <v>0.46951589426545737</v>
      </c>
      <c r="G507">
        <f t="shared" si="37"/>
        <v>0.11026678013844123</v>
      </c>
      <c r="H507">
        <v>177.90128843338192</v>
      </c>
      <c r="I507">
        <v>162.98770131771641</v>
      </c>
      <c r="J507">
        <v>242.63557833089328</v>
      </c>
      <c r="K507">
        <f t="shared" si="38"/>
        <v>5.6717675221319537</v>
      </c>
      <c r="L507">
        <f t="shared" si="39"/>
        <v>5.8598021737360417</v>
      </c>
    </row>
    <row r="508" spans="1:12" x14ac:dyDescent="0.3">
      <c r="A508">
        <v>5.3</v>
      </c>
      <c r="B508">
        <v>5.4</v>
      </c>
      <c r="C508">
        <v>5.3147877013177176</v>
      </c>
      <c r="D508">
        <v>5.4679355783308887</v>
      </c>
      <c r="E508">
        <f t="shared" si="35"/>
        <v>1.0046110412035977E-3</v>
      </c>
      <c r="F508">
        <f t="shared" si="36"/>
        <v>2.1867611026203226E-4</v>
      </c>
      <c r="G508">
        <f t="shared" si="37"/>
        <v>4.615242803152269E-3</v>
      </c>
      <c r="H508">
        <v>177.90128843338192</v>
      </c>
      <c r="I508">
        <v>162.98770131771641</v>
      </c>
      <c r="J508">
        <v>242.63557833089328</v>
      </c>
      <c r="K508">
        <f t="shared" si="38"/>
        <v>5.2596048004207958</v>
      </c>
      <c r="L508">
        <f t="shared" si="39"/>
        <v>5.4073597858415132</v>
      </c>
    </row>
    <row r="509" spans="1:12" x14ac:dyDescent="0.3">
      <c r="A509">
        <v>5.4</v>
      </c>
      <c r="B509">
        <v>5.3</v>
      </c>
      <c r="C509">
        <v>5.3147877013177176</v>
      </c>
      <c r="D509">
        <v>5.4679355783308887</v>
      </c>
      <c r="E509">
        <f t="shared" si="35"/>
        <v>-1.4310176660113597E-2</v>
      </c>
      <c r="F509">
        <f t="shared" si="36"/>
        <v>7.2611358467185661E-3</v>
      </c>
      <c r="G509">
        <f t="shared" si="37"/>
        <v>2.8202358469330124E-2</v>
      </c>
      <c r="H509">
        <v>177.90128843338192</v>
      </c>
      <c r="I509">
        <v>162.98770131771641</v>
      </c>
      <c r="J509">
        <v>242.63557833089328</v>
      </c>
      <c r="K509">
        <f t="shared" si="38"/>
        <v>5.1957098646344058</v>
      </c>
      <c r="L509">
        <f t="shared" si="39"/>
        <v>5.3372205524786747</v>
      </c>
    </row>
    <row r="510" spans="1:12" x14ac:dyDescent="0.3">
      <c r="A510">
        <v>5.7</v>
      </c>
      <c r="B510">
        <v>6.2</v>
      </c>
      <c r="C510">
        <v>5.3147877013177176</v>
      </c>
      <c r="D510">
        <v>5.4679355783308887</v>
      </c>
      <c r="E510">
        <f t="shared" si="35"/>
        <v>0.28200021865467423</v>
      </c>
      <c r="F510">
        <f t="shared" si="36"/>
        <v>0.14838851505608808</v>
      </c>
      <c r="G510">
        <f t="shared" si="37"/>
        <v>0.53591831747373064</v>
      </c>
      <c r="H510">
        <v>177.90128843338192</v>
      </c>
      <c r="I510">
        <v>162.98770131771641</v>
      </c>
      <c r="J510">
        <v>242.63557833089328</v>
      </c>
      <c r="K510">
        <f t="shared" si="38"/>
        <v>5.941582081510747</v>
      </c>
      <c r="L510">
        <f t="shared" si="39"/>
        <v>6.1559850575913204</v>
      </c>
    </row>
    <row r="511" spans="1:12" x14ac:dyDescent="0.3">
      <c r="A511">
        <v>5.7</v>
      </c>
      <c r="B511">
        <v>6.1</v>
      </c>
      <c r="C511">
        <v>5.3147877013177176</v>
      </c>
      <c r="D511">
        <v>5.4679355783308887</v>
      </c>
      <c r="E511">
        <f t="shared" si="35"/>
        <v>0.24347898878644575</v>
      </c>
      <c r="F511">
        <f t="shared" si="36"/>
        <v>0.14838851505608808</v>
      </c>
      <c r="G511">
        <f t="shared" si="37"/>
        <v>0.39950543313990766</v>
      </c>
      <c r="H511">
        <v>177.90128843338192</v>
      </c>
      <c r="I511">
        <v>162.98770131771641</v>
      </c>
      <c r="J511">
        <v>242.63557833089328</v>
      </c>
      <c r="K511">
        <f t="shared" si="38"/>
        <v>5.8634523294911212</v>
      </c>
      <c r="L511">
        <f t="shared" si="39"/>
        <v>6.0702198738245565</v>
      </c>
    </row>
    <row r="512" spans="1:12" x14ac:dyDescent="0.3">
      <c r="A512">
        <v>4.7</v>
      </c>
      <c r="B512">
        <v>4.8</v>
      </c>
      <c r="C512">
        <v>5.3147877013177176</v>
      </c>
      <c r="D512">
        <v>5.4679355783308887</v>
      </c>
      <c r="E512">
        <f t="shared" si="35"/>
        <v>0.41063857883036736</v>
      </c>
      <c r="F512">
        <f t="shared" si="36"/>
        <v>0.37796391769152293</v>
      </c>
      <c r="G512">
        <f t="shared" si="37"/>
        <v>0.44613793680021901</v>
      </c>
      <c r="H512">
        <v>177.90128843338192</v>
      </c>
      <c r="I512">
        <v>162.98770131771641</v>
      </c>
      <c r="J512">
        <v>242.63557833089328</v>
      </c>
      <c r="K512">
        <f t="shared" si="38"/>
        <v>4.7054173909036203</v>
      </c>
      <c r="L512">
        <f t="shared" si="39"/>
        <v>4.7990129808173805</v>
      </c>
    </row>
    <row r="513" spans="1:12" x14ac:dyDescent="0.3">
      <c r="A513">
        <v>5.4</v>
      </c>
      <c r="B513">
        <v>5</v>
      </c>
      <c r="C513">
        <v>5.3147877013177176</v>
      </c>
      <c r="D513">
        <v>5.4679355783308887</v>
      </c>
      <c r="E513">
        <f t="shared" si="35"/>
        <v>-3.9873866264798406E-2</v>
      </c>
      <c r="F513">
        <f t="shared" si="36"/>
        <v>7.2611358467185661E-3</v>
      </c>
      <c r="G513">
        <f t="shared" si="37"/>
        <v>0.21896370546786328</v>
      </c>
      <c r="H513">
        <v>177.90128843338192</v>
      </c>
      <c r="I513">
        <v>162.98770131771641</v>
      </c>
      <c r="J513">
        <v>242.63557833089328</v>
      </c>
      <c r="K513">
        <f t="shared" si="38"/>
        <v>4.9613206085755284</v>
      </c>
      <c r="L513">
        <f t="shared" si="39"/>
        <v>5.0799250011783839</v>
      </c>
    </row>
    <row r="514" spans="1:12" x14ac:dyDescent="0.3">
      <c r="A514">
        <v>5.2</v>
      </c>
      <c r="B514">
        <v>5.4</v>
      </c>
      <c r="C514">
        <v>5.3147877013177176</v>
      </c>
      <c r="D514">
        <v>5.4679355783308887</v>
      </c>
      <c r="E514">
        <f t="shared" si="35"/>
        <v>7.7981688742924105E-3</v>
      </c>
      <c r="F514">
        <f t="shared" si="36"/>
        <v>1.3176216373805507E-2</v>
      </c>
      <c r="G514">
        <f t="shared" si="37"/>
        <v>4.615242803152269E-3</v>
      </c>
      <c r="H514">
        <v>177.90128843338192</v>
      </c>
      <c r="I514">
        <v>162.98770131771641</v>
      </c>
      <c r="J514">
        <v>242.63557833089328</v>
      </c>
      <c r="K514">
        <f t="shared" si="38"/>
        <v>5.2453699841875583</v>
      </c>
      <c r="L514">
        <f t="shared" si="39"/>
        <v>5.391733835437587</v>
      </c>
    </row>
    <row r="515" spans="1:12" x14ac:dyDescent="0.3">
      <c r="A515">
        <v>6.1</v>
      </c>
      <c r="B515">
        <v>6.1</v>
      </c>
      <c r="C515">
        <v>5.3147877013177176</v>
      </c>
      <c r="D515">
        <v>5.4679355783308887</v>
      </c>
      <c r="E515">
        <f t="shared" ref="E515:E578" si="40">(A515-C515)*(B515-D515)</f>
        <v>0.49630475745408981</v>
      </c>
      <c r="F515">
        <f t="shared" ref="F515:F578" si="41">(A515-C515)^2</f>
        <v>0.61655835400191328</v>
      </c>
      <c r="G515">
        <f t="shared" ref="G515:G578" si="42">(B515-D515)^2</f>
        <v>0.39950543313990766</v>
      </c>
      <c r="H515">
        <v>177.90128843338192</v>
      </c>
      <c r="I515">
        <v>162.98770131771641</v>
      </c>
      <c r="J515">
        <v>242.63557833089328</v>
      </c>
      <c r="K515">
        <f t="shared" ref="K515:K578" si="43">(1.097727582*(B515+0.366253474)+0.2*A515)/(0.2+1.097727582^2)</f>
        <v>5.9203915944240677</v>
      </c>
      <c r="L515">
        <f t="shared" ref="L515:L578" si="44">1.097727582*K515-0.366253474</f>
        <v>6.132723675440257</v>
      </c>
    </row>
    <row r="516" spans="1:12" x14ac:dyDescent="0.3">
      <c r="A516">
        <v>5</v>
      </c>
      <c r="B516">
        <v>5.0999999999999996</v>
      </c>
      <c r="C516">
        <v>5.3147877013177176</v>
      </c>
      <c r="D516">
        <v>5.4679355783308887</v>
      </c>
      <c r="E516">
        <f t="shared" si="40"/>
        <v>0.1158215949357856</v>
      </c>
      <c r="F516">
        <f t="shared" si="41"/>
        <v>9.9091296900892592E-2</v>
      </c>
      <c r="G516">
        <f t="shared" si="42"/>
        <v>0.13537658980168582</v>
      </c>
      <c r="H516">
        <v>177.90128843338192</v>
      </c>
      <c r="I516">
        <v>162.98770131771641</v>
      </c>
      <c r="J516">
        <v>242.63557833089328</v>
      </c>
      <c r="K516">
        <f t="shared" si="43"/>
        <v>4.9825110956622076</v>
      </c>
      <c r="L516">
        <f t="shared" si="44"/>
        <v>5.1031863833294464</v>
      </c>
    </row>
    <row r="517" spans="1:12" x14ac:dyDescent="0.3">
      <c r="A517">
        <v>4.8</v>
      </c>
      <c r="B517">
        <v>5.3</v>
      </c>
      <c r="C517">
        <v>5.3147877013177176</v>
      </c>
      <c r="D517">
        <v>5.4679355783308887</v>
      </c>
      <c r="E517">
        <f t="shared" si="40"/>
        <v>8.6451170338419828E-2</v>
      </c>
      <c r="F517">
        <f t="shared" si="41"/>
        <v>0.26500637742797983</v>
      </c>
      <c r="G517">
        <f t="shared" si="42"/>
        <v>2.8202358469330124E-2</v>
      </c>
      <c r="H517">
        <v>177.90128843338192</v>
      </c>
      <c r="I517">
        <v>162.98770131771641</v>
      </c>
      <c r="J517">
        <v>242.63557833089328</v>
      </c>
      <c r="K517">
        <f t="shared" si="43"/>
        <v>5.1103009672349859</v>
      </c>
      <c r="L517">
        <f t="shared" si="44"/>
        <v>5.2434648500551235</v>
      </c>
    </row>
    <row r="518" spans="1:12" x14ac:dyDescent="0.3">
      <c r="A518">
        <v>5.3</v>
      </c>
      <c r="B518">
        <v>5.0999999999999996</v>
      </c>
      <c r="C518">
        <v>5.3147877013177176</v>
      </c>
      <c r="D518">
        <v>5.4679355783308887</v>
      </c>
      <c r="E518">
        <f t="shared" si="40"/>
        <v>5.440921436518943E-3</v>
      </c>
      <c r="F518">
        <f t="shared" si="41"/>
        <v>2.1867611026203226E-4</v>
      </c>
      <c r="G518">
        <f t="shared" si="42"/>
        <v>0.13537658980168582</v>
      </c>
      <c r="H518">
        <v>177.90128843338192</v>
      </c>
      <c r="I518">
        <v>162.98770131771641</v>
      </c>
      <c r="J518">
        <v>242.63557833089328</v>
      </c>
      <c r="K518">
        <f t="shared" si="43"/>
        <v>5.0252155443619166</v>
      </c>
      <c r="L518">
        <f t="shared" si="44"/>
        <v>5.1500642345412215</v>
      </c>
    </row>
    <row r="519" spans="1:12" x14ac:dyDescent="0.3">
      <c r="A519">
        <v>5</v>
      </c>
      <c r="B519">
        <v>5.3</v>
      </c>
      <c r="C519">
        <v>5.3147877013177176</v>
      </c>
      <c r="D519">
        <v>5.4679355783308887</v>
      </c>
      <c r="E519">
        <f t="shared" si="40"/>
        <v>5.2864054672242027E-2</v>
      </c>
      <c r="F519">
        <f t="shared" si="41"/>
        <v>9.9091296900892592E-2</v>
      </c>
      <c r="G519">
        <f t="shared" si="42"/>
        <v>2.8202358469330124E-2</v>
      </c>
      <c r="H519">
        <v>177.90128843338192</v>
      </c>
      <c r="I519">
        <v>162.98770131771641</v>
      </c>
      <c r="J519">
        <v>242.63557833089328</v>
      </c>
      <c r="K519">
        <f t="shared" si="43"/>
        <v>5.1387705997014592</v>
      </c>
      <c r="L519">
        <f t="shared" si="44"/>
        <v>5.2747167508629733</v>
      </c>
    </row>
    <row r="520" spans="1:12" x14ac:dyDescent="0.3">
      <c r="A520">
        <v>5</v>
      </c>
      <c r="B520">
        <v>5.2</v>
      </c>
      <c r="C520">
        <v>5.3147877013177176</v>
      </c>
      <c r="D520">
        <v>5.4679355783308887</v>
      </c>
      <c r="E520">
        <f t="shared" si="40"/>
        <v>8.4342824804013672E-2</v>
      </c>
      <c r="F520">
        <f t="shared" si="41"/>
        <v>9.9091296900892592E-2</v>
      </c>
      <c r="G520">
        <f t="shared" si="42"/>
        <v>7.1789474135507708E-2</v>
      </c>
      <c r="H520">
        <v>177.90128843338192</v>
      </c>
      <c r="I520">
        <v>162.98770131771641</v>
      </c>
      <c r="J520">
        <v>242.63557833089328</v>
      </c>
      <c r="K520">
        <f t="shared" si="43"/>
        <v>5.0606408476818334</v>
      </c>
      <c r="L520">
        <f t="shared" si="44"/>
        <v>5.1889515670962103</v>
      </c>
    </row>
    <row r="521" spans="1:12" x14ac:dyDescent="0.3">
      <c r="A521">
        <v>4.7</v>
      </c>
      <c r="B521">
        <v>4.8</v>
      </c>
      <c r="C521">
        <v>5.3147877013177176</v>
      </c>
      <c r="D521">
        <v>5.4679355783308887</v>
      </c>
      <c r="E521">
        <f t="shared" si="40"/>
        <v>0.41063857883036736</v>
      </c>
      <c r="F521">
        <f t="shared" si="41"/>
        <v>0.37796391769152293</v>
      </c>
      <c r="G521">
        <f t="shared" si="42"/>
        <v>0.44613793680021901</v>
      </c>
      <c r="H521">
        <v>177.90128843338192</v>
      </c>
      <c r="I521">
        <v>162.98770131771641</v>
      </c>
      <c r="J521">
        <v>242.63557833089328</v>
      </c>
      <c r="K521">
        <f t="shared" si="43"/>
        <v>4.7054173909036203</v>
      </c>
      <c r="L521">
        <f t="shared" si="44"/>
        <v>4.7990129808173805</v>
      </c>
    </row>
    <row r="522" spans="1:12" x14ac:dyDescent="0.3">
      <c r="A522">
        <v>5.3</v>
      </c>
      <c r="B522">
        <v>5.2</v>
      </c>
      <c r="C522">
        <v>5.3147877013177176</v>
      </c>
      <c r="D522">
        <v>5.4679355783308887</v>
      </c>
      <c r="E522">
        <f t="shared" si="40"/>
        <v>3.9621513047471569E-3</v>
      </c>
      <c r="F522">
        <f t="shared" si="41"/>
        <v>2.1867611026203226E-4</v>
      </c>
      <c r="G522">
        <f t="shared" si="42"/>
        <v>7.1789474135507708E-2</v>
      </c>
      <c r="H522">
        <v>177.90128843338192</v>
      </c>
      <c r="I522">
        <v>162.98770131771641</v>
      </c>
      <c r="J522">
        <v>242.63557833089328</v>
      </c>
      <c r="K522">
        <f t="shared" si="43"/>
        <v>5.1033452963815442</v>
      </c>
      <c r="L522">
        <f t="shared" si="44"/>
        <v>5.2358294183079863</v>
      </c>
    </row>
    <row r="523" spans="1:12" x14ac:dyDescent="0.3">
      <c r="A523">
        <v>5.0999999999999996</v>
      </c>
      <c r="B523">
        <v>5.3</v>
      </c>
      <c r="C523">
        <v>5.3147877013177176</v>
      </c>
      <c r="D523">
        <v>5.4679355783308887</v>
      </c>
      <c r="E523">
        <f t="shared" si="40"/>
        <v>3.6070496839153192E-2</v>
      </c>
      <c r="F523">
        <f t="shared" si="41"/>
        <v>4.613375663734922E-2</v>
      </c>
      <c r="G523">
        <f t="shared" si="42"/>
        <v>2.8202358469330124E-2</v>
      </c>
      <c r="H523">
        <v>177.90128843338192</v>
      </c>
      <c r="I523">
        <v>162.98770131771641</v>
      </c>
      <c r="J523">
        <v>242.63557833089328</v>
      </c>
      <c r="K523">
        <f t="shared" si="43"/>
        <v>5.1530054159346959</v>
      </c>
      <c r="L523">
        <f t="shared" si="44"/>
        <v>5.2903427012668987</v>
      </c>
    </row>
    <row r="524" spans="1:12" x14ac:dyDescent="0.3">
      <c r="A524">
        <v>5.9</v>
      </c>
      <c r="B524">
        <v>5.7</v>
      </c>
      <c r="C524">
        <v>5.3147877013177176</v>
      </c>
      <c r="D524">
        <v>5.4679355783308887</v>
      </c>
      <c r="E524">
        <f t="shared" si="40"/>
        <v>0.13580695364735526</v>
      </c>
      <c r="F524">
        <f t="shared" si="41"/>
        <v>0.34247343452900131</v>
      </c>
      <c r="G524">
        <f t="shared" si="42"/>
        <v>5.3853895804619169E-2</v>
      </c>
      <c r="H524">
        <v>177.90128843338192</v>
      </c>
      <c r="I524">
        <v>162.98770131771641</v>
      </c>
      <c r="J524">
        <v>242.63557833089328</v>
      </c>
      <c r="K524">
        <f t="shared" si="43"/>
        <v>5.5794029538790921</v>
      </c>
      <c r="L524">
        <f t="shared" si="44"/>
        <v>5.7584110395653543</v>
      </c>
    </row>
    <row r="525" spans="1:12" x14ac:dyDescent="0.3">
      <c r="A525">
        <v>5.4</v>
      </c>
      <c r="B525">
        <v>5.3</v>
      </c>
      <c r="C525">
        <v>5.3147877013177176</v>
      </c>
      <c r="D525">
        <v>5.4679355783308887</v>
      </c>
      <c r="E525">
        <f t="shared" si="40"/>
        <v>-1.4310176660113597E-2</v>
      </c>
      <c r="F525">
        <f t="shared" si="41"/>
        <v>7.2611358467185661E-3</v>
      </c>
      <c r="G525">
        <f t="shared" si="42"/>
        <v>2.8202358469330124E-2</v>
      </c>
      <c r="H525">
        <v>177.90128843338192</v>
      </c>
      <c r="I525">
        <v>162.98770131771641</v>
      </c>
      <c r="J525">
        <v>242.63557833089328</v>
      </c>
      <c r="K525">
        <f t="shared" si="43"/>
        <v>5.1957098646344058</v>
      </c>
      <c r="L525">
        <f t="shared" si="44"/>
        <v>5.3372205524786747</v>
      </c>
    </row>
    <row r="526" spans="1:12" x14ac:dyDescent="0.3">
      <c r="A526">
        <v>5</v>
      </c>
      <c r="B526">
        <v>4.9000000000000004</v>
      </c>
      <c r="C526">
        <v>5.3147877013177176</v>
      </c>
      <c r="D526">
        <v>5.4679355783308887</v>
      </c>
      <c r="E526">
        <f t="shared" si="40"/>
        <v>0.17877913519932889</v>
      </c>
      <c r="F526">
        <f t="shared" si="41"/>
        <v>9.9091296900892592E-2</v>
      </c>
      <c r="G526">
        <f t="shared" si="42"/>
        <v>0.32255082113404066</v>
      </c>
      <c r="H526">
        <v>177.90128843338192</v>
      </c>
      <c r="I526">
        <v>162.98770131771641</v>
      </c>
      <c r="J526">
        <v>242.63557833089328</v>
      </c>
      <c r="K526">
        <f t="shared" si="43"/>
        <v>4.826251591622956</v>
      </c>
      <c r="L526">
        <f t="shared" si="44"/>
        <v>4.9316560157959195</v>
      </c>
    </row>
    <row r="527" spans="1:12" x14ac:dyDescent="0.3">
      <c r="A527">
        <v>5.3</v>
      </c>
      <c r="B527">
        <v>5.2</v>
      </c>
      <c r="C527">
        <v>5.3147877013177176</v>
      </c>
      <c r="D527">
        <v>5.4679355783308887</v>
      </c>
      <c r="E527">
        <f t="shared" si="40"/>
        <v>3.9621513047471569E-3</v>
      </c>
      <c r="F527">
        <f t="shared" si="41"/>
        <v>2.1867611026203226E-4</v>
      </c>
      <c r="G527">
        <f t="shared" si="42"/>
        <v>7.1789474135507708E-2</v>
      </c>
      <c r="H527">
        <v>177.90128843338192</v>
      </c>
      <c r="I527">
        <v>162.98770131771641</v>
      </c>
      <c r="J527">
        <v>242.63557833089328</v>
      </c>
      <c r="K527">
        <f t="shared" si="43"/>
        <v>5.1033452963815442</v>
      </c>
      <c r="L527">
        <f t="shared" si="44"/>
        <v>5.2358294183079863</v>
      </c>
    </row>
    <row r="528" spans="1:12" x14ac:dyDescent="0.3">
      <c r="A528">
        <v>5.0999999999999996</v>
      </c>
      <c r="B528">
        <v>5.0999999999999996</v>
      </c>
      <c r="C528">
        <v>5.3147877013177176</v>
      </c>
      <c r="D528">
        <v>5.4679355783308887</v>
      </c>
      <c r="E528">
        <f t="shared" si="40"/>
        <v>7.9028037102696819E-2</v>
      </c>
      <c r="F528">
        <f t="shared" si="41"/>
        <v>4.613375663734922E-2</v>
      </c>
      <c r="G528">
        <f t="shared" si="42"/>
        <v>0.13537658980168582</v>
      </c>
      <c r="H528">
        <v>177.90128843338192</v>
      </c>
      <c r="I528">
        <v>162.98770131771641</v>
      </c>
      <c r="J528">
        <v>242.63557833089328</v>
      </c>
      <c r="K528">
        <f t="shared" si="43"/>
        <v>4.9967459118954443</v>
      </c>
      <c r="L528">
        <f t="shared" si="44"/>
        <v>5.1188123337333717</v>
      </c>
    </row>
    <row r="529" spans="1:12" x14ac:dyDescent="0.3">
      <c r="A529">
        <v>5</v>
      </c>
      <c r="B529">
        <v>5.0999999999999996</v>
      </c>
      <c r="C529">
        <v>5.3147877013177176</v>
      </c>
      <c r="D529">
        <v>5.4679355783308887</v>
      </c>
      <c r="E529">
        <f t="shared" si="40"/>
        <v>0.1158215949357856</v>
      </c>
      <c r="F529">
        <f t="shared" si="41"/>
        <v>9.9091296900892592E-2</v>
      </c>
      <c r="G529">
        <f t="shared" si="42"/>
        <v>0.13537658980168582</v>
      </c>
      <c r="H529">
        <v>177.90128843338192</v>
      </c>
      <c r="I529">
        <v>162.98770131771641</v>
      </c>
      <c r="J529">
        <v>242.63557833089328</v>
      </c>
      <c r="K529">
        <f t="shared" si="43"/>
        <v>4.9825110956622076</v>
      </c>
      <c r="L529">
        <f t="shared" si="44"/>
        <v>5.1031863833294464</v>
      </c>
    </row>
    <row r="530" spans="1:12" x14ac:dyDescent="0.3">
      <c r="A530">
        <v>5.7</v>
      </c>
      <c r="B530">
        <v>5.7</v>
      </c>
      <c r="C530">
        <v>5.3147877013177176</v>
      </c>
      <c r="D530">
        <v>5.4679355783308887</v>
      </c>
      <c r="E530">
        <f t="shared" si="40"/>
        <v>8.9394069313532928E-2</v>
      </c>
      <c r="F530">
        <f t="shared" si="41"/>
        <v>0.14838851505608808</v>
      </c>
      <c r="G530">
        <f t="shared" si="42"/>
        <v>5.3853895804619169E-2</v>
      </c>
      <c r="H530">
        <v>177.90128843338192</v>
      </c>
      <c r="I530">
        <v>162.98770131771641</v>
      </c>
      <c r="J530">
        <v>242.63557833089328</v>
      </c>
      <c r="K530">
        <f t="shared" si="43"/>
        <v>5.550933321412618</v>
      </c>
      <c r="L530">
        <f t="shared" si="44"/>
        <v>5.7271591387575027</v>
      </c>
    </row>
    <row r="531" spans="1:12" x14ac:dyDescent="0.3">
      <c r="A531">
        <v>5.5</v>
      </c>
      <c r="B531">
        <v>5.7</v>
      </c>
      <c r="C531">
        <v>5.3147877013177176</v>
      </c>
      <c r="D531">
        <v>5.4679355783308887</v>
      </c>
      <c r="E531">
        <f t="shared" si="40"/>
        <v>4.2981184979710596E-2</v>
      </c>
      <c r="F531">
        <f t="shared" si="41"/>
        <v>3.4303595583174987E-2</v>
      </c>
      <c r="G531">
        <f t="shared" si="42"/>
        <v>5.3853895804619169E-2</v>
      </c>
      <c r="H531">
        <v>177.90128843338192</v>
      </c>
      <c r="I531">
        <v>162.98770131771641</v>
      </c>
      <c r="J531">
        <v>242.63557833089328</v>
      </c>
      <c r="K531">
        <f t="shared" si="43"/>
        <v>5.5224636889461456</v>
      </c>
      <c r="L531">
        <f t="shared" si="44"/>
        <v>5.6959072379496538</v>
      </c>
    </row>
    <row r="532" spans="1:12" x14ac:dyDescent="0.3">
      <c r="A532">
        <v>5.3</v>
      </c>
      <c r="B532">
        <v>5</v>
      </c>
      <c r="C532">
        <v>5.3147877013177176</v>
      </c>
      <c r="D532">
        <v>5.4679355783308887</v>
      </c>
      <c r="E532">
        <f t="shared" si="40"/>
        <v>6.9196915682907161E-3</v>
      </c>
      <c r="F532">
        <f t="shared" si="41"/>
        <v>2.1867611026203226E-4</v>
      </c>
      <c r="G532">
        <f t="shared" si="42"/>
        <v>0.21896370546786328</v>
      </c>
      <c r="H532">
        <v>177.90128843338192</v>
      </c>
      <c r="I532">
        <v>162.98770131771641</v>
      </c>
      <c r="J532">
        <v>242.63557833089328</v>
      </c>
      <c r="K532">
        <f t="shared" si="43"/>
        <v>4.9470857923422926</v>
      </c>
      <c r="L532">
        <f t="shared" si="44"/>
        <v>5.0642990507744594</v>
      </c>
    </row>
    <row r="533" spans="1:12" x14ac:dyDescent="0.3">
      <c r="A533">
        <v>5.8</v>
      </c>
      <c r="B533">
        <v>5.7</v>
      </c>
      <c r="C533">
        <v>5.3147877013177176</v>
      </c>
      <c r="D533">
        <v>5.4679355783308887</v>
      </c>
      <c r="E533">
        <f t="shared" si="40"/>
        <v>0.11260051148044399</v>
      </c>
      <c r="F533">
        <f t="shared" si="41"/>
        <v>0.23543097479254424</v>
      </c>
      <c r="G533">
        <f t="shared" si="42"/>
        <v>5.3853895804619169E-2</v>
      </c>
      <c r="H533">
        <v>177.90128843338192</v>
      </c>
      <c r="I533">
        <v>162.98770131771641</v>
      </c>
      <c r="J533">
        <v>242.63557833089328</v>
      </c>
      <c r="K533">
        <f t="shared" si="43"/>
        <v>5.5651681376458555</v>
      </c>
      <c r="L533">
        <f t="shared" si="44"/>
        <v>5.7427850891614289</v>
      </c>
    </row>
    <row r="534" spans="1:12" x14ac:dyDescent="0.3">
      <c r="A534">
        <v>6</v>
      </c>
      <c r="B534">
        <v>6</v>
      </c>
      <c r="C534">
        <v>5.3147877013177176</v>
      </c>
      <c r="D534">
        <v>5.4679355783308887</v>
      </c>
      <c r="E534">
        <f t="shared" si="40"/>
        <v>0.3645770854189509</v>
      </c>
      <c r="F534">
        <f t="shared" si="41"/>
        <v>0.46951589426545737</v>
      </c>
      <c r="G534">
        <f t="shared" si="42"/>
        <v>0.28309254880608586</v>
      </c>
      <c r="H534">
        <v>177.90128843338192</v>
      </c>
      <c r="I534">
        <v>162.98770131771641</v>
      </c>
      <c r="J534">
        <v>242.63557833089328</v>
      </c>
      <c r="K534">
        <f t="shared" si="43"/>
        <v>5.8280270261712062</v>
      </c>
      <c r="L534">
        <f t="shared" si="44"/>
        <v>6.0313325412695695</v>
      </c>
    </row>
    <row r="535" spans="1:12" x14ac:dyDescent="0.3">
      <c r="A535">
        <v>5.4</v>
      </c>
      <c r="B535">
        <v>5.5</v>
      </c>
      <c r="C535">
        <v>5.3147877013177176</v>
      </c>
      <c r="D535">
        <v>5.4679355783308887</v>
      </c>
      <c r="E535">
        <f t="shared" si="40"/>
        <v>2.7322830763429691E-3</v>
      </c>
      <c r="F535">
        <f t="shared" si="41"/>
        <v>7.2611358467185661E-3</v>
      </c>
      <c r="G535">
        <f t="shared" si="42"/>
        <v>1.0281271369745727E-3</v>
      </c>
      <c r="H535">
        <v>177.90128843338192</v>
      </c>
      <c r="I535">
        <v>162.98770131771641</v>
      </c>
      <c r="J535">
        <v>242.63557833089328</v>
      </c>
      <c r="K535">
        <f t="shared" si="43"/>
        <v>5.3519693686736574</v>
      </c>
      <c r="L535">
        <f t="shared" si="44"/>
        <v>5.5087509200122016</v>
      </c>
    </row>
    <row r="536" spans="1:12" x14ac:dyDescent="0.3">
      <c r="A536">
        <v>5.3</v>
      </c>
      <c r="B536">
        <v>5.3</v>
      </c>
      <c r="C536">
        <v>5.3147877013177176</v>
      </c>
      <c r="D536">
        <v>5.4679355783308887</v>
      </c>
      <c r="E536">
        <f t="shared" si="40"/>
        <v>2.4833811729753838E-3</v>
      </c>
      <c r="F536">
        <f t="shared" si="41"/>
        <v>2.1867611026203226E-4</v>
      </c>
      <c r="G536">
        <f t="shared" si="42"/>
        <v>2.8202358469330124E-2</v>
      </c>
      <c r="H536">
        <v>177.90128843338192</v>
      </c>
      <c r="I536">
        <v>162.98770131771641</v>
      </c>
      <c r="J536">
        <v>242.63557833089328</v>
      </c>
      <c r="K536">
        <f t="shared" si="43"/>
        <v>5.1814750484011682</v>
      </c>
      <c r="L536">
        <f t="shared" si="44"/>
        <v>5.3215946020747484</v>
      </c>
    </row>
    <row r="537" spans="1:12" x14ac:dyDescent="0.3">
      <c r="A537">
        <v>5.0999999999999996</v>
      </c>
      <c r="B537">
        <v>5.4</v>
      </c>
      <c r="C537">
        <v>5.3147877013177176</v>
      </c>
      <c r="D537">
        <v>5.4679355783308887</v>
      </c>
      <c r="E537">
        <f t="shared" si="40"/>
        <v>1.4591726707381283E-2</v>
      </c>
      <c r="F537">
        <f t="shared" si="41"/>
        <v>4.613375663734922E-2</v>
      </c>
      <c r="G537">
        <f t="shared" si="42"/>
        <v>4.615242803152269E-3</v>
      </c>
      <c r="H537">
        <v>177.90128843338192</v>
      </c>
      <c r="I537">
        <v>162.98770131771641</v>
      </c>
      <c r="J537">
        <v>242.63557833089328</v>
      </c>
      <c r="K537">
        <f t="shared" si="43"/>
        <v>5.2311351679543217</v>
      </c>
      <c r="L537">
        <f t="shared" si="44"/>
        <v>5.3761078850336625</v>
      </c>
    </row>
    <row r="538" spans="1:12" x14ac:dyDescent="0.3">
      <c r="A538">
        <v>5.5</v>
      </c>
      <c r="B538">
        <v>6.2</v>
      </c>
      <c r="C538">
        <v>5.3147877013177176</v>
      </c>
      <c r="D538">
        <v>5.4679355783308887</v>
      </c>
      <c r="E538">
        <f t="shared" si="40"/>
        <v>0.13558733432085179</v>
      </c>
      <c r="F538">
        <f t="shared" si="41"/>
        <v>3.4303595583174987E-2</v>
      </c>
      <c r="G538">
        <f t="shared" si="42"/>
        <v>0.53591831747373064</v>
      </c>
      <c r="H538">
        <v>177.90128843338192</v>
      </c>
      <c r="I538">
        <v>162.98770131771641</v>
      </c>
      <c r="J538">
        <v>242.63557833089328</v>
      </c>
      <c r="K538">
        <f t="shared" si="43"/>
        <v>5.9131124490442746</v>
      </c>
      <c r="L538">
        <f t="shared" si="44"/>
        <v>6.1247331567834706</v>
      </c>
    </row>
    <row r="539" spans="1:12" x14ac:dyDescent="0.3">
      <c r="A539">
        <v>4.7</v>
      </c>
      <c r="B539">
        <v>5.4</v>
      </c>
      <c r="C539">
        <v>5.3147877013177176</v>
      </c>
      <c r="D539">
        <v>5.4679355783308887</v>
      </c>
      <c r="E539">
        <f t="shared" si="40"/>
        <v>4.1765958039736595E-2</v>
      </c>
      <c r="F539">
        <f t="shared" si="41"/>
        <v>0.37796391769152293</v>
      </c>
      <c r="G539">
        <f t="shared" si="42"/>
        <v>4.615242803152269E-3</v>
      </c>
      <c r="H539">
        <v>177.90128843338192</v>
      </c>
      <c r="I539">
        <v>162.98770131771641</v>
      </c>
      <c r="J539">
        <v>242.63557833089328</v>
      </c>
      <c r="K539">
        <f t="shared" si="43"/>
        <v>5.174195903021376</v>
      </c>
      <c r="L539">
        <f t="shared" si="44"/>
        <v>5.3136040834179621</v>
      </c>
    </row>
    <row r="540" spans="1:12" x14ac:dyDescent="0.3">
      <c r="A540">
        <v>4.9000000000000004</v>
      </c>
      <c r="B540">
        <v>4.9000000000000004</v>
      </c>
      <c r="C540">
        <v>5.3147877013177176</v>
      </c>
      <c r="D540">
        <v>5.4679355783308887</v>
      </c>
      <c r="E540">
        <f t="shared" si="40"/>
        <v>0.23557269303241754</v>
      </c>
      <c r="F540">
        <f t="shared" si="41"/>
        <v>0.17204883716443581</v>
      </c>
      <c r="G540">
        <f t="shared" si="42"/>
        <v>0.32255082113404066</v>
      </c>
      <c r="H540">
        <v>177.90128843338192</v>
      </c>
      <c r="I540">
        <v>162.98770131771641</v>
      </c>
      <c r="J540">
        <v>242.63557833089328</v>
      </c>
      <c r="K540">
        <f t="shared" si="43"/>
        <v>4.8120167753897203</v>
      </c>
      <c r="L540">
        <f t="shared" si="44"/>
        <v>4.9160300653919959</v>
      </c>
    </row>
    <row r="541" spans="1:12" x14ac:dyDescent="0.3">
      <c r="A541">
        <v>5.9</v>
      </c>
      <c r="B541">
        <v>6.2</v>
      </c>
      <c r="C541">
        <v>5.3147877013177176</v>
      </c>
      <c r="D541">
        <v>5.4679355783308887</v>
      </c>
      <c r="E541">
        <f t="shared" si="40"/>
        <v>0.42841310298849666</v>
      </c>
      <c r="F541">
        <f t="shared" si="41"/>
        <v>0.34247343452900131</v>
      </c>
      <c r="G541">
        <f t="shared" si="42"/>
        <v>0.53591831747373064</v>
      </c>
      <c r="H541">
        <v>177.90128843338192</v>
      </c>
      <c r="I541">
        <v>162.98770131771641</v>
      </c>
      <c r="J541">
        <v>242.63557833089328</v>
      </c>
      <c r="K541">
        <f t="shared" si="43"/>
        <v>5.9700517139772211</v>
      </c>
      <c r="L541">
        <f t="shared" si="44"/>
        <v>6.1872369583991711</v>
      </c>
    </row>
    <row r="542" spans="1:12" x14ac:dyDescent="0.3">
      <c r="A542">
        <v>5.9</v>
      </c>
      <c r="B542">
        <v>6</v>
      </c>
      <c r="C542">
        <v>5.3147877013177176</v>
      </c>
      <c r="D542">
        <v>5.4679355783308887</v>
      </c>
      <c r="E542">
        <f t="shared" si="40"/>
        <v>0.31137064325204</v>
      </c>
      <c r="F542">
        <f t="shared" si="41"/>
        <v>0.34247343452900131</v>
      </c>
      <c r="G542">
        <f t="shared" si="42"/>
        <v>0.28309254880608586</v>
      </c>
      <c r="H542">
        <v>177.90128843338192</v>
      </c>
      <c r="I542">
        <v>162.98770131771641</v>
      </c>
      <c r="J542">
        <v>242.63557833089328</v>
      </c>
      <c r="K542">
        <f t="shared" si="43"/>
        <v>5.8137922099379695</v>
      </c>
      <c r="L542">
        <f t="shared" si="44"/>
        <v>6.0157065908656442</v>
      </c>
    </row>
    <row r="543" spans="1:12" x14ac:dyDescent="0.3">
      <c r="A543">
        <v>5.0999999999999996</v>
      </c>
      <c r="B543">
        <v>5.0999999999999996</v>
      </c>
      <c r="C543">
        <v>5.3147877013177176</v>
      </c>
      <c r="D543">
        <v>5.4679355783308887</v>
      </c>
      <c r="E543">
        <f t="shared" si="40"/>
        <v>7.9028037102696819E-2</v>
      </c>
      <c r="F543">
        <f t="shared" si="41"/>
        <v>4.613375663734922E-2</v>
      </c>
      <c r="G543">
        <f t="shared" si="42"/>
        <v>0.13537658980168582</v>
      </c>
      <c r="H543">
        <v>177.90128843338192</v>
      </c>
      <c r="I543">
        <v>162.98770131771641</v>
      </c>
      <c r="J543">
        <v>242.63557833089328</v>
      </c>
      <c r="K543">
        <f t="shared" si="43"/>
        <v>4.9967459118954443</v>
      </c>
      <c r="L543">
        <f t="shared" si="44"/>
        <v>5.1188123337333717</v>
      </c>
    </row>
    <row r="544" spans="1:12" x14ac:dyDescent="0.3">
      <c r="A544">
        <v>5.4</v>
      </c>
      <c r="B544">
        <v>5.0999999999999996</v>
      </c>
      <c r="C544">
        <v>5.3147877013177176</v>
      </c>
      <c r="D544">
        <v>5.4679355783308887</v>
      </c>
      <c r="E544">
        <f t="shared" si="40"/>
        <v>-3.1352636396570162E-2</v>
      </c>
      <c r="F544">
        <f t="shared" si="41"/>
        <v>7.2611358467185661E-3</v>
      </c>
      <c r="G544">
        <f t="shared" si="42"/>
        <v>0.13537658980168582</v>
      </c>
      <c r="H544">
        <v>177.90128843338192</v>
      </c>
      <c r="I544">
        <v>162.98770131771641</v>
      </c>
      <c r="J544">
        <v>242.63557833089328</v>
      </c>
      <c r="K544">
        <f t="shared" si="43"/>
        <v>5.0394503605951542</v>
      </c>
      <c r="L544">
        <f t="shared" si="44"/>
        <v>5.1656901849451478</v>
      </c>
    </row>
    <row r="545" spans="1:12" x14ac:dyDescent="0.3">
      <c r="A545">
        <v>5</v>
      </c>
      <c r="B545">
        <v>5.4</v>
      </c>
      <c r="C545">
        <v>5.3147877013177176</v>
      </c>
      <c r="D545">
        <v>5.4679355783308887</v>
      </c>
      <c r="E545">
        <f t="shared" si="40"/>
        <v>2.1385284540470097E-2</v>
      </c>
      <c r="F545">
        <f t="shared" si="41"/>
        <v>9.9091296900892592E-2</v>
      </c>
      <c r="G545">
        <f t="shared" si="42"/>
        <v>4.615242803152269E-3</v>
      </c>
      <c r="H545">
        <v>177.90128843338192</v>
      </c>
      <c r="I545">
        <v>162.98770131771641</v>
      </c>
      <c r="J545">
        <v>242.63557833089328</v>
      </c>
      <c r="K545">
        <f t="shared" si="43"/>
        <v>5.2169003517210859</v>
      </c>
      <c r="L545">
        <f t="shared" si="44"/>
        <v>5.3604819346297381</v>
      </c>
    </row>
    <row r="546" spans="1:12" x14ac:dyDescent="0.3">
      <c r="A546">
        <v>4.9000000000000004</v>
      </c>
      <c r="B546">
        <v>5.2</v>
      </c>
      <c r="C546">
        <v>5.3147877013177176</v>
      </c>
      <c r="D546">
        <v>5.4679355783308887</v>
      </c>
      <c r="E546">
        <f t="shared" si="40"/>
        <v>0.11113638263710243</v>
      </c>
      <c r="F546">
        <f t="shared" si="41"/>
        <v>0.17204883716443581</v>
      </c>
      <c r="G546">
        <f t="shared" si="42"/>
        <v>7.1789474135507708E-2</v>
      </c>
      <c r="H546">
        <v>177.90128843338192</v>
      </c>
      <c r="I546">
        <v>162.98770131771641</v>
      </c>
      <c r="J546">
        <v>242.63557833089328</v>
      </c>
      <c r="K546">
        <f t="shared" si="43"/>
        <v>5.0464060314485977</v>
      </c>
      <c r="L546">
        <f t="shared" si="44"/>
        <v>5.1733256166922859</v>
      </c>
    </row>
    <row r="547" spans="1:12" x14ac:dyDescent="0.3">
      <c r="A547">
        <v>5.5</v>
      </c>
      <c r="B547">
        <v>6</v>
      </c>
      <c r="C547">
        <v>5.3147877013177176</v>
      </c>
      <c r="D547">
        <v>5.4679355783308887</v>
      </c>
      <c r="E547">
        <f t="shared" si="40"/>
        <v>9.8544874584395287E-2</v>
      </c>
      <c r="F547">
        <f t="shared" si="41"/>
        <v>3.4303595583174987E-2</v>
      </c>
      <c r="G547">
        <f t="shared" si="42"/>
        <v>0.28309254880608586</v>
      </c>
      <c r="H547">
        <v>177.90128843338192</v>
      </c>
      <c r="I547">
        <v>162.98770131771641</v>
      </c>
      <c r="J547">
        <v>242.63557833089328</v>
      </c>
      <c r="K547">
        <f t="shared" si="43"/>
        <v>5.756852945005023</v>
      </c>
      <c r="L547">
        <f t="shared" si="44"/>
        <v>5.9532027892499437</v>
      </c>
    </row>
    <row r="548" spans="1:12" x14ac:dyDescent="0.3">
      <c r="A548">
        <v>5</v>
      </c>
      <c r="B548">
        <v>5.2</v>
      </c>
      <c r="C548">
        <v>5.3147877013177176</v>
      </c>
      <c r="D548">
        <v>5.4679355783308887</v>
      </c>
      <c r="E548">
        <f t="shared" si="40"/>
        <v>8.4342824804013672E-2</v>
      </c>
      <c r="F548">
        <f t="shared" si="41"/>
        <v>9.9091296900892592E-2</v>
      </c>
      <c r="G548">
        <f t="shared" si="42"/>
        <v>7.1789474135507708E-2</v>
      </c>
      <c r="H548">
        <v>177.90128843338192</v>
      </c>
      <c r="I548">
        <v>162.98770131771641</v>
      </c>
      <c r="J548">
        <v>242.63557833089328</v>
      </c>
      <c r="K548">
        <f t="shared" si="43"/>
        <v>5.0606408476818334</v>
      </c>
      <c r="L548">
        <f t="shared" si="44"/>
        <v>5.1889515670962103</v>
      </c>
    </row>
    <row r="549" spans="1:12" x14ac:dyDescent="0.3">
      <c r="A549">
        <v>4.9000000000000004</v>
      </c>
      <c r="B549">
        <v>5.2</v>
      </c>
      <c r="C549">
        <v>5.3147877013177176</v>
      </c>
      <c r="D549">
        <v>5.4679355783308887</v>
      </c>
      <c r="E549">
        <f t="shared" si="40"/>
        <v>0.11113638263710243</v>
      </c>
      <c r="F549">
        <f t="shared" si="41"/>
        <v>0.17204883716443581</v>
      </c>
      <c r="G549">
        <f t="shared" si="42"/>
        <v>7.1789474135507708E-2</v>
      </c>
      <c r="H549">
        <v>177.90128843338192</v>
      </c>
      <c r="I549">
        <v>162.98770131771641</v>
      </c>
      <c r="J549">
        <v>242.63557833089328</v>
      </c>
      <c r="K549">
        <f t="shared" si="43"/>
        <v>5.0464060314485977</v>
      </c>
      <c r="L549">
        <f t="shared" si="44"/>
        <v>5.1733256166922859</v>
      </c>
    </row>
    <row r="550" spans="1:12" x14ac:dyDescent="0.3">
      <c r="A550">
        <v>5.0999999999999996</v>
      </c>
      <c r="B550">
        <v>5.3</v>
      </c>
      <c r="C550">
        <v>5.3147877013177176</v>
      </c>
      <c r="D550">
        <v>5.4679355783308887</v>
      </c>
      <c r="E550">
        <f t="shared" si="40"/>
        <v>3.6070496839153192E-2</v>
      </c>
      <c r="F550">
        <f t="shared" si="41"/>
        <v>4.613375663734922E-2</v>
      </c>
      <c r="G550">
        <f t="shared" si="42"/>
        <v>2.8202358469330124E-2</v>
      </c>
      <c r="H550">
        <v>177.90128843338192</v>
      </c>
      <c r="I550">
        <v>162.98770131771641</v>
      </c>
      <c r="J550">
        <v>242.63557833089328</v>
      </c>
      <c r="K550">
        <f t="shared" si="43"/>
        <v>5.1530054159346959</v>
      </c>
      <c r="L550">
        <f t="shared" si="44"/>
        <v>5.2903427012668987</v>
      </c>
    </row>
    <row r="551" spans="1:12" x14ac:dyDescent="0.3">
      <c r="A551">
        <v>5</v>
      </c>
      <c r="B551">
        <v>5.2</v>
      </c>
      <c r="C551">
        <v>5.3147877013177176</v>
      </c>
      <c r="D551">
        <v>5.4679355783308887</v>
      </c>
      <c r="E551">
        <f t="shared" si="40"/>
        <v>8.4342824804013672E-2</v>
      </c>
      <c r="F551">
        <f t="shared" si="41"/>
        <v>9.9091296900892592E-2</v>
      </c>
      <c r="G551">
        <f t="shared" si="42"/>
        <v>7.1789474135507708E-2</v>
      </c>
      <c r="H551">
        <v>177.90128843338192</v>
      </c>
      <c r="I551">
        <v>162.98770131771641</v>
      </c>
      <c r="J551">
        <v>242.63557833089328</v>
      </c>
      <c r="K551">
        <f t="shared" si="43"/>
        <v>5.0606408476818334</v>
      </c>
      <c r="L551">
        <f t="shared" si="44"/>
        <v>5.1889515670962103</v>
      </c>
    </row>
    <row r="552" spans="1:12" x14ac:dyDescent="0.3">
      <c r="A552">
        <v>5.2</v>
      </c>
      <c r="B552">
        <v>5.3</v>
      </c>
      <c r="C552">
        <v>5.3147877013177176</v>
      </c>
      <c r="D552">
        <v>5.4679355783308887</v>
      </c>
      <c r="E552">
        <f t="shared" si="40"/>
        <v>1.9276939006064215E-2</v>
      </c>
      <c r="F552">
        <f t="shared" si="41"/>
        <v>1.3176216373805507E-2</v>
      </c>
      <c r="G552">
        <f t="shared" si="42"/>
        <v>2.8202358469330124E-2</v>
      </c>
      <c r="H552">
        <v>177.90128843338192</v>
      </c>
      <c r="I552">
        <v>162.98770131771641</v>
      </c>
      <c r="J552">
        <v>242.63557833089328</v>
      </c>
      <c r="K552">
        <f t="shared" si="43"/>
        <v>5.1672402321679325</v>
      </c>
      <c r="L552">
        <f t="shared" si="44"/>
        <v>5.305968651670824</v>
      </c>
    </row>
    <row r="553" spans="1:12" x14ac:dyDescent="0.3">
      <c r="A553">
        <v>5.5</v>
      </c>
      <c r="B553">
        <v>5.4</v>
      </c>
      <c r="C553">
        <v>5.3147877013177176</v>
      </c>
      <c r="D553">
        <v>5.4679355783308887</v>
      </c>
      <c r="E553">
        <f t="shared" si="40"/>
        <v>-1.2582504624974088E-2</v>
      </c>
      <c r="F553">
        <f t="shared" si="41"/>
        <v>3.4303595583174987E-2</v>
      </c>
      <c r="G553">
        <f t="shared" si="42"/>
        <v>4.615242803152269E-3</v>
      </c>
      <c r="H553">
        <v>177.90128843338192</v>
      </c>
      <c r="I553">
        <v>162.98770131771641</v>
      </c>
      <c r="J553">
        <v>242.63557833089328</v>
      </c>
      <c r="K553">
        <f t="shared" si="43"/>
        <v>5.2880744328872682</v>
      </c>
      <c r="L553">
        <f t="shared" si="44"/>
        <v>5.438611686649363</v>
      </c>
    </row>
    <row r="554" spans="1:12" x14ac:dyDescent="0.3">
      <c r="A554">
        <v>5.3</v>
      </c>
      <c r="B554">
        <v>5.3</v>
      </c>
      <c r="C554">
        <v>5.3147877013177176</v>
      </c>
      <c r="D554">
        <v>5.4679355783308887</v>
      </c>
      <c r="E554">
        <f t="shared" si="40"/>
        <v>2.4833811729753838E-3</v>
      </c>
      <c r="F554">
        <f t="shared" si="41"/>
        <v>2.1867611026203226E-4</v>
      </c>
      <c r="G554">
        <f t="shared" si="42"/>
        <v>2.8202358469330124E-2</v>
      </c>
      <c r="H554">
        <v>177.90128843338192</v>
      </c>
      <c r="I554">
        <v>162.98770131771641</v>
      </c>
      <c r="J554">
        <v>242.63557833089328</v>
      </c>
      <c r="K554">
        <f t="shared" si="43"/>
        <v>5.1814750484011682</v>
      </c>
      <c r="L554">
        <f t="shared" si="44"/>
        <v>5.3215946020747484</v>
      </c>
    </row>
    <row r="555" spans="1:12" x14ac:dyDescent="0.3">
      <c r="A555">
        <v>5.3</v>
      </c>
      <c r="B555">
        <v>5.2</v>
      </c>
      <c r="C555">
        <v>5.3147877013177176</v>
      </c>
      <c r="D555">
        <v>5.4679355783308887</v>
      </c>
      <c r="E555">
        <f t="shared" si="40"/>
        <v>3.9621513047471569E-3</v>
      </c>
      <c r="F555">
        <f t="shared" si="41"/>
        <v>2.1867611026203226E-4</v>
      </c>
      <c r="G555">
        <f t="shared" si="42"/>
        <v>7.1789474135507708E-2</v>
      </c>
      <c r="H555">
        <v>177.90128843338192</v>
      </c>
      <c r="I555">
        <v>162.98770131771641</v>
      </c>
      <c r="J555">
        <v>242.63557833089328</v>
      </c>
      <c r="K555">
        <f t="shared" si="43"/>
        <v>5.1033452963815442</v>
      </c>
      <c r="L555">
        <f t="shared" si="44"/>
        <v>5.2358294183079863</v>
      </c>
    </row>
    <row r="556" spans="1:12" x14ac:dyDescent="0.3">
      <c r="A556">
        <v>5.5</v>
      </c>
      <c r="B556">
        <v>5.5</v>
      </c>
      <c r="C556">
        <v>5.3147877013177176</v>
      </c>
      <c r="D556">
        <v>5.4679355783308887</v>
      </c>
      <c r="E556">
        <f t="shared" si="40"/>
        <v>5.9387252432540859E-3</v>
      </c>
      <c r="F556">
        <f t="shared" si="41"/>
        <v>3.4303595583174987E-2</v>
      </c>
      <c r="G556">
        <f t="shared" si="42"/>
        <v>1.0281271369745727E-3</v>
      </c>
      <c r="H556">
        <v>177.90128843338192</v>
      </c>
      <c r="I556">
        <v>162.98770131771641</v>
      </c>
      <c r="J556">
        <v>242.63557833089328</v>
      </c>
      <c r="K556">
        <f t="shared" si="43"/>
        <v>5.366204184906894</v>
      </c>
      <c r="L556">
        <f t="shared" si="44"/>
        <v>5.5243768704161269</v>
      </c>
    </row>
    <row r="557" spans="1:12" x14ac:dyDescent="0.3">
      <c r="A557">
        <v>5.3</v>
      </c>
      <c r="B557">
        <v>5.3</v>
      </c>
      <c r="C557">
        <v>5.3147877013177176</v>
      </c>
      <c r="D557">
        <v>5.4679355783308887</v>
      </c>
      <c r="E557">
        <f t="shared" si="40"/>
        <v>2.4833811729753838E-3</v>
      </c>
      <c r="F557">
        <f t="shared" si="41"/>
        <v>2.1867611026203226E-4</v>
      </c>
      <c r="G557">
        <f t="shared" si="42"/>
        <v>2.8202358469330124E-2</v>
      </c>
      <c r="H557">
        <v>177.90128843338192</v>
      </c>
      <c r="I557">
        <v>162.98770131771641</v>
      </c>
      <c r="J557">
        <v>242.63557833089328</v>
      </c>
      <c r="K557">
        <f t="shared" si="43"/>
        <v>5.1814750484011682</v>
      </c>
      <c r="L557">
        <f t="shared" si="44"/>
        <v>5.3215946020747484</v>
      </c>
    </row>
    <row r="558" spans="1:12" x14ac:dyDescent="0.3">
      <c r="A558">
        <v>5.3</v>
      </c>
      <c r="B558">
        <v>5.3</v>
      </c>
      <c r="C558">
        <v>5.3147877013177176</v>
      </c>
      <c r="D558">
        <v>5.4679355783308887</v>
      </c>
      <c r="E558">
        <f t="shared" si="40"/>
        <v>2.4833811729753838E-3</v>
      </c>
      <c r="F558">
        <f t="shared" si="41"/>
        <v>2.1867611026203226E-4</v>
      </c>
      <c r="G558">
        <f t="shared" si="42"/>
        <v>2.8202358469330124E-2</v>
      </c>
      <c r="H558">
        <v>177.90128843338192</v>
      </c>
      <c r="I558">
        <v>162.98770131771641</v>
      </c>
      <c r="J558">
        <v>242.63557833089328</v>
      </c>
      <c r="K558">
        <f t="shared" si="43"/>
        <v>5.1814750484011682</v>
      </c>
      <c r="L558">
        <f t="shared" si="44"/>
        <v>5.3215946020747484</v>
      </c>
    </row>
    <row r="559" spans="1:12" x14ac:dyDescent="0.3">
      <c r="A559">
        <v>5.5</v>
      </c>
      <c r="B559">
        <v>6</v>
      </c>
      <c r="C559">
        <v>5.3147877013177176</v>
      </c>
      <c r="D559">
        <v>5.4679355783308887</v>
      </c>
      <c r="E559">
        <f t="shared" si="40"/>
        <v>9.8544874584395287E-2</v>
      </c>
      <c r="F559">
        <f t="shared" si="41"/>
        <v>3.4303595583174987E-2</v>
      </c>
      <c r="G559">
        <f t="shared" si="42"/>
        <v>0.28309254880608586</v>
      </c>
      <c r="H559">
        <v>177.90128843338192</v>
      </c>
      <c r="I559">
        <v>162.98770131771641</v>
      </c>
      <c r="J559">
        <v>242.63557833089328</v>
      </c>
      <c r="K559">
        <f t="shared" si="43"/>
        <v>5.756852945005023</v>
      </c>
      <c r="L559">
        <f t="shared" si="44"/>
        <v>5.9532027892499437</v>
      </c>
    </row>
    <row r="560" spans="1:12" x14ac:dyDescent="0.3">
      <c r="A560">
        <v>5.0999999999999996</v>
      </c>
      <c r="B560">
        <v>5.3</v>
      </c>
      <c r="C560">
        <v>5.3147877013177176</v>
      </c>
      <c r="D560">
        <v>5.4679355783308887</v>
      </c>
      <c r="E560">
        <f t="shared" si="40"/>
        <v>3.6070496839153192E-2</v>
      </c>
      <c r="F560">
        <f t="shared" si="41"/>
        <v>4.613375663734922E-2</v>
      </c>
      <c r="G560">
        <f t="shared" si="42"/>
        <v>2.8202358469330124E-2</v>
      </c>
      <c r="H560">
        <v>177.90128843338192</v>
      </c>
      <c r="I560">
        <v>162.98770131771641</v>
      </c>
      <c r="J560">
        <v>242.63557833089328</v>
      </c>
      <c r="K560">
        <f t="shared" si="43"/>
        <v>5.1530054159346959</v>
      </c>
      <c r="L560">
        <f t="shared" si="44"/>
        <v>5.2903427012668987</v>
      </c>
    </row>
    <row r="561" spans="1:12" x14ac:dyDescent="0.3">
      <c r="A561">
        <v>5.7</v>
      </c>
      <c r="B561">
        <v>5.9</v>
      </c>
      <c r="C561">
        <v>5.3147877013177176</v>
      </c>
      <c r="D561">
        <v>5.4679355783308887</v>
      </c>
      <c r="E561">
        <f t="shared" si="40"/>
        <v>0.16643652904998951</v>
      </c>
      <c r="F561">
        <f t="shared" si="41"/>
        <v>0.14838851505608808</v>
      </c>
      <c r="G561">
        <f t="shared" si="42"/>
        <v>0.18667966447226389</v>
      </c>
      <c r="H561">
        <v>177.90128843338192</v>
      </c>
      <c r="I561">
        <v>162.98770131771641</v>
      </c>
      <c r="J561">
        <v>242.63557833089328</v>
      </c>
      <c r="K561">
        <f t="shared" si="43"/>
        <v>5.7071928254518696</v>
      </c>
      <c r="L561">
        <f t="shared" si="44"/>
        <v>5.8986895062910296</v>
      </c>
    </row>
    <row r="562" spans="1:12" x14ac:dyDescent="0.3">
      <c r="A562">
        <v>5.6</v>
      </c>
      <c r="B562">
        <v>5.6</v>
      </c>
      <c r="C562">
        <v>5.3147877013177176</v>
      </c>
      <c r="D562">
        <v>5.4679355783308887</v>
      </c>
      <c r="E562">
        <f t="shared" si="40"/>
        <v>3.7666397278393306E-2</v>
      </c>
      <c r="F562">
        <f t="shared" si="41"/>
        <v>8.1346055319631266E-2</v>
      </c>
      <c r="G562">
        <f t="shared" si="42"/>
        <v>1.7441011470796734E-2</v>
      </c>
      <c r="H562">
        <v>177.90128843338192</v>
      </c>
      <c r="I562">
        <v>162.98770131771641</v>
      </c>
      <c r="J562">
        <v>242.63557833089328</v>
      </c>
      <c r="K562">
        <f t="shared" si="43"/>
        <v>5.4585687531597555</v>
      </c>
      <c r="L562">
        <f t="shared" si="44"/>
        <v>5.6257680045868144</v>
      </c>
    </row>
    <row r="563" spans="1:12" x14ac:dyDescent="0.3">
      <c r="A563">
        <v>5.2</v>
      </c>
      <c r="B563">
        <v>5.2</v>
      </c>
      <c r="C563">
        <v>5.3147877013177176</v>
      </c>
      <c r="D563">
        <v>5.4679355783308887</v>
      </c>
      <c r="E563">
        <f t="shared" si="40"/>
        <v>3.0755709137835915E-2</v>
      </c>
      <c r="F563">
        <f t="shared" si="41"/>
        <v>1.3176216373805507E-2</v>
      </c>
      <c r="G563">
        <f t="shared" si="42"/>
        <v>7.1789474135507708E-2</v>
      </c>
      <c r="H563">
        <v>177.90128843338192</v>
      </c>
      <c r="I563">
        <v>162.98770131771641</v>
      </c>
      <c r="J563">
        <v>242.63557833089328</v>
      </c>
      <c r="K563">
        <f t="shared" si="43"/>
        <v>5.0891104801483067</v>
      </c>
      <c r="L563">
        <f t="shared" si="44"/>
        <v>5.2202034679040601</v>
      </c>
    </row>
    <row r="564" spans="1:12" x14ac:dyDescent="0.3">
      <c r="A564">
        <v>5.2</v>
      </c>
      <c r="B564">
        <v>5.5</v>
      </c>
      <c r="C564">
        <v>5.3147877013177176</v>
      </c>
      <c r="D564">
        <v>5.4679355783308887</v>
      </c>
      <c r="E564">
        <f t="shared" si="40"/>
        <v>-3.6806012574792917E-3</v>
      </c>
      <c r="F564">
        <f t="shared" si="41"/>
        <v>1.3176216373805507E-2</v>
      </c>
      <c r="G564">
        <f t="shared" si="42"/>
        <v>1.0281271369745727E-3</v>
      </c>
      <c r="H564">
        <v>177.90128843338192</v>
      </c>
      <c r="I564">
        <v>162.98770131771641</v>
      </c>
      <c r="J564">
        <v>242.63557833089328</v>
      </c>
      <c r="K564">
        <f t="shared" si="43"/>
        <v>5.3234997362071841</v>
      </c>
      <c r="L564">
        <f t="shared" si="44"/>
        <v>5.4774990192043509</v>
      </c>
    </row>
    <row r="565" spans="1:12" x14ac:dyDescent="0.3">
      <c r="A565">
        <v>5.5</v>
      </c>
      <c r="B565">
        <v>5.7</v>
      </c>
      <c r="C565">
        <v>5.3147877013177176</v>
      </c>
      <c r="D565">
        <v>5.4679355783308887</v>
      </c>
      <c r="E565">
        <f t="shared" si="40"/>
        <v>4.2981184979710596E-2</v>
      </c>
      <c r="F565">
        <f t="shared" si="41"/>
        <v>3.4303595583174987E-2</v>
      </c>
      <c r="G565">
        <f t="shared" si="42"/>
        <v>5.3853895804619169E-2</v>
      </c>
      <c r="H565">
        <v>177.90128843338192</v>
      </c>
      <c r="I565">
        <v>162.98770131771641</v>
      </c>
      <c r="J565">
        <v>242.63557833089328</v>
      </c>
      <c r="K565">
        <f t="shared" si="43"/>
        <v>5.5224636889461456</v>
      </c>
      <c r="L565">
        <f t="shared" si="44"/>
        <v>5.6959072379496538</v>
      </c>
    </row>
    <row r="566" spans="1:12" x14ac:dyDescent="0.3">
      <c r="A566">
        <v>5.4</v>
      </c>
      <c r="B566">
        <v>5.4</v>
      </c>
      <c r="C566">
        <v>5.3147877013177176</v>
      </c>
      <c r="D566">
        <v>5.4679355783308887</v>
      </c>
      <c r="E566">
        <f t="shared" si="40"/>
        <v>-5.7889467918852758E-3</v>
      </c>
      <c r="F566">
        <f t="shared" si="41"/>
        <v>7.2611358467185661E-3</v>
      </c>
      <c r="G566">
        <f t="shared" si="42"/>
        <v>4.615242803152269E-3</v>
      </c>
      <c r="H566">
        <v>177.90128843338192</v>
      </c>
      <c r="I566">
        <v>162.98770131771641</v>
      </c>
      <c r="J566">
        <v>242.63557833089328</v>
      </c>
      <c r="K566">
        <f t="shared" si="43"/>
        <v>5.2738396166540316</v>
      </c>
      <c r="L566">
        <f t="shared" si="44"/>
        <v>5.4229857362454377</v>
      </c>
    </row>
    <row r="567" spans="1:12" x14ac:dyDescent="0.3">
      <c r="A567">
        <v>5.9</v>
      </c>
      <c r="B567">
        <v>6.1</v>
      </c>
      <c r="C567">
        <v>5.3147877013177176</v>
      </c>
      <c r="D567">
        <v>5.4679355783308887</v>
      </c>
      <c r="E567">
        <f t="shared" si="40"/>
        <v>0.36989187312026806</v>
      </c>
      <c r="F567">
        <f t="shared" si="41"/>
        <v>0.34247343452900131</v>
      </c>
      <c r="G567">
        <f t="shared" si="42"/>
        <v>0.39950543313990766</v>
      </c>
      <c r="H567">
        <v>177.90128843338192</v>
      </c>
      <c r="I567">
        <v>162.98770131771641</v>
      </c>
      <c r="J567">
        <v>242.63557833089328</v>
      </c>
      <c r="K567">
        <f t="shared" si="43"/>
        <v>5.8919219619575944</v>
      </c>
      <c r="L567">
        <f t="shared" si="44"/>
        <v>6.1014717746324072</v>
      </c>
    </row>
    <row r="568" spans="1:12" x14ac:dyDescent="0.3">
      <c r="A568">
        <v>5.7</v>
      </c>
      <c r="B568">
        <v>5.8</v>
      </c>
      <c r="C568">
        <v>5.3147877013177176</v>
      </c>
      <c r="D568">
        <v>5.4679355783308887</v>
      </c>
      <c r="E568">
        <f t="shared" si="40"/>
        <v>0.12791529918176106</v>
      </c>
      <c r="F568">
        <f t="shared" si="41"/>
        <v>0.14838851505608808</v>
      </c>
      <c r="G568">
        <f t="shared" si="42"/>
        <v>0.11026678013844123</v>
      </c>
      <c r="H568">
        <v>177.90128843338192</v>
      </c>
      <c r="I568">
        <v>162.98770131771641</v>
      </c>
      <c r="J568">
        <v>242.63557833089328</v>
      </c>
      <c r="K568">
        <f t="shared" si="43"/>
        <v>5.6290630734322438</v>
      </c>
      <c r="L568">
        <f t="shared" si="44"/>
        <v>5.8129243225242666</v>
      </c>
    </row>
    <row r="569" spans="1:12" x14ac:dyDescent="0.3">
      <c r="A569">
        <v>4.8</v>
      </c>
      <c r="B569">
        <v>5.0999999999999996</v>
      </c>
      <c r="C569">
        <v>5.3147877013177176</v>
      </c>
      <c r="D569">
        <v>5.4679355783308887</v>
      </c>
      <c r="E569">
        <f t="shared" si="40"/>
        <v>0.18940871060196349</v>
      </c>
      <c r="F569">
        <f t="shared" si="41"/>
        <v>0.26500637742797983</v>
      </c>
      <c r="G569">
        <f t="shared" si="42"/>
        <v>0.13537658980168582</v>
      </c>
      <c r="H569">
        <v>177.90128843338192</v>
      </c>
      <c r="I569">
        <v>162.98770131771641</v>
      </c>
      <c r="J569">
        <v>242.63557833089328</v>
      </c>
      <c r="K569">
        <f t="shared" si="43"/>
        <v>4.9540414631957344</v>
      </c>
      <c r="L569">
        <f t="shared" si="44"/>
        <v>5.0719344825215966</v>
      </c>
    </row>
    <row r="570" spans="1:12" x14ac:dyDescent="0.3">
      <c r="A570">
        <v>5.0999999999999996</v>
      </c>
      <c r="B570">
        <v>5.0999999999999996</v>
      </c>
      <c r="C570">
        <v>5.3147877013177176</v>
      </c>
      <c r="D570">
        <v>5.4679355783308887</v>
      </c>
      <c r="E570">
        <f t="shared" si="40"/>
        <v>7.9028037102696819E-2</v>
      </c>
      <c r="F570">
        <f t="shared" si="41"/>
        <v>4.613375663734922E-2</v>
      </c>
      <c r="G570">
        <f t="shared" si="42"/>
        <v>0.13537658980168582</v>
      </c>
      <c r="H570">
        <v>177.90128843338192</v>
      </c>
      <c r="I570">
        <v>162.98770131771641</v>
      </c>
      <c r="J570">
        <v>242.63557833089328</v>
      </c>
      <c r="K570">
        <f t="shared" si="43"/>
        <v>4.9967459118954443</v>
      </c>
      <c r="L570">
        <f t="shared" si="44"/>
        <v>5.1188123337333717</v>
      </c>
    </row>
    <row r="571" spans="1:12" x14ac:dyDescent="0.3">
      <c r="A571">
        <v>5</v>
      </c>
      <c r="B571">
        <v>5</v>
      </c>
      <c r="C571">
        <v>5.3147877013177176</v>
      </c>
      <c r="D571">
        <v>5.4679355783308887</v>
      </c>
      <c r="E571">
        <f t="shared" si="40"/>
        <v>0.14730036506755725</v>
      </c>
      <c r="F571">
        <f t="shared" si="41"/>
        <v>9.9091296900892592E-2</v>
      </c>
      <c r="G571">
        <f t="shared" si="42"/>
        <v>0.21896370546786328</v>
      </c>
      <c r="H571">
        <v>177.90128843338192</v>
      </c>
      <c r="I571">
        <v>162.98770131771641</v>
      </c>
      <c r="J571">
        <v>242.63557833089328</v>
      </c>
      <c r="K571">
        <f t="shared" si="43"/>
        <v>4.9043813436425818</v>
      </c>
      <c r="L571">
        <f t="shared" si="44"/>
        <v>5.0174211995626834</v>
      </c>
    </row>
    <row r="572" spans="1:12" x14ac:dyDescent="0.3">
      <c r="A572">
        <v>5.0999999999999996</v>
      </c>
      <c r="B572">
        <v>5.3</v>
      </c>
      <c r="C572">
        <v>5.3147877013177176</v>
      </c>
      <c r="D572">
        <v>5.4679355783308887</v>
      </c>
      <c r="E572">
        <f t="shared" si="40"/>
        <v>3.6070496839153192E-2</v>
      </c>
      <c r="F572">
        <f t="shared" si="41"/>
        <v>4.613375663734922E-2</v>
      </c>
      <c r="G572">
        <f t="shared" si="42"/>
        <v>2.8202358469330124E-2</v>
      </c>
      <c r="H572">
        <v>177.90128843338192</v>
      </c>
      <c r="I572">
        <v>162.98770131771641</v>
      </c>
      <c r="J572">
        <v>242.63557833089328</v>
      </c>
      <c r="K572">
        <f t="shared" si="43"/>
        <v>5.1530054159346959</v>
      </c>
      <c r="L572">
        <f t="shared" si="44"/>
        <v>5.2903427012668987</v>
      </c>
    </row>
    <row r="573" spans="1:12" x14ac:dyDescent="0.3">
      <c r="A573">
        <v>4.8</v>
      </c>
      <c r="B573">
        <v>5</v>
      </c>
      <c r="C573">
        <v>5.3147877013177176</v>
      </c>
      <c r="D573">
        <v>5.4679355783308887</v>
      </c>
      <c r="E573">
        <f t="shared" si="40"/>
        <v>0.24088748073373509</v>
      </c>
      <c r="F573">
        <f t="shared" si="41"/>
        <v>0.26500637742797983</v>
      </c>
      <c r="G573">
        <f t="shared" si="42"/>
        <v>0.21896370546786328</v>
      </c>
      <c r="H573">
        <v>177.90128843338192</v>
      </c>
      <c r="I573">
        <v>162.98770131771641</v>
      </c>
      <c r="J573">
        <v>242.63557833089328</v>
      </c>
      <c r="K573">
        <f t="shared" si="43"/>
        <v>4.8759117111761086</v>
      </c>
      <c r="L573">
        <f t="shared" si="44"/>
        <v>4.9861692987548327</v>
      </c>
    </row>
    <row r="574" spans="1:12" x14ac:dyDescent="0.3">
      <c r="A574">
        <v>5.4</v>
      </c>
      <c r="B574">
        <v>5.2</v>
      </c>
      <c r="C574">
        <v>5.3147877013177176</v>
      </c>
      <c r="D574">
        <v>5.4679355783308887</v>
      </c>
      <c r="E574">
        <f t="shared" si="40"/>
        <v>-2.2831406528341841E-2</v>
      </c>
      <c r="F574">
        <f t="shared" si="41"/>
        <v>7.2611358467185661E-3</v>
      </c>
      <c r="G574">
        <f t="shared" si="42"/>
        <v>7.1789474135507708E-2</v>
      </c>
      <c r="H574">
        <v>177.90128843338192</v>
      </c>
      <c r="I574">
        <v>162.98770131771641</v>
      </c>
      <c r="J574">
        <v>242.63557833089328</v>
      </c>
      <c r="K574">
        <f t="shared" si="43"/>
        <v>5.11758011261478</v>
      </c>
      <c r="L574">
        <f t="shared" si="44"/>
        <v>5.2514553687119108</v>
      </c>
    </row>
    <row r="575" spans="1:12" x14ac:dyDescent="0.3">
      <c r="A575">
        <v>5.4</v>
      </c>
      <c r="B575">
        <v>5.2</v>
      </c>
      <c r="C575">
        <v>5.3147877013177176</v>
      </c>
      <c r="D575">
        <v>5.4679355783308887</v>
      </c>
      <c r="E575">
        <f t="shared" si="40"/>
        <v>-2.2831406528341841E-2</v>
      </c>
      <c r="F575">
        <f t="shared" si="41"/>
        <v>7.2611358467185661E-3</v>
      </c>
      <c r="G575">
        <f t="shared" si="42"/>
        <v>7.1789474135507708E-2</v>
      </c>
      <c r="H575">
        <v>177.90128843338192</v>
      </c>
      <c r="I575">
        <v>162.98770131771641</v>
      </c>
      <c r="J575">
        <v>242.63557833089328</v>
      </c>
      <c r="K575">
        <f t="shared" si="43"/>
        <v>5.11758011261478</v>
      </c>
      <c r="L575">
        <f t="shared" si="44"/>
        <v>5.2514553687119108</v>
      </c>
    </row>
    <row r="576" spans="1:12" x14ac:dyDescent="0.3">
      <c r="A576">
        <v>5</v>
      </c>
      <c r="B576">
        <v>5.5</v>
      </c>
      <c r="C576">
        <v>5.3147877013177176</v>
      </c>
      <c r="D576">
        <v>5.4679355783308887</v>
      </c>
      <c r="E576">
        <f t="shared" si="40"/>
        <v>-1.0093485591301552E-2</v>
      </c>
      <c r="F576">
        <f t="shared" si="41"/>
        <v>9.9091296900892592E-2</v>
      </c>
      <c r="G576">
        <f t="shared" si="42"/>
        <v>1.0281271369745727E-3</v>
      </c>
      <c r="H576">
        <v>177.90128843338192</v>
      </c>
      <c r="I576">
        <v>162.98770131771641</v>
      </c>
      <c r="J576">
        <v>242.63557833089328</v>
      </c>
      <c r="K576">
        <f t="shared" si="43"/>
        <v>5.2950301037407108</v>
      </c>
      <c r="L576">
        <f t="shared" si="44"/>
        <v>5.4462471183965002</v>
      </c>
    </row>
    <row r="577" spans="1:12" x14ac:dyDescent="0.3">
      <c r="A577">
        <v>5.2</v>
      </c>
      <c r="B577">
        <v>5.2</v>
      </c>
      <c r="C577">
        <v>5.3147877013177176</v>
      </c>
      <c r="D577">
        <v>5.4679355783308887</v>
      </c>
      <c r="E577">
        <f t="shared" si="40"/>
        <v>3.0755709137835915E-2</v>
      </c>
      <c r="F577">
        <f t="shared" si="41"/>
        <v>1.3176216373805507E-2</v>
      </c>
      <c r="G577">
        <f t="shared" si="42"/>
        <v>7.1789474135507708E-2</v>
      </c>
      <c r="H577">
        <v>177.90128843338192</v>
      </c>
      <c r="I577">
        <v>162.98770131771641</v>
      </c>
      <c r="J577">
        <v>242.63557833089328</v>
      </c>
      <c r="K577">
        <f t="shared" si="43"/>
        <v>5.0891104801483067</v>
      </c>
      <c r="L577">
        <f t="shared" si="44"/>
        <v>5.2202034679040601</v>
      </c>
    </row>
    <row r="578" spans="1:12" x14ac:dyDescent="0.3">
      <c r="A578">
        <v>5.2</v>
      </c>
      <c r="B578">
        <v>5.3</v>
      </c>
      <c r="C578">
        <v>5.3147877013177176</v>
      </c>
      <c r="D578">
        <v>5.4679355783308887</v>
      </c>
      <c r="E578">
        <f t="shared" si="40"/>
        <v>1.9276939006064215E-2</v>
      </c>
      <c r="F578">
        <f t="shared" si="41"/>
        <v>1.3176216373805507E-2</v>
      </c>
      <c r="G578">
        <f t="shared" si="42"/>
        <v>2.8202358469330124E-2</v>
      </c>
      <c r="H578">
        <v>177.90128843338192</v>
      </c>
      <c r="I578">
        <v>162.98770131771641</v>
      </c>
      <c r="J578">
        <v>242.63557833089328</v>
      </c>
      <c r="K578">
        <f t="shared" si="43"/>
        <v>5.1672402321679325</v>
      </c>
      <c r="L578">
        <f t="shared" si="44"/>
        <v>5.305968651670824</v>
      </c>
    </row>
    <row r="579" spans="1:12" x14ac:dyDescent="0.3">
      <c r="A579">
        <v>4.9000000000000004</v>
      </c>
      <c r="B579">
        <v>5.0999999999999996</v>
      </c>
      <c r="C579">
        <v>5.3147877013177176</v>
      </c>
      <c r="D579">
        <v>5.4679355783308887</v>
      </c>
      <c r="E579">
        <f t="shared" ref="E579:E642" si="45">(A579-C579)*(B579-D579)</f>
        <v>0.15261515276887438</v>
      </c>
      <c r="F579">
        <f t="shared" ref="F579:F642" si="46">(A579-C579)^2</f>
        <v>0.17204883716443581</v>
      </c>
      <c r="G579">
        <f t="shared" ref="G579:G642" si="47">(B579-D579)^2</f>
        <v>0.13537658980168582</v>
      </c>
      <c r="H579">
        <v>177.90128843338192</v>
      </c>
      <c r="I579">
        <v>162.98770131771641</v>
      </c>
      <c r="J579">
        <v>242.63557833089328</v>
      </c>
      <c r="K579">
        <f t="shared" ref="K579:K642" si="48">(1.097727582*(B579+0.366253474)+0.2*A579)/(0.2+1.097727582^2)</f>
        <v>4.968276279428971</v>
      </c>
      <c r="L579">
        <f t="shared" ref="L579:L642" si="49">1.097727582*K579-0.366253474</f>
        <v>5.0875604329255211</v>
      </c>
    </row>
    <row r="580" spans="1:12" x14ac:dyDescent="0.3">
      <c r="A580">
        <v>5.3</v>
      </c>
      <c r="B580">
        <v>5.0999999999999996</v>
      </c>
      <c r="C580">
        <v>5.3147877013177176</v>
      </c>
      <c r="D580">
        <v>5.4679355783308887</v>
      </c>
      <c r="E580">
        <f t="shared" si="45"/>
        <v>5.440921436518943E-3</v>
      </c>
      <c r="F580">
        <f t="shared" si="46"/>
        <v>2.1867611026203226E-4</v>
      </c>
      <c r="G580">
        <f t="shared" si="47"/>
        <v>0.13537658980168582</v>
      </c>
      <c r="H580">
        <v>177.90128843338192</v>
      </c>
      <c r="I580">
        <v>162.98770131771641</v>
      </c>
      <c r="J580">
        <v>242.63557833089328</v>
      </c>
      <c r="K580">
        <f t="shared" si="48"/>
        <v>5.0252155443619166</v>
      </c>
      <c r="L580">
        <f t="shared" si="49"/>
        <v>5.1500642345412215</v>
      </c>
    </row>
    <row r="581" spans="1:12" x14ac:dyDescent="0.3">
      <c r="A581">
        <v>5.4</v>
      </c>
      <c r="B581">
        <v>5.4</v>
      </c>
      <c r="C581">
        <v>5.3147877013177176</v>
      </c>
      <c r="D581">
        <v>5.4679355783308887</v>
      </c>
      <c r="E581">
        <f t="shared" si="45"/>
        <v>-5.7889467918852758E-3</v>
      </c>
      <c r="F581">
        <f t="shared" si="46"/>
        <v>7.2611358467185661E-3</v>
      </c>
      <c r="G581">
        <f t="shared" si="47"/>
        <v>4.615242803152269E-3</v>
      </c>
      <c r="H581">
        <v>177.90128843338192</v>
      </c>
      <c r="I581">
        <v>162.98770131771641</v>
      </c>
      <c r="J581">
        <v>242.63557833089328</v>
      </c>
      <c r="K581">
        <f t="shared" si="48"/>
        <v>5.2738396166540316</v>
      </c>
      <c r="L581">
        <f t="shared" si="49"/>
        <v>5.4229857362454377</v>
      </c>
    </row>
    <row r="582" spans="1:12" x14ac:dyDescent="0.3">
      <c r="A582">
        <v>4.8</v>
      </c>
      <c r="B582">
        <v>4.8</v>
      </c>
      <c r="C582">
        <v>5.3147877013177176</v>
      </c>
      <c r="D582">
        <v>5.4679355783308887</v>
      </c>
      <c r="E582">
        <f t="shared" si="45"/>
        <v>0.34384502099727871</v>
      </c>
      <c r="F582">
        <f t="shared" si="46"/>
        <v>0.26500637742797983</v>
      </c>
      <c r="G582">
        <f t="shared" si="47"/>
        <v>0.44613793680021901</v>
      </c>
      <c r="H582">
        <v>177.90128843338192</v>
      </c>
      <c r="I582">
        <v>162.98770131771641</v>
      </c>
      <c r="J582">
        <v>242.63557833089328</v>
      </c>
      <c r="K582">
        <f t="shared" si="48"/>
        <v>4.719652207136857</v>
      </c>
      <c r="L582">
        <f t="shared" si="49"/>
        <v>4.8146389312213058</v>
      </c>
    </row>
    <row r="583" spans="1:12" x14ac:dyDescent="0.3">
      <c r="A583">
        <v>5.3</v>
      </c>
      <c r="B583">
        <v>5.3</v>
      </c>
      <c r="C583">
        <v>5.3147877013177176</v>
      </c>
      <c r="D583">
        <v>5.4679355783308887</v>
      </c>
      <c r="E583">
        <f t="shared" si="45"/>
        <v>2.4833811729753838E-3</v>
      </c>
      <c r="F583">
        <f t="shared" si="46"/>
        <v>2.1867611026203226E-4</v>
      </c>
      <c r="G583">
        <f t="shared" si="47"/>
        <v>2.8202358469330124E-2</v>
      </c>
      <c r="H583">
        <v>177.90128843338192</v>
      </c>
      <c r="I583">
        <v>162.98770131771641</v>
      </c>
      <c r="J583">
        <v>242.63557833089328</v>
      </c>
      <c r="K583">
        <f t="shared" si="48"/>
        <v>5.1814750484011682</v>
      </c>
      <c r="L583">
        <f t="shared" si="49"/>
        <v>5.3215946020747484</v>
      </c>
    </row>
    <row r="584" spans="1:12" x14ac:dyDescent="0.3">
      <c r="A584">
        <v>5.9</v>
      </c>
      <c r="B584">
        <v>6.1</v>
      </c>
      <c r="C584">
        <v>5.3147877013177176</v>
      </c>
      <c r="D584">
        <v>5.4679355783308887</v>
      </c>
      <c r="E584">
        <f t="shared" si="45"/>
        <v>0.36989187312026806</v>
      </c>
      <c r="F584">
        <f t="shared" si="46"/>
        <v>0.34247343452900131</v>
      </c>
      <c r="G584">
        <f t="shared" si="47"/>
        <v>0.39950543313990766</v>
      </c>
      <c r="H584">
        <v>177.90128843338192</v>
      </c>
      <c r="I584">
        <v>162.98770131771641</v>
      </c>
      <c r="J584">
        <v>242.63557833089328</v>
      </c>
      <c r="K584">
        <f t="shared" si="48"/>
        <v>5.8919219619575944</v>
      </c>
      <c r="L584">
        <f t="shared" si="49"/>
        <v>6.1014717746324072</v>
      </c>
    </row>
    <row r="585" spans="1:12" x14ac:dyDescent="0.3">
      <c r="A585">
        <v>5.6</v>
      </c>
      <c r="B585">
        <v>6</v>
      </c>
      <c r="C585">
        <v>5.3147877013177176</v>
      </c>
      <c r="D585">
        <v>5.4679355783308887</v>
      </c>
      <c r="E585">
        <f t="shared" si="45"/>
        <v>0.15175131675130621</v>
      </c>
      <c r="F585">
        <f t="shared" si="46"/>
        <v>8.1346055319631266E-2</v>
      </c>
      <c r="G585">
        <f t="shared" si="47"/>
        <v>0.28309254880608586</v>
      </c>
      <c r="H585">
        <v>177.90128843338192</v>
      </c>
      <c r="I585">
        <v>162.98770131771641</v>
      </c>
      <c r="J585">
        <v>242.63557833089328</v>
      </c>
      <c r="K585">
        <f t="shared" si="48"/>
        <v>5.7710877612382596</v>
      </c>
      <c r="L585">
        <f t="shared" si="49"/>
        <v>5.9688287396538691</v>
      </c>
    </row>
    <row r="586" spans="1:12" x14ac:dyDescent="0.3">
      <c r="A586">
        <v>5.8</v>
      </c>
      <c r="B586">
        <v>6</v>
      </c>
      <c r="C586">
        <v>5.3147877013177176</v>
      </c>
      <c r="D586">
        <v>5.4679355783308887</v>
      </c>
      <c r="E586">
        <f t="shared" si="45"/>
        <v>0.25816420108512855</v>
      </c>
      <c r="F586">
        <f t="shared" si="46"/>
        <v>0.23543097479254424</v>
      </c>
      <c r="G586">
        <f t="shared" si="47"/>
        <v>0.28309254880608586</v>
      </c>
      <c r="H586">
        <v>177.90128843338192</v>
      </c>
      <c r="I586">
        <v>162.98770131771641</v>
      </c>
      <c r="J586">
        <v>242.63557833089328</v>
      </c>
      <c r="K586">
        <f t="shared" si="48"/>
        <v>5.799557393704732</v>
      </c>
      <c r="L586">
        <f t="shared" si="49"/>
        <v>6.000080640461718</v>
      </c>
    </row>
    <row r="587" spans="1:12" x14ac:dyDescent="0.3">
      <c r="A587">
        <v>5</v>
      </c>
      <c r="B587">
        <v>5.2</v>
      </c>
      <c r="C587">
        <v>5.3147877013177176</v>
      </c>
      <c r="D587">
        <v>5.4679355783308887</v>
      </c>
      <c r="E587">
        <f t="shared" si="45"/>
        <v>8.4342824804013672E-2</v>
      </c>
      <c r="F587">
        <f t="shared" si="46"/>
        <v>9.9091296900892592E-2</v>
      </c>
      <c r="G587">
        <f t="shared" si="47"/>
        <v>7.1789474135507708E-2</v>
      </c>
      <c r="H587">
        <v>177.90128843338192</v>
      </c>
      <c r="I587">
        <v>162.98770131771641</v>
      </c>
      <c r="J587">
        <v>242.63557833089328</v>
      </c>
      <c r="K587">
        <f t="shared" si="48"/>
        <v>5.0606408476818334</v>
      </c>
      <c r="L587">
        <f t="shared" si="49"/>
        <v>5.1889515670962103</v>
      </c>
    </row>
    <row r="588" spans="1:12" x14ac:dyDescent="0.3">
      <c r="A588">
        <v>5.3</v>
      </c>
      <c r="B588">
        <v>5.2</v>
      </c>
      <c r="C588">
        <v>5.3147877013177176</v>
      </c>
      <c r="D588">
        <v>5.4679355783308887</v>
      </c>
      <c r="E588">
        <f t="shared" si="45"/>
        <v>3.9621513047471569E-3</v>
      </c>
      <c r="F588">
        <f t="shared" si="46"/>
        <v>2.1867611026203226E-4</v>
      </c>
      <c r="G588">
        <f t="shared" si="47"/>
        <v>7.1789474135507708E-2</v>
      </c>
      <c r="H588">
        <v>177.90128843338192</v>
      </c>
      <c r="I588">
        <v>162.98770131771641</v>
      </c>
      <c r="J588">
        <v>242.63557833089328</v>
      </c>
      <c r="K588">
        <f t="shared" si="48"/>
        <v>5.1033452963815442</v>
      </c>
      <c r="L588">
        <f t="shared" si="49"/>
        <v>5.2358294183079863</v>
      </c>
    </row>
    <row r="589" spans="1:12" x14ac:dyDescent="0.3">
      <c r="A589">
        <v>5.8</v>
      </c>
      <c r="B589">
        <v>5.6</v>
      </c>
      <c r="C589">
        <v>5.3147877013177176</v>
      </c>
      <c r="D589">
        <v>5.4679355783308887</v>
      </c>
      <c r="E589">
        <f t="shared" si="45"/>
        <v>6.4079281612215516E-2</v>
      </c>
      <c r="F589">
        <f t="shared" si="46"/>
        <v>0.23543097479254424</v>
      </c>
      <c r="G589">
        <f t="shared" si="47"/>
        <v>1.7441011470796734E-2</v>
      </c>
      <c r="H589">
        <v>177.90128843338192</v>
      </c>
      <c r="I589">
        <v>162.98770131771641</v>
      </c>
      <c r="J589">
        <v>242.63557833089328</v>
      </c>
      <c r="K589">
        <f t="shared" si="48"/>
        <v>5.4870383856262288</v>
      </c>
      <c r="L589">
        <f t="shared" si="49"/>
        <v>5.6570199053946641</v>
      </c>
    </row>
    <row r="590" spans="1:12" x14ac:dyDescent="0.3">
      <c r="A590">
        <v>5.2</v>
      </c>
      <c r="B590">
        <v>5.8</v>
      </c>
      <c r="C590">
        <v>5.3147877013177176</v>
      </c>
      <c r="D590">
        <v>5.4679355783308887</v>
      </c>
      <c r="E590">
        <f t="shared" si="45"/>
        <v>-3.8116911652794502E-2</v>
      </c>
      <c r="F590">
        <f t="shared" si="46"/>
        <v>1.3176216373805507E-2</v>
      </c>
      <c r="G590">
        <f t="shared" si="47"/>
        <v>0.11026678013844123</v>
      </c>
      <c r="H590">
        <v>177.90128843338192</v>
      </c>
      <c r="I590">
        <v>162.98770131771641</v>
      </c>
      <c r="J590">
        <v>242.63557833089328</v>
      </c>
      <c r="K590">
        <f t="shared" si="48"/>
        <v>5.5578889922660606</v>
      </c>
      <c r="L590">
        <f t="shared" si="49"/>
        <v>5.7347945705046399</v>
      </c>
    </row>
    <row r="591" spans="1:12" x14ac:dyDescent="0.3">
      <c r="A591">
        <v>5.3</v>
      </c>
      <c r="B591">
        <v>5.5</v>
      </c>
      <c r="C591">
        <v>5.3147877013177176</v>
      </c>
      <c r="D591">
        <v>5.4679355783308887</v>
      </c>
      <c r="E591">
        <f t="shared" si="45"/>
        <v>-4.7415909056817545E-4</v>
      </c>
      <c r="F591">
        <f t="shared" si="46"/>
        <v>2.1867611026203226E-4</v>
      </c>
      <c r="G591">
        <f t="shared" si="47"/>
        <v>1.0281271369745727E-3</v>
      </c>
      <c r="H591">
        <v>177.90128843338192</v>
      </c>
      <c r="I591">
        <v>162.98770131771641</v>
      </c>
      <c r="J591">
        <v>242.63557833089328</v>
      </c>
      <c r="K591">
        <f t="shared" si="48"/>
        <v>5.3377345524404198</v>
      </c>
      <c r="L591">
        <f t="shared" si="49"/>
        <v>5.4931249696082753</v>
      </c>
    </row>
    <row r="592" spans="1:12" x14ac:dyDescent="0.3">
      <c r="A592">
        <v>5.2</v>
      </c>
      <c r="B592">
        <v>5</v>
      </c>
      <c r="C592">
        <v>5.3147877013177176</v>
      </c>
      <c r="D592">
        <v>5.4679355783308887</v>
      </c>
      <c r="E592">
        <f t="shared" si="45"/>
        <v>5.371324940137942E-2</v>
      </c>
      <c r="F592">
        <f t="shared" si="46"/>
        <v>1.3176216373805507E-2</v>
      </c>
      <c r="G592">
        <f t="shared" si="47"/>
        <v>0.21896370546786328</v>
      </c>
      <c r="H592">
        <v>177.90128843338192</v>
      </c>
      <c r="I592">
        <v>162.98770131771641</v>
      </c>
      <c r="J592">
        <v>242.63557833089328</v>
      </c>
      <c r="K592">
        <f t="shared" si="48"/>
        <v>4.9328509761090551</v>
      </c>
      <c r="L592">
        <f t="shared" si="49"/>
        <v>5.0486731003705341</v>
      </c>
    </row>
    <row r="593" spans="1:12" x14ac:dyDescent="0.3">
      <c r="A593">
        <v>5.6</v>
      </c>
      <c r="B593">
        <v>6.2</v>
      </c>
      <c r="C593">
        <v>5.3147877013177176</v>
      </c>
      <c r="D593">
        <v>5.4679355783308887</v>
      </c>
      <c r="E593">
        <f t="shared" si="45"/>
        <v>0.20879377648776268</v>
      </c>
      <c r="F593">
        <f t="shared" si="46"/>
        <v>8.1346055319631266E-2</v>
      </c>
      <c r="G593">
        <f t="shared" si="47"/>
        <v>0.53591831747373064</v>
      </c>
      <c r="H593">
        <v>177.90128843338192</v>
      </c>
      <c r="I593">
        <v>162.98770131771641</v>
      </c>
      <c r="J593">
        <v>242.63557833089328</v>
      </c>
      <c r="K593">
        <f t="shared" si="48"/>
        <v>5.9273472652775112</v>
      </c>
      <c r="L593">
        <f t="shared" si="49"/>
        <v>6.140359107187396</v>
      </c>
    </row>
    <row r="594" spans="1:12" x14ac:dyDescent="0.3">
      <c r="A594">
        <v>4.9000000000000004</v>
      </c>
      <c r="B594">
        <v>5.2</v>
      </c>
      <c r="C594">
        <v>5.3147877013177176</v>
      </c>
      <c r="D594">
        <v>5.4679355783308887</v>
      </c>
      <c r="E594">
        <f t="shared" si="45"/>
        <v>0.11113638263710243</v>
      </c>
      <c r="F594">
        <f t="shared" si="46"/>
        <v>0.17204883716443581</v>
      </c>
      <c r="G594">
        <f t="shared" si="47"/>
        <v>7.1789474135507708E-2</v>
      </c>
      <c r="H594">
        <v>177.90128843338192</v>
      </c>
      <c r="I594">
        <v>162.98770131771641</v>
      </c>
      <c r="J594">
        <v>242.63557833089328</v>
      </c>
      <c r="K594">
        <f t="shared" si="48"/>
        <v>5.0464060314485977</v>
      </c>
      <c r="L594">
        <f t="shared" si="49"/>
        <v>5.1733256166922859</v>
      </c>
    </row>
    <row r="595" spans="1:12" x14ac:dyDescent="0.3">
      <c r="A595">
        <v>5</v>
      </c>
      <c r="B595">
        <v>4.9000000000000004</v>
      </c>
      <c r="C595">
        <v>5.3147877013177176</v>
      </c>
      <c r="D595">
        <v>5.4679355783308887</v>
      </c>
      <c r="E595">
        <f t="shared" si="45"/>
        <v>0.17877913519932889</v>
      </c>
      <c r="F595">
        <f t="shared" si="46"/>
        <v>9.9091296900892592E-2</v>
      </c>
      <c r="G595">
        <f t="shared" si="47"/>
        <v>0.32255082113404066</v>
      </c>
      <c r="H595">
        <v>177.90128843338192</v>
      </c>
      <c r="I595">
        <v>162.98770131771641</v>
      </c>
      <c r="J595">
        <v>242.63557833089328</v>
      </c>
      <c r="K595">
        <f t="shared" si="48"/>
        <v>4.826251591622956</v>
      </c>
      <c r="L595">
        <f t="shared" si="49"/>
        <v>4.9316560157959195</v>
      </c>
    </row>
    <row r="596" spans="1:12" x14ac:dyDescent="0.3">
      <c r="A596">
        <v>5.6</v>
      </c>
      <c r="B596">
        <v>5.5</v>
      </c>
      <c r="C596">
        <v>5.3147877013177176</v>
      </c>
      <c r="D596">
        <v>5.4679355783308887</v>
      </c>
      <c r="E596">
        <f t="shared" si="45"/>
        <v>9.1451674101652013E-3</v>
      </c>
      <c r="F596">
        <f t="shared" si="46"/>
        <v>8.1346055319631266E-2</v>
      </c>
      <c r="G596">
        <f t="shared" si="47"/>
        <v>1.0281271369745727E-3</v>
      </c>
      <c r="H596">
        <v>177.90128843338192</v>
      </c>
      <c r="I596">
        <v>162.98770131771641</v>
      </c>
      <c r="J596">
        <v>242.63557833089328</v>
      </c>
      <c r="K596">
        <f t="shared" si="48"/>
        <v>5.3804390011401306</v>
      </c>
      <c r="L596">
        <f t="shared" si="49"/>
        <v>5.5400028208200514</v>
      </c>
    </row>
    <row r="597" spans="1:12" x14ac:dyDescent="0.3">
      <c r="A597">
        <v>5.5</v>
      </c>
      <c r="B597">
        <v>5.7</v>
      </c>
      <c r="C597">
        <v>5.3147877013177176</v>
      </c>
      <c r="D597">
        <v>5.4679355783308887</v>
      </c>
      <c r="E597">
        <f t="shared" si="45"/>
        <v>4.2981184979710596E-2</v>
      </c>
      <c r="F597">
        <f t="shared" si="46"/>
        <v>3.4303595583174987E-2</v>
      </c>
      <c r="G597">
        <f t="shared" si="47"/>
        <v>5.3853895804619169E-2</v>
      </c>
      <c r="H597">
        <v>177.90128843338192</v>
      </c>
      <c r="I597">
        <v>162.98770131771641</v>
      </c>
      <c r="J597">
        <v>242.63557833089328</v>
      </c>
      <c r="K597">
        <f t="shared" si="48"/>
        <v>5.5224636889461456</v>
      </c>
      <c r="L597">
        <f t="shared" si="49"/>
        <v>5.6959072379496538</v>
      </c>
    </row>
    <row r="598" spans="1:12" x14ac:dyDescent="0.3">
      <c r="A598">
        <v>5</v>
      </c>
      <c r="B598">
        <v>5</v>
      </c>
      <c r="C598">
        <v>5.3147877013177176</v>
      </c>
      <c r="D598">
        <v>5.4679355783308887</v>
      </c>
      <c r="E598">
        <f t="shared" si="45"/>
        <v>0.14730036506755725</v>
      </c>
      <c r="F598">
        <f t="shared" si="46"/>
        <v>9.9091296900892592E-2</v>
      </c>
      <c r="G598">
        <f t="shared" si="47"/>
        <v>0.21896370546786328</v>
      </c>
      <c r="H598">
        <v>177.90128843338192</v>
      </c>
      <c r="I598">
        <v>162.98770131771641</v>
      </c>
      <c r="J598">
        <v>242.63557833089328</v>
      </c>
      <c r="K598">
        <f t="shared" si="48"/>
        <v>4.9043813436425818</v>
      </c>
      <c r="L598">
        <f t="shared" si="49"/>
        <v>5.0174211995626834</v>
      </c>
    </row>
    <row r="599" spans="1:12" x14ac:dyDescent="0.3">
      <c r="A599">
        <v>5.0999999999999996</v>
      </c>
      <c r="B599">
        <v>5.3</v>
      </c>
      <c r="C599">
        <v>5.3147877013177176</v>
      </c>
      <c r="D599">
        <v>5.4679355783308887</v>
      </c>
      <c r="E599">
        <f t="shared" si="45"/>
        <v>3.6070496839153192E-2</v>
      </c>
      <c r="F599">
        <f t="shared" si="46"/>
        <v>4.613375663734922E-2</v>
      </c>
      <c r="G599">
        <f t="shared" si="47"/>
        <v>2.8202358469330124E-2</v>
      </c>
      <c r="H599">
        <v>177.90128843338192</v>
      </c>
      <c r="I599">
        <v>162.98770131771641</v>
      </c>
      <c r="J599">
        <v>242.63557833089328</v>
      </c>
      <c r="K599">
        <f t="shared" si="48"/>
        <v>5.1530054159346959</v>
      </c>
      <c r="L599">
        <f t="shared" si="49"/>
        <v>5.2903427012668987</v>
      </c>
    </row>
    <row r="600" spans="1:12" x14ac:dyDescent="0.3">
      <c r="A600">
        <v>5</v>
      </c>
      <c r="B600">
        <v>5.4</v>
      </c>
      <c r="C600">
        <v>5.3147877013177176</v>
      </c>
      <c r="D600">
        <v>5.4679355783308887</v>
      </c>
      <c r="E600">
        <f t="shared" si="45"/>
        <v>2.1385284540470097E-2</v>
      </c>
      <c r="F600">
        <f t="shared" si="46"/>
        <v>9.9091296900892592E-2</v>
      </c>
      <c r="G600">
        <f t="shared" si="47"/>
        <v>4.615242803152269E-3</v>
      </c>
      <c r="H600">
        <v>177.90128843338192</v>
      </c>
      <c r="I600">
        <v>162.98770131771641</v>
      </c>
      <c r="J600">
        <v>242.63557833089328</v>
      </c>
      <c r="K600">
        <f t="shared" si="48"/>
        <v>5.2169003517210859</v>
      </c>
      <c r="L600">
        <f t="shared" si="49"/>
        <v>5.3604819346297381</v>
      </c>
    </row>
    <row r="601" spans="1:12" x14ac:dyDescent="0.3">
      <c r="A601">
        <v>5.5</v>
      </c>
      <c r="B601">
        <v>5.2</v>
      </c>
      <c r="C601">
        <v>5.3147877013177176</v>
      </c>
      <c r="D601">
        <v>5.4679355783308887</v>
      </c>
      <c r="E601">
        <f t="shared" si="45"/>
        <v>-4.9624964361430601E-2</v>
      </c>
      <c r="F601">
        <f t="shared" si="46"/>
        <v>3.4303595583174987E-2</v>
      </c>
      <c r="G601">
        <f t="shared" si="47"/>
        <v>7.1789474135507708E-2</v>
      </c>
      <c r="H601">
        <v>177.90128843338192</v>
      </c>
      <c r="I601">
        <v>162.98770131771641</v>
      </c>
      <c r="J601">
        <v>242.63557833089328</v>
      </c>
      <c r="K601">
        <f t="shared" si="48"/>
        <v>5.1318149288480166</v>
      </c>
      <c r="L601">
        <f t="shared" si="49"/>
        <v>5.2670813191158361</v>
      </c>
    </row>
    <row r="602" spans="1:12" x14ac:dyDescent="0.3">
      <c r="A602">
        <v>5.5</v>
      </c>
      <c r="B602">
        <v>5.7</v>
      </c>
      <c r="C602">
        <v>5.3147877013177176</v>
      </c>
      <c r="D602">
        <v>5.4679355783308887</v>
      </c>
      <c r="E602">
        <f t="shared" si="45"/>
        <v>4.2981184979710596E-2</v>
      </c>
      <c r="F602">
        <f t="shared" si="46"/>
        <v>3.4303595583174987E-2</v>
      </c>
      <c r="G602">
        <f t="shared" si="47"/>
        <v>5.3853895804619169E-2</v>
      </c>
      <c r="H602">
        <v>177.90128843338192</v>
      </c>
      <c r="I602">
        <v>162.98770131771641</v>
      </c>
      <c r="J602">
        <v>242.63557833089328</v>
      </c>
      <c r="K602">
        <f t="shared" si="48"/>
        <v>5.5224636889461456</v>
      </c>
      <c r="L602">
        <f t="shared" si="49"/>
        <v>5.6959072379496538</v>
      </c>
    </row>
    <row r="603" spans="1:12" x14ac:dyDescent="0.3">
      <c r="A603">
        <v>5</v>
      </c>
      <c r="B603">
        <v>5</v>
      </c>
      <c r="C603">
        <v>5.3147877013177176</v>
      </c>
      <c r="D603">
        <v>5.4679355783308887</v>
      </c>
      <c r="E603">
        <f t="shared" si="45"/>
        <v>0.14730036506755725</v>
      </c>
      <c r="F603">
        <f t="shared" si="46"/>
        <v>9.9091296900892592E-2</v>
      </c>
      <c r="G603">
        <f t="shared" si="47"/>
        <v>0.21896370546786328</v>
      </c>
      <c r="H603">
        <v>177.90128843338192</v>
      </c>
      <c r="I603">
        <v>162.98770131771641</v>
      </c>
      <c r="J603">
        <v>242.63557833089328</v>
      </c>
      <c r="K603">
        <f t="shared" si="48"/>
        <v>4.9043813436425818</v>
      </c>
      <c r="L603">
        <f t="shared" si="49"/>
        <v>5.0174211995626834</v>
      </c>
    </row>
    <row r="604" spans="1:12" x14ac:dyDescent="0.3">
      <c r="A604">
        <v>5.4</v>
      </c>
      <c r="B604">
        <v>5.0999999999999996</v>
      </c>
      <c r="C604">
        <v>5.3147877013177176</v>
      </c>
      <c r="D604">
        <v>5.4679355783308887</v>
      </c>
      <c r="E604">
        <f t="shared" si="45"/>
        <v>-3.1352636396570162E-2</v>
      </c>
      <c r="F604">
        <f t="shared" si="46"/>
        <v>7.2611358467185661E-3</v>
      </c>
      <c r="G604">
        <f t="shared" si="47"/>
        <v>0.13537658980168582</v>
      </c>
      <c r="H604">
        <v>177.90128843338192</v>
      </c>
      <c r="I604">
        <v>162.98770131771641</v>
      </c>
      <c r="J604">
        <v>242.63557833089328</v>
      </c>
      <c r="K604">
        <f t="shared" si="48"/>
        <v>5.0394503605951542</v>
      </c>
      <c r="L604">
        <f t="shared" si="49"/>
        <v>5.1656901849451478</v>
      </c>
    </row>
    <row r="605" spans="1:12" x14ac:dyDescent="0.3">
      <c r="A605">
        <v>5.9</v>
      </c>
      <c r="B605">
        <v>5.7</v>
      </c>
      <c r="C605">
        <v>5.3147877013177176</v>
      </c>
      <c r="D605">
        <v>5.4679355783308887</v>
      </c>
      <c r="E605">
        <f t="shared" si="45"/>
        <v>0.13580695364735526</v>
      </c>
      <c r="F605">
        <f t="shared" si="46"/>
        <v>0.34247343452900131</v>
      </c>
      <c r="G605">
        <f t="shared" si="47"/>
        <v>5.3853895804619169E-2</v>
      </c>
      <c r="H605">
        <v>177.90128843338192</v>
      </c>
      <c r="I605">
        <v>162.98770131771641</v>
      </c>
      <c r="J605">
        <v>242.63557833089328</v>
      </c>
      <c r="K605">
        <f t="shared" si="48"/>
        <v>5.5794029538790921</v>
      </c>
      <c r="L605">
        <f t="shared" si="49"/>
        <v>5.7584110395653543</v>
      </c>
    </row>
    <row r="606" spans="1:12" x14ac:dyDescent="0.3">
      <c r="A606">
        <v>5.3</v>
      </c>
      <c r="B606">
        <v>5.4</v>
      </c>
      <c r="C606">
        <v>5.3147877013177176</v>
      </c>
      <c r="D606">
        <v>5.4679355783308887</v>
      </c>
      <c r="E606">
        <f t="shared" si="45"/>
        <v>1.0046110412035977E-3</v>
      </c>
      <c r="F606">
        <f t="shared" si="46"/>
        <v>2.1867611026203226E-4</v>
      </c>
      <c r="G606">
        <f t="shared" si="47"/>
        <v>4.615242803152269E-3</v>
      </c>
      <c r="H606">
        <v>177.90128843338192</v>
      </c>
      <c r="I606">
        <v>162.98770131771641</v>
      </c>
      <c r="J606">
        <v>242.63557833089328</v>
      </c>
      <c r="K606">
        <f t="shared" si="48"/>
        <v>5.2596048004207958</v>
      </c>
      <c r="L606">
        <f t="shared" si="49"/>
        <v>5.4073597858415132</v>
      </c>
    </row>
    <row r="607" spans="1:12" x14ac:dyDescent="0.3">
      <c r="A607">
        <v>5.0999999999999996</v>
      </c>
      <c r="B607">
        <v>5.2</v>
      </c>
      <c r="C607">
        <v>5.3147877013177176</v>
      </c>
      <c r="D607">
        <v>5.4679355783308887</v>
      </c>
      <c r="E607">
        <f t="shared" si="45"/>
        <v>5.7549266970924912E-2</v>
      </c>
      <c r="F607">
        <f t="shared" si="46"/>
        <v>4.613375663734922E-2</v>
      </c>
      <c r="G607">
        <f t="shared" si="47"/>
        <v>7.1789474135507708E-2</v>
      </c>
      <c r="H607">
        <v>177.90128843338192</v>
      </c>
      <c r="I607">
        <v>162.98770131771641</v>
      </c>
      <c r="J607">
        <v>242.63557833089328</v>
      </c>
      <c r="K607">
        <f t="shared" si="48"/>
        <v>5.0748756639150701</v>
      </c>
      <c r="L607">
        <f t="shared" si="49"/>
        <v>5.2045775175001356</v>
      </c>
    </row>
    <row r="608" spans="1:12" x14ac:dyDescent="0.3">
      <c r="A608">
        <v>4.9000000000000004</v>
      </c>
      <c r="B608">
        <v>5.3</v>
      </c>
      <c r="C608">
        <v>5.3147877013177176</v>
      </c>
      <c r="D608">
        <v>5.4679355783308887</v>
      </c>
      <c r="E608">
        <f t="shared" si="45"/>
        <v>6.9657612505330854E-2</v>
      </c>
      <c r="F608">
        <f t="shared" si="46"/>
        <v>0.17204883716443581</v>
      </c>
      <c r="G608">
        <f t="shared" si="47"/>
        <v>2.8202358469330124E-2</v>
      </c>
      <c r="H608">
        <v>177.90128843338192</v>
      </c>
      <c r="I608">
        <v>162.98770131771641</v>
      </c>
      <c r="J608">
        <v>242.63557833089328</v>
      </c>
      <c r="K608">
        <f t="shared" si="48"/>
        <v>5.1245357834682226</v>
      </c>
      <c r="L608">
        <f t="shared" si="49"/>
        <v>5.259090800459048</v>
      </c>
    </row>
    <row r="609" spans="1:12" x14ac:dyDescent="0.3">
      <c r="A609">
        <v>5.2</v>
      </c>
      <c r="B609">
        <v>5</v>
      </c>
      <c r="C609">
        <v>5.3147877013177176</v>
      </c>
      <c r="D609">
        <v>5.4679355783308887</v>
      </c>
      <c r="E609">
        <f t="shared" si="45"/>
        <v>5.371324940137942E-2</v>
      </c>
      <c r="F609">
        <f t="shared" si="46"/>
        <v>1.3176216373805507E-2</v>
      </c>
      <c r="G609">
        <f t="shared" si="47"/>
        <v>0.21896370546786328</v>
      </c>
      <c r="H609">
        <v>177.90128843338192</v>
      </c>
      <c r="I609">
        <v>162.98770131771641</v>
      </c>
      <c r="J609">
        <v>242.63557833089328</v>
      </c>
      <c r="K609">
        <f t="shared" si="48"/>
        <v>4.9328509761090551</v>
      </c>
      <c r="L609">
        <f t="shared" si="49"/>
        <v>5.0486731003705341</v>
      </c>
    </row>
    <row r="610" spans="1:12" x14ac:dyDescent="0.3">
      <c r="A610">
        <v>4.7</v>
      </c>
      <c r="B610">
        <v>4.9000000000000004</v>
      </c>
      <c r="C610">
        <v>5.3147877013177176</v>
      </c>
      <c r="D610">
        <v>5.4679355783308887</v>
      </c>
      <c r="E610">
        <f t="shared" si="45"/>
        <v>0.34915980869859531</v>
      </c>
      <c r="F610">
        <f t="shared" si="46"/>
        <v>0.37796391769152293</v>
      </c>
      <c r="G610">
        <f t="shared" si="47"/>
        <v>0.32255082113404066</v>
      </c>
      <c r="H610">
        <v>177.90128843338192</v>
      </c>
      <c r="I610">
        <v>162.98770131771641</v>
      </c>
      <c r="J610">
        <v>242.63557833089328</v>
      </c>
      <c r="K610">
        <f t="shared" si="48"/>
        <v>4.783547142923247</v>
      </c>
      <c r="L610">
        <f t="shared" si="49"/>
        <v>4.8847781645841453</v>
      </c>
    </row>
    <row r="611" spans="1:12" x14ac:dyDescent="0.3">
      <c r="A611">
        <v>5.3</v>
      </c>
      <c r="B611">
        <v>5.6</v>
      </c>
      <c r="C611">
        <v>5.3147877013177176</v>
      </c>
      <c r="D611">
        <v>5.4679355783308887</v>
      </c>
      <c r="E611">
        <f t="shared" si="45"/>
        <v>-1.9529292223399485E-3</v>
      </c>
      <c r="F611">
        <f t="shared" si="46"/>
        <v>2.1867611026203226E-4</v>
      </c>
      <c r="G611">
        <f t="shared" si="47"/>
        <v>1.7441011470796734E-2</v>
      </c>
      <c r="H611">
        <v>177.90128843338192</v>
      </c>
      <c r="I611">
        <v>162.98770131771641</v>
      </c>
      <c r="J611">
        <v>242.63557833089328</v>
      </c>
      <c r="K611">
        <f t="shared" si="48"/>
        <v>5.4158643044600456</v>
      </c>
      <c r="L611">
        <f t="shared" si="49"/>
        <v>5.5788901533750384</v>
      </c>
    </row>
    <row r="612" spans="1:12" x14ac:dyDescent="0.3">
      <c r="A612">
        <v>5.8</v>
      </c>
      <c r="B612">
        <v>6.4</v>
      </c>
      <c r="C612">
        <v>5.3147877013177176</v>
      </c>
      <c r="D612">
        <v>5.4679355783308887</v>
      </c>
      <c r="E612">
        <f t="shared" si="45"/>
        <v>0.45224912055804162</v>
      </c>
      <c r="F612">
        <f t="shared" si="46"/>
        <v>0.23543097479254424</v>
      </c>
      <c r="G612">
        <f t="shared" si="47"/>
        <v>0.86874408614137555</v>
      </c>
      <c r="H612">
        <v>177.90128843338192</v>
      </c>
      <c r="I612">
        <v>162.98770131771641</v>
      </c>
      <c r="J612">
        <v>242.63557833089328</v>
      </c>
      <c r="K612">
        <f t="shared" si="48"/>
        <v>6.1120764017832352</v>
      </c>
      <c r="L612">
        <f t="shared" si="49"/>
        <v>6.3431413755287718</v>
      </c>
    </row>
    <row r="613" spans="1:12" x14ac:dyDescent="0.3">
      <c r="A613">
        <v>4.8</v>
      </c>
      <c r="B613">
        <v>5</v>
      </c>
      <c r="C613">
        <v>5.3147877013177176</v>
      </c>
      <c r="D613">
        <v>5.4679355783308887</v>
      </c>
      <c r="E613">
        <f t="shared" si="45"/>
        <v>0.24088748073373509</v>
      </c>
      <c r="F613">
        <f t="shared" si="46"/>
        <v>0.26500637742797983</v>
      </c>
      <c r="G613">
        <f t="shared" si="47"/>
        <v>0.21896370546786328</v>
      </c>
      <c r="H613">
        <v>177.90128843338192</v>
      </c>
      <c r="I613">
        <v>162.98770131771641</v>
      </c>
      <c r="J613">
        <v>242.63557833089328</v>
      </c>
      <c r="K613">
        <f t="shared" si="48"/>
        <v>4.8759117111761086</v>
      </c>
      <c r="L613">
        <f t="shared" si="49"/>
        <v>4.9861692987548327</v>
      </c>
    </row>
    <row r="614" spans="1:12" x14ac:dyDescent="0.3">
      <c r="A614">
        <v>6.1</v>
      </c>
      <c r="B614">
        <v>6.9</v>
      </c>
      <c r="C614">
        <v>5.3147877013177176</v>
      </c>
      <c r="D614">
        <v>5.4679355783308887</v>
      </c>
      <c r="E614">
        <f t="shared" si="45"/>
        <v>1.1244745963999159</v>
      </c>
      <c r="F614">
        <f t="shared" si="46"/>
        <v>0.61655835400191328</v>
      </c>
      <c r="G614">
        <f t="shared" si="47"/>
        <v>2.050808507810487</v>
      </c>
      <c r="H614">
        <v>177.90128843338192</v>
      </c>
      <c r="I614">
        <v>162.98770131771641</v>
      </c>
      <c r="J614">
        <v>242.63557833089328</v>
      </c>
      <c r="K614">
        <f t="shared" si="48"/>
        <v>6.545429610581075</v>
      </c>
      <c r="L614">
        <f t="shared" si="49"/>
        <v>6.8188451455743664</v>
      </c>
    </row>
    <row r="615" spans="1:12" x14ac:dyDescent="0.3">
      <c r="A615">
        <v>5.4</v>
      </c>
      <c r="B615">
        <v>6</v>
      </c>
      <c r="C615">
        <v>5.3147877013177176</v>
      </c>
      <c r="D615">
        <v>5.4679355783308887</v>
      </c>
      <c r="E615">
        <f t="shared" si="45"/>
        <v>4.5338432417484344E-2</v>
      </c>
      <c r="F615">
        <f t="shared" si="46"/>
        <v>7.2611358467185661E-3</v>
      </c>
      <c r="G615">
        <f t="shared" si="47"/>
        <v>0.28309254880608586</v>
      </c>
      <c r="H615">
        <v>177.90128843338192</v>
      </c>
      <c r="I615">
        <v>162.98770131771641</v>
      </c>
      <c r="J615">
        <v>242.63557833089328</v>
      </c>
      <c r="K615">
        <f t="shared" si="48"/>
        <v>5.7426181287717872</v>
      </c>
      <c r="L615">
        <f t="shared" si="49"/>
        <v>5.9375768388460193</v>
      </c>
    </row>
    <row r="616" spans="1:12" x14ac:dyDescent="0.3">
      <c r="A616">
        <v>6</v>
      </c>
      <c r="B616">
        <v>6.2</v>
      </c>
      <c r="C616">
        <v>5.3147877013177176</v>
      </c>
      <c r="D616">
        <v>5.4679355783308887</v>
      </c>
      <c r="E616">
        <f t="shared" si="45"/>
        <v>0.50161954515540752</v>
      </c>
      <c r="F616">
        <f t="shared" si="46"/>
        <v>0.46951589426545737</v>
      </c>
      <c r="G616">
        <f t="shared" si="47"/>
        <v>0.53591831747373064</v>
      </c>
      <c r="H616">
        <v>177.90128843338192</v>
      </c>
      <c r="I616">
        <v>162.98770131771641</v>
      </c>
      <c r="J616">
        <v>242.63557833089328</v>
      </c>
      <c r="K616">
        <f t="shared" si="48"/>
        <v>5.9842865302104578</v>
      </c>
      <c r="L616">
        <f t="shared" si="49"/>
        <v>6.2028629088030964</v>
      </c>
    </row>
    <row r="617" spans="1:12" x14ac:dyDescent="0.3">
      <c r="A617">
        <v>5.4</v>
      </c>
      <c r="B617">
        <v>5.3</v>
      </c>
      <c r="C617">
        <v>5.3147877013177176</v>
      </c>
      <c r="D617">
        <v>5.4679355783308887</v>
      </c>
      <c r="E617">
        <f t="shared" si="45"/>
        <v>-1.4310176660113597E-2</v>
      </c>
      <c r="F617">
        <f t="shared" si="46"/>
        <v>7.2611358467185661E-3</v>
      </c>
      <c r="G617">
        <f t="shared" si="47"/>
        <v>2.8202358469330124E-2</v>
      </c>
      <c r="H617">
        <v>177.90128843338192</v>
      </c>
      <c r="I617">
        <v>162.98770131771641</v>
      </c>
      <c r="J617">
        <v>242.63557833089328</v>
      </c>
      <c r="K617">
        <f t="shared" si="48"/>
        <v>5.1957098646344058</v>
      </c>
      <c r="L617">
        <f t="shared" si="49"/>
        <v>5.3372205524786747</v>
      </c>
    </row>
    <row r="618" spans="1:12" x14ac:dyDescent="0.3">
      <c r="A618">
        <v>4.8</v>
      </c>
      <c r="B618">
        <v>5.3</v>
      </c>
      <c r="C618">
        <v>5.3147877013177176</v>
      </c>
      <c r="D618">
        <v>5.4679355783308887</v>
      </c>
      <c r="E618">
        <f t="shared" si="45"/>
        <v>8.6451170338419828E-2</v>
      </c>
      <c r="F618">
        <f t="shared" si="46"/>
        <v>0.26500637742797983</v>
      </c>
      <c r="G618">
        <f t="shared" si="47"/>
        <v>2.8202358469330124E-2</v>
      </c>
      <c r="H618">
        <v>177.90128843338192</v>
      </c>
      <c r="I618">
        <v>162.98770131771641</v>
      </c>
      <c r="J618">
        <v>242.63557833089328</v>
      </c>
      <c r="K618">
        <f t="shared" si="48"/>
        <v>5.1103009672349859</v>
      </c>
      <c r="L618">
        <f t="shared" si="49"/>
        <v>5.2434648500551235</v>
      </c>
    </row>
    <row r="619" spans="1:12" x14ac:dyDescent="0.3">
      <c r="A619">
        <v>5.0999999999999996</v>
      </c>
      <c r="B619">
        <v>5.0999999999999996</v>
      </c>
      <c r="C619">
        <v>5.3147877013177176</v>
      </c>
      <c r="D619">
        <v>5.4679355783308887</v>
      </c>
      <c r="E619">
        <f t="shared" si="45"/>
        <v>7.9028037102696819E-2</v>
      </c>
      <c r="F619">
        <f t="shared" si="46"/>
        <v>4.613375663734922E-2</v>
      </c>
      <c r="G619">
        <f t="shared" si="47"/>
        <v>0.13537658980168582</v>
      </c>
      <c r="H619">
        <v>177.90128843338192</v>
      </c>
      <c r="I619">
        <v>162.98770131771641</v>
      </c>
      <c r="J619">
        <v>242.63557833089328</v>
      </c>
      <c r="K619">
        <f t="shared" si="48"/>
        <v>4.9967459118954443</v>
      </c>
      <c r="L619">
        <f t="shared" si="49"/>
        <v>5.1188123337333717</v>
      </c>
    </row>
    <row r="620" spans="1:12" x14ac:dyDescent="0.3">
      <c r="A620">
        <v>5.3</v>
      </c>
      <c r="B620">
        <v>5.2</v>
      </c>
      <c r="C620">
        <v>5.3147877013177176</v>
      </c>
      <c r="D620">
        <v>5.4679355783308887</v>
      </c>
      <c r="E620">
        <f t="shared" si="45"/>
        <v>3.9621513047471569E-3</v>
      </c>
      <c r="F620">
        <f t="shared" si="46"/>
        <v>2.1867611026203226E-4</v>
      </c>
      <c r="G620">
        <f t="shared" si="47"/>
        <v>7.1789474135507708E-2</v>
      </c>
      <c r="H620">
        <v>177.90128843338192</v>
      </c>
      <c r="I620">
        <v>162.98770131771641</v>
      </c>
      <c r="J620">
        <v>242.63557833089328</v>
      </c>
      <c r="K620">
        <f t="shared" si="48"/>
        <v>5.1033452963815442</v>
      </c>
      <c r="L620">
        <f t="shared" si="49"/>
        <v>5.2358294183079863</v>
      </c>
    </row>
    <row r="621" spans="1:12" x14ac:dyDescent="0.3">
      <c r="A621">
        <v>5.2</v>
      </c>
      <c r="B621">
        <v>5.4</v>
      </c>
      <c r="C621">
        <v>5.3147877013177176</v>
      </c>
      <c r="D621">
        <v>5.4679355783308887</v>
      </c>
      <c r="E621">
        <f t="shared" si="45"/>
        <v>7.7981688742924105E-3</v>
      </c>
      <c r="F621">
        <f t="shared" si="46"/>
        <v>1.3176216373805507E-2</v>
      </c>
      <c r="G621">
        <f t="shared" si="47"/>
        <v>4.615242803152269E-3</v>
      </c>
      <c r="H621">
        <v>177.90128843338192</v>
      </c>
      <c r="I621">
        <v>162.98770131771641</v>
      </c>
      <c r="J621">
        <v>242.63557833089328</v>
      </c>
      <c r="K621">
        <f t="shared" si="48"/>
        <v>5.2453699841875583</v>
      </c>
      <c r="L621">
        <f t="shared" si="49"/>
        <v>5.391733835437587</v>
      </c>
    </row>
    <row r="622" spans="1:12" x14ac:dyDescent="0.3">
      <c r="A622">
        <v>5.2</v>
      </c>
      <c r="B622">
        <v>5.3</v>
      </c>
      <c r="C622">
        <v>5.3147877013177176</v>
      </c>
      <c r="D622">
        <v>5.4679355783308887</v>
      </c>
      <c r="E622">
        <f t="shared" si="45"/>
        <v>1.9276939006064215E-2</v>
      </c>
      <c r="F622">
        <f t="shared" si="46"/>
        <v>1.3176216373805507E-2</v>
      </c>
      <c r="G622">
        <f t="shared" si="47"/>
        <v>2.8202358469330124E-2</v>
      </c>
      <c r="H622">
        <v>177.90128843338192</v>
      </c>
      <c r="I622">
        <v>162.98770131771641</v>
      </c>
      <c r="J622">
        <v>242.63557833089328</v>
      </c>
      <c r="K622">
        <f t="shared" si="48"/>
        <v>5.1672402321679325</v>
      </c>
      <c r="L622">
        <f t="shared" si="49"/>
        <v>5.305968651670824</v>
      </c>
    </row>
    <row r="623" spans="1:12" x14ac:dyDescent="0.3">
      <c r="A623">
        <v>5.3</v>
      </c>
      <c r="B623">
        <v>5.4</v>
      </c>
      <c r="C623">
        <v>5.3147877013177176</v>
      </c>
      <c r="D623">
        <v>5.4679355783308887</v>
      </c>
      <c r="E623">
        <f t="shared" si="45"/>
        <v>1.0046110412035977E-3</v>
      </c>
      <c r="F623">
        <f t="shared" si="46"/>
        <v>2.1867611026203226E-4</v>
      </c>
      <c r="G623">
        <f t="shared" si="47"/>
        <v>4.615242803152269E-3</v>
      </c>
      <c r="H623">
        <v>177.90128843338192</v>
      </c>
      <c r="I623">
        <v>162.98770131771641</v>
      </c>
      <c r="J623">
        <v>242.63557833089328</v>
      </c>
      <c r="K623">
        <f t="shared" si="48"/>
        <v>5.2596048004207958</v>
      </c>
      <c r="L623">
        <f t="shared" si="49"/>
        <v>5.4073597858415132</v>
      </c>
    </row>
    <row r="624" spans="1:12" x14ac:dyDescent="0.3">
      <c r="A624">
        <v>4.5</v>
      </c>
      <c r="B624">
        <v>5.5</v>
      </c>
      <c r="C624">
        <v>5.3147877013177176</v>
      </c>
      <c r="D624">
        <v>5.4679355783308887</v>
      </c>
      <c r="E624">
        <f t="shared" si="45"/>
        <v>-2.612569642585719E-2</v>
      </c>
      <c r="F624">
        <f t="shared" si="46"/>
        <v>0.66387899821861018</v>
      </c>
      <c r="G624">
        <f t="shared" si="47"/>
        <v>1.0281271369745727E-3</v>
      </c>
      <c r="H624">
        <v>177.90128843338192</v>
      </c>
      <c r="I624">
        <v>162.98770131771641</v>
      </c>
      <c r="J624">
        <v>242.63557833089328</v>
      </c>
      <c r="K624">
        <f t="shared" si="48"/>
        <v>5.2238560225745276</v>
      </c>
      <c r="L624">
        <f t="shared" si="49"/>
        <v>5.3681173663768744</v>
      </c>
    </row>
    <row r="625" spans="1:12" x14ac:dyDescent="0.3">
      <c r="A625">
        <v>5.2</v>
      </c>
      <c r="B625">
        <v>5.7</v>
      </c>
      <c r="C625">
        <v>5.3147877013177176</v>
      </c>
      <c r="D625">
        <v>5.4679355783308887</v>
      </c>
      <c r="E625">
        <f t="shared" si="45"/>
        <v>-2.6638141521022798E-2</v>
      </c>
      <c r="F625">
        <f t="shared" si="46"/>
        <v>1.3176216373805507E-2</v>
      </c>
      <c r="G625">
        <f t="shared" si="47"/>
        <v>5.3853895804619169E-2</v>
      </c>
      <c r="H625">
        <v>177.90128843338192</v>
      </c>
      <c r="I625">
        <v>162.98770131771641</v>
      </c>
      <c r="J625">
        <v>242.63557833089328</v>
      </c>
      <c r="K625">
        <f t="shared" si="48"/>
        <v>5.4797592402464357</v>
      </c>
      <c r="L625">
        <f t="shared" si="49"/>
        <v>5.6490293867378778</v>
      </c>
    </row>
    <row r="626" spans="1:12" x14ac:dyDescent="0.3">
      <c r="A626">
        <v>5.5</v>
      </c>
      <c r="B626">
        <v>5.7</v>
      </c>
      <c r="C626">
        <v>5.3147877013177176</v>
      </c>
      <c r="D626">
        <v>5.4679355783308887</v>
      </c>
      <c r="E626">
        <f t="shared" si="45"/>
        <v>4.2981184979710596E-2</v>
      </c>
      <c r="F626">
        <f t="shared" si="46"/>
        <v>3.4303595583174987E-2</v>
      </c>
      <c r="G626">
        <f t="shared" si="47"/>
        <v>5.3853895804619169E-2</v>
      </c>
      <c r="H626">
        <v>177.90128843338192</v>
      </c>
      <c r="I626">
        <v>162.98770131771641</v>
      </c>
      <c r="J626">
        <v>242.63557833089328</v>
      </c>
      <c r="K626">
        <f t="shared" si="48"/>
        <v>5.5224636889461456</v>
      </c>
      <c r="L626">
        <f t="shared" si="49"/>
        <v>5.6959072379496538</v>
      </c>
    </row>
    <row r="627" spans="1:12" x14ac:dyDescent="0.3">
      <c r="A627">
        <v>5.0999999999999996</v>
      </c>
      <c r="B627">
        <v>5.0999999999999996</v>
      </c>
      <c r="C627">
        <v>5.3147877013177176</v>
      </c>
      <c r="D627">
        <v>5.4679355783308887</v>
      </c>
      <c r="E627">
        <f t="shared" si="45"/>
        <v>7.9028037102696819E-2</v>
      </c>
      <c r="F627">
        <f t="shared" si="46"/>
        <v>4.613375663734922E-2</v>
      </c>
      <c r="G627">
        <f t="shared" si="47"/>
        <v>0.13537658980168582</v>
      </c>
      <c r="H627">
        <v>177.90128843338192</v>
      </c>
      <c r="I627">
        <v>162.98770131771641</v>
      </c>
      <c r="J627">
        <v>242.63557833089328</v>
      </c>
      <c r="K627">
        <f t="shared" si="48"/>
        <v>4.9967459118954443</v>
      </c>
      <c r="L627">
        <f t="shared" si="49"/>
        <v>5.1188123337333717</v>
      </c>
    </row>
    <row r="628" spans="1:12" x14ac:dyDescent="0.3">
      <c r="A628">
        <v>5.5</v>
      </c>
      <c r="B628">
        <v>5.8</v>
      </c>
      <c r="C628">
        <v>5.3147877013177176</v>
      </c>
      <c r="D628">
        <v>5.4679355783308887</v>
      </c>
      <c r="E628">
        <f t="shared" si="45"/>
        <v>6.1502414847938773E-2</v>
      </c>
      <c r="F628">
        <f t="shared" si="46"/>
        <v>3.4303595583174987E-2</v>
      </c>
      <c r="G628">
        <f t="shared" si="47"/>
        <v>0.11026678013844123</v>
      </c>
      <c r="H628">
        <v>177.90128843338192</v>
      </c>
      <c r="I628">
        <v>162.98770131771641</v>
      </c>
      <c r="J628">
        <v>242.63557833089328</v>
      </c>
      <c r="K628">
        <f t="shared" si="48"/>
        <v>5.6005934409657705</v>
      </c>
      <c r="L628">
        <f t="shared" si="49"/>
        <v>5.7816724217164159</v>
      </c>
    </row>
    <row r="629" spans="1:12" x14ac:dyDescent="0.3">
      <c r="A629">
        <v>5.5</v>
      </c>
      <c r="B629">
        <v>5.9</v>
      </c>
      <c r="C629">
        <v>5.3147877013177176</v>
      </c>
      <c r="D629">
        <v>5.4679355783308887</v>
      </c>
      <c r="E629">
        <f t="shared" si="45"/>
        <v>8.0023644716167103E-2</v>
      </c>
      <c r="F629">
        <f t="shared" si="46"/>
        <v>3.4303595583174987E-2</v>
      </c>
      <c r="G629">
        <f t="shared" si="47"/>
        <v>0.18667966447226389</v>
      </c>
      <c r="H629">
        <v>177.90128843338192</v>
      </c>
      <c r="I629">
        <v>162.98770131771641</v>
      </c>
      <c r="J629">
        <v>242.63557833089328</v>
      </c>
      <c r="K629">
        <f t="shared" si="48"/>
        <v>5.6787231929853972</v>
      </c>
      <c r="L629">
        <f t="shared" si="49"/>
        <v>5.8674376054831807</v>
      </c>
    </row>
    <row r="630" spans="1:12" x14ac:dyDescent="0.3">
      <c r="A630">
        <v>5</v>
      </c>
      <c r="B630">
        <v>5.5</v>
      </c>
      <c r="C630">
        <v>5.3147877013177176</v>
      </c>
      <c r="D630">
        <v>5.4679355783308887</v>
      </c>
      <c r="E630">
        <f t="shared" si="45"/>
        <v>-1.0093485591301552E-2</v>
      </c>
      <c r="F630">
        <f t="shared" si="46"/>
        <v>9.9091296900892592E-2</v>
      </c>
      <c r="G630">
        <f t="shared" si="47"/>
        <v>1.0281271369745727E-3</v>
      </c>
      <c r="H630">
        <v>177.90128843338192</v>
      </c>
      <c r="I630">
        <v>162.98770131771641</v>
      </c>
      <c r="J630">
        <v>242.63557833089328</v>
      </c>
      <c r="K630">
        <f t="shared" si="48"/>
        <v>5.2950301037407108</v>
      </c>
      <c r="L630">
        <f t="shared" si="49"/>
        <v>5.4462471183965002</v>
      </c>
    </row>
    <row r="631" spans="1:12" x14ac:dyDescent="0.3">
      <c r="A631">
        <v>5</v>
      </c>
      <c r="B631">
        <v>4.9000000000000004</v>
      </c>
      <c r="C631">
        <v>5.3147877013177176</v>
      </c>
      <c r="D631">
        <v>5.4679355783308887</v>
      </c>
      <c r="E631">
        <f t="shared" si="45"/>
        <v>0.17877913519932889</v>
      </c>
      <c r="F631">
        <f t="shared" si="46"/>
        <v>9.9091296900892592E-2</v>
      </c>
      <c r="G631">
        <f t="shared" si="47"/>
        <v>0.32255082113404066</v>
      </c>
      <c r="H631">
        <v>177.90128843338192</v>
      </c>
      <c r="I631">
        <v>162.98770131771641</v>
      </c>
      <c r="J631">
        <v>242.63557833089328</v>
      </c>
      <c r="K631">
        <f t="shared" si="48"/>
        <v>4.826251591622956</v>
      </c>
      <c r="L631">
        <f t="shared" si="49"/>
        <v>4.9316560157959195</v>
      </c>
    </row>
    <row r="632" spans="1:12" x14ac:dyDescent="0.3">
      <c r="A632">
        <v>5.2</v>
      </c>
      <c r="B632">
        <v>5.2</v>
      </c>
      <c r="C632">
        <v>5.3147877013177176</v>
      </c>
      <c r="D632">
        <v>5.4679355783308887</v>
      </c>
      <c r="E632">
        <f t="shared" si="45"/>
        <v>3.0755709137835915E-2</v>
      </c>
      <c r="F632">
        <f t="shared" si="46"/>
        <v>1.3176216373805507E-2</v>
      </c>
      <c r="G632">
        <f t="shared" si="47"/>
        <v>7.1789474135507708E-2</v>
      </c>
      <c r="H632">
        <v>177.90128843338192</v>
      </c>
      <c r="I632">
        <v>162.98770131771641</v>
      </c>
      <c r="J632">
        <v>242.63557833089328</v>
      </c>
      <c r="K632">
        <f t="shared" si="48"/>
        <v>5.0891104801483067</v>
      </c>
      <c r="L632">
        <f t="shared" si="49"/>
        <v>5.2202034679040601</v>
      </c>
    </row>
    <row r="633" spans="1:12" x14ac:dyDescent="0.3">
      <c r="A633">
        <v>5.8</v>
      </c>
      <c r="B633">
        <v>5.6</v>
      </c>
      <c r="C633">
        <v>5.3147877013177176</v>
      </c>
      <c r="D633">
        <v>5.4679355783308887</v>
      </c>
      <c r="E633">
        <f t="shared" si="45"/>
        <v>6.4079281612215516E-2</v>
      </c>
      <c r="F633">
        <f t="shared" si="46"/>
        <v>0.23543097479254424</v>
      </c>
      <c r="G633">
        <f t="shared" si="47"/>
        <v>1.7441011470796734E-2</v>
      </c>
      <c r="H633">
        <v>177.90128843338192</v>
      </c>
      <c r="I633">
        <v>162.98770131771641</v>
      </c>
      <c r="J633">
        <v>242.63557833089328</v>
      </c>
      <c r="K633">
        <f t="shared" si="48"/>
        <v>5.4870383856262288</v>
      </c>
      <c r="L633">
        <f t="shared" si="49"/>
        <v>5.6570199053946641</v>
      </c>
    </row>
    <row r="634" spans="1:12" x14ac:dyDescent="0.3">
      <c r="A634">
        <v>5.0999999999999996</v>
      </c>
      <c r="B634">
        <v>5.4</v>
      </c>
      <c r="C634">
        <v>5.3147877013177176</v>
      </c>
      <c r="D634">
        <v>5.4679355783308887</v>
      </c>
      <c r="E634">
        <f t="shared" si="45"/>
        <v>1.4591726707381283E-2</v>
      </c>
      <c r="F634">
        <f t="shared" si="46"/>
        <v>4.613375663734922E-2</v>
      </c>
      <c r="G634">
        <f t="shared" si="47"/>
        <v>4.615242803152269E-3</v>
      </c>
      <c r="H634">
        <v>177.90128843338192</v>
      </c>
      <c r="I634">
        <v>162.98770131771641</v>
      </c>
      <c r="J634">
        <v>242.63557833089328</v>
      </c>
      <c r="K634">
        <f t="shared" si="48"/>
        <v>5.2311351679543217</v>
      </c>
      <c r="L634">
        <f t="shared" si="49"/>
        <v>5.3761078850336625</v>
      </c>
    </row>
    <row r="635" spans="1:12" x14ac:dyDescent="0.3">
      <c r="A635">
        <v>5.5</v>
      </c>
      <c r="B635">
        <v>5.3</v>
      </c>
      <c r="C635">
        <v>5.3147877013177176</v>
      </c>
      <c r="D635">
        <v>5.4679355783308887</v>
      </c>
      <c r="E635">
        <f t="shared" si="45"/>
        <v>-3.1103734493202428E-2</v>
      </c>
      <c r="F635">
        <f t="shared" si="46"/>
        <v>3.4303595583174987E-2</v>
      </c>
      <c r="G635">
        <f t="shared" si="47"/>
        <v>2.8202358469330124E-2</v>
      </c>
      <c r="H635">
        <v>177.90128843338192</v>
      </c>
      <c r="I635">
        <v>162.98770131771641</v>
      </c>
      <c r="J635">
        <v>242.63557833089328</v>
      </c>
      <c r="K635">
        <f t="shared" si="48"/>
        <v>5.2099446808676424</v>
      </c>
      <c r="L635">
        <f t="shared" si="49"/>
        <v>5.3528465028826</v>
      </c>
    </row>
    <row r="636" spans="1:12" x14ac:dyDescent="0.3">
      <c r="A636">
        <v>5.9</v>
      </c>
      <c r="B636">
        <v>5.9</v>
      </c>
      <c r="C636">
        <v>5.3147877013177176</v>
      </c>
      <c r="D636">
        <v>5.4679355783308887</v>
      </c>
      <c r="E636">
        <f t="shared" si="45"/>
        <v>0.25284941338381189</v>
      </c>
      <c r="F636">
        <f t="shared" si="46"/>
        <v>0.34247343452900131</v>
      </c>
      <c r="G636">
        <f t="shared" si="47"/>
        <v>0.18667966447226389</v>
      </c>
      <c r="H636">
        <v>177.90128843338192</v>
      </c>
      <c r="I636">
        <v>162.98770131771641</v>
      </c>
      <c r="J636">
        <v>242.63557833089328</v>
      </c>
      <c r="K636">
        <f t="shared" si="48"/>
        <v>5.7356624579183437</v>
      </c>
      <c r="L636">
        <f t="shared" si="49"/>
        <v>5.9299414070988812</v>
      </c>
    </row>
    <row r="637" spans="1:12" x14ac:dyDescent="0.3">
      <c r="A637">
        <v>5.4</v>
      </c>
      <c r="B637">
        <v>5.4</v>
      </c>
      <c r="C637">
        <v>5.3147877013177176</v>
      </c>
      <c r="D637">
        <v>5.4679355783308887</v>
      </c>
      <c r="E637">
        <f t="shared" si="45"/>
        <v>-5.7889467918852758E-3</v>
      </c>
      <c r="F637">
        <f t="shared" si="46"/>
        <v>7.2611358467185661E-3</v>
      </c>
      <c r="G637">
        <f t="shared" si="47"/>
        <v>4.615242803152269E-3</v>
      </c>
      <c r="H637">
        <v>177.90128843338192</v>
      </c>
      <c r="I637">
        <v>162.98770131771641</v>
      </c>
      <c r="J637">
        <v>242.63557833089328</v>
      </c>
      <c r="K637">
        <f t="shared" si="48"/>
        <v>5.2738396166540316</v>
      </c>
      <c r="L637">
        <f t="shared" si="49"/>
        <v>5.4229857362454377</v>
      </c>
    </row>
    <row r="638" spans="1:12" x14ac:dyDescent="0.3">
      <c r="A638">
        <v>5.4</v>
      </c>
      <c r="B638">
        <v>5.0999999999999996</v>
      </c>
      <c r="C638">
        <v>5.3147877013177176</v>
      </c>
      <c r="D638">
        <v>5.4679355783308887</v>
      </c>
      <c r="E638">
        <f t="shared" si="45"/>
        <v>-3.1352636396570162E-2</v>
      </c>
      <c r="F638">
        <f t="shared" si="46"/>
        <v>7.2611358467185661E-3</v>
      </c>
      <c r="G638">
        <f t="shared" si="47"/>
        <v>0.13537658980168582</v>
      </c>
      <c r="H638">
        <v>177.90128843338192</v>
      </c>
      <c r="I638">
        <v>162.98770131771641</v>
      </c>
      <c r="J638">
        <v>242.63557833089328</v>
      </c>
      <c r="K638">
        <f t="shared" si="48"/>
        <v>5.0394503605951542</v>
      </c>
      <c r="L638">
        <f t="shared" si="49"/>
        <v>5.1656901849451478</v>
      </c>
    </row>
    <row r="639" spans="1:12" x14ac:dyDescent="0.3">
      <c r="A639">
        <v>5.0999999999999996</v>
      </c>
      <c r="B639">
        <v>5.0999999999999996</v>
      </c>
      <c r="C639">
        <v>5.3147877013177176</v>
      </c>
      <c r="D639">
        <v>5.4679355783308887</v>
      </c>
      <c r="E639">
        <f t="shared" si="45"/>
        <v>7.9028037102696819E-2</v>
      </c>
      <c r="F639">
        <f t="shared" si="46"/>
        <v>4.613375663734922E-2</v>
      </c>
      <c r="G639">
        <f t="shared" si="47"/>
        <v>0.13537658980168582</v>
      </c>
      <c r="H639">
        <v>177.90128843338192</v>
      </c>
      <c r="I639">
        <v>162.98770131771641</v>
      </c>
      <c r="J639">
        <v>242.63557833089328</v>
      </c>
      <c r="K639">
        <f t="shared" si="48"/>
        <v>4.9967459118954443</v>
      </c>
      <c r="L639">
        <f t="shared" si="49"/>
        <v>5.1188123337333717</v>
      </c>
    </row>
    <row r="640" spans="1:12" x14ac:dyDescent="0.3">
      <c r="A640">
        <v>5</v>
      </c>
      <c r="B640">
        <v>5.3</v>
      </c>
      <c r="C640">
        <v>5.3147877013177176</v>
      </c>
      <c r="D640">
        <v>5.4679355783308887</v>
      </c>
      <c r="E640">
        <f t="shared" si="45"/>
        <v>5.2864054672242027E-2</v>
      </c>
      <c r="F640">
        <f t="shared" si="46"/>
        <v>9.9091296900892592E-2</v>
      </c>
      <c r="G640">
        <f t="shared" si="47"/>
        <v>2.8202358469330124E-2</v>
      </c>
      <c r="H640">
        <v>177.90128843338192</v>
      </c>
      <c r="I640">
        <v>162.98770131771641</v>
      </c>
      <c r="J640">
        <v>242.63557833089328</v>
      </c>
      <c r="K640">
        <f t="shared" si="48"/>
        <v>5.1387705997014592</v>
      </c>
      <c r="L640">
        <f t="shared" si="49"/>
        <v>5.2747167508629733</v>
      </c>
    </row>
    <row r="641" spans="1:12" x14ac:dyDescent="0.3">
      <c r="A641">
        <v>5.4</v>
      </c>
      <c r="B641">
        <v>5.7</v>
      </c>
      <c r="C641">
        <v>5.3147877013177176</v>
      </c>
      <c r="D641">
        <v>5.4679355783308887</v>
      </c>
      <c r="E641">
        <f t="shared" si="45"/>
        <v>1.9774742812799534E-2</v>
      </c>
      <c r="F641">
        <f t="shared" si="46"/>
        <v>7.2611358467185661E-3</v>
      </c>
      <c r="G641">
        <f t="shared" si="47"/>
        <v>5.3853895804619169E-2</v>
      </c>
      <c r="H641">
        <v>177.90128843338192</v>
      </c>
      <c r="I641">
        <v>162.98770131771641</v>
      </c>
      <c r="J641">
        <v>242.63557833089328</v>
      </c>
      <c r="K641">
        <f t="shared" si="48"/>
        <v>5.508228872712909</v>
      </c>
      <c r="L641">
        <f t="shared" si="49"/>
        <v>5.6802812875457285</v>
      </c>
    </row>
    <row r="642" spans="1:12" x14ac:dyDescent="0.3">
      <c r="A642">
        <v>5.0999999999999996</v>
      </c>
      <c r="B642">
        <v>4.9000000000000004</v>
      </c>
      <c r="C642">
        <v>5.3147877013177176</v>
      </c>
      <c r="D642">
        <v>5.4679355783308887</v>
      </c>
      <c r="E642">
        <f t="shared" si="45"/>
        <v>0.12198557736624026</v>
      </c>
      <c r="F642">
        <f t="shared" si="46"/>
        <v>4.613375663734922E-2</v>
      </c>
      <c r="G642">
        <f t="shared" si="47"/>
        <v>0.32255082113404066</v>
      </c>
      <c r="H642">
        <v>177.90128843338192</v>
      </c>
      <c r="I642">
        <v>162.98770131771641</v>
      </c>
      <c r="J642">
        <v>242.63557833089328</v>
      </c>
      <c r="K642">
        <f t="shared" si="48"/>
        <v>4.8404864078561927</v>
      </c>
      <c r="L642">
        <f t="shared" si="49"/>
        <v>4.9472819661998448</v>
      </c>
    </row>
    <row r="643" spans="1:12" x14ac:dyDescent="0.3">
      <c r="A643">
        <v>5.6</v>
      </c>
      <c r="B643">
        <v>5.7</v>
      </c>
      <c r="C643">
        <v>5.3147877013177176</v>
      </c>
      <c r="D643">
        <v>5.4679355783308887</v>
      </c>
      <c r="E643">
        <f t="shared" ref="E643:E706" si="50">(A643-C643)*(B643-D643)</f>
        <v>6.6187627146621658E-2</v>
      </c>
      <c r="F643">
        <f t="shared" ref="F643:F706" si="51">(A643-C643)^2</f>
        <v>8.1346055319631266E-2</v>
      </c>
      <c r="G643">
        <f t="shared" ref="G643:G706" si="52">(B643-D643)^2</f>
        <v>5.3853895804619169E-2</v>
      </c>
      <c r="H643">
        <v>177.90128843338192</v>
      </c>
      <c r="I643">
        <v>162.98770131771641</v>
      </c>
      <c r="J643">
        <v>242.63557833089328</v>
      </c>
      <c r="K643">
        <f t="shared" ref="K643:K706" si="53">(1.097727582*(B643+0.366253474)+0.2*A643)/(0.2+1.097727582^2)</f>
        <v>5.5366985051793822</v>
      </c>
      <c r="L643">
        <f t="shared" ref="L643:L706" si="54">1.097727582*K643-0.366253474</f>
        <v>5.7115331883535783</v>
      </c>
    </row>
    <row r="644" spans="1:12" x14ac:dyDescent="0.3">
      <c r="A644">
        <v>5.5</v>
      </c>
      <c r="B644">
        <v>5.8</v>
      </c>
      <c r="C644">
        <v>5.3147877013177176</v>
      </c>
      <c r="D644">
        <v>5.4679355783308887</v>
      </c>
      <c r="E644">
        <f t="shared" si="50"/>
        <v>6.1502414847938773E-2</v>
      </c>
      <c r="F644">
        <f t="shared" si="51"/>
        <v>3.4303595583174987E-2</v>
      </c>
      <c r="G644">
        <f t="shared" si="52"/>
        <v>0.11026678013844123</v>
      </c>
      <c r="H644">
        <v>177.90128843338192</v>
      </c>
      <c r="I644">
        <v>162.98770131771641</v>
      </c>
      <c r="J644">
        <v>242.63557833089328</v>
      </c>
      <c r="K644">
        <f t="shared" si="53"/>
        <v>5.6005934409657705</v>
      </c>
      <c r="L644">
        <f t="shared" si="54"/>
        <v>5.7816724217164159</v>
      </c>
    </row>
    <row r="645" spans="1:12" x14ac:dyDescent="0.3">
      <c r="A645">
        <v>5.7</v>
      </c>
      <c r="B645">
        <v>5.6</v>
      </c>
      <c r="C645">
        <v>5.3147877013177176</v>
      </c>
      <c r="D645">
        <v>5.4679355783308887</v>
      </c>
      <c r="E645">
        <f t="shared" si="50"/>
        <v>5.087283944530447E-2</v>
      </c>
      <c r="F645">
        <f t="shared" si="51"/>
        <v>0.14838851505608808</v>
      </c>
      <c r="G645">
        <f t="shared" si="52"/>
        <v>1.7441011470796734E-2</v>
      </c>
      <c r="H645">
        <v>177.90128843338192</v>
      </c>
      <c r="I645">
        <v>162.98770131771641</v>
      </c>
      <c r="J645">
        <v>242.63557833089328</v>
      </c>
      <c r="K645">
        <f t="shared" si="53"/>
        <v>5.4728035693929922</v>
      </c>
      <c r="L645">
        <f t="shared" si="54"/>
        <v>5.6413939549907397</v>
      </c>
    </row>
    <row r="646" spans="1:12" x14ac:dyDescent="0.3">
      <c r="A646">
        <v>5.6</v>
      </c>
      <c r="B646">
        <v>6</v>
      </c>
      <c r="C646">
        <v>5.3147877013177176</v>
      </c>
      <c r="D646">
        <v>5.4679355783308887</v>
      </c>
      <c r="E646">
        <f t="shared" si="50"/>
        <v>0.15175131675130621</v>
      </c>
      <c r="F646">
        <f t="shared" si="51"/>
        <v>8.1346055319631266E-2</v>
      </c>
      <c r="G646">
        <f t="shared" si="52"/>
        <v>0.28309254880608586</v>
      </c>
      <c r="H646">
        <v>177.90128843338192</v>
      </c>
      <c r="I646">
        <v>162.98770131771641</v>
      </c>
      <c r="J646">
        <v>242.63557833089328</v>
      </c>
      <c r="K646">
        <f t="shared" si="53"/>
        <v>5.7710877612382596</v>
      </c>
      <c r="L646">
        <f t="shared" si="54"/>
        <v>5.9688287396538691</v>
      </c>
    </row>
    <row r="647" spans="1:12" x14ac:dyDescent="0.3">
      <c r="A647">
        <v>5.3</v>
      </c>
      <c r="B647">
        <v>5.2</v>
      </c>
      <c r="C647">
        <v>5.3147877013177176</v>
      </c>
      <c r="D647">
        <v>5.4679355783308887</v>
      </c>
      <c r="E647">
        <f t="shared" si="50"/>
        <v>3.9621513047471569E-3</v>
      </c>
      <c r="F647">
        <f t="shared" si="51"/>
        <v>2.1867611026203226E-4</v>
      </c>
      <c r="G647">
        <f t="shared" si="52"/>
        <v>7.1789474135507708E-2</v>
      </c>
      <c r="H647">
        <v>177.90128843338192</v>
      </c>
      <c r="I647">
        <v>162.98770131771641</v>
      </c>
      <c r="J647">
        <v>242.63557833089328</v>
      </c>
      <c r="K647">
        <f t="shared" si="53"/>
        <v>5.1033452963815442</v>
      </c>
      <c r="L647">
        <f t="shared" si="54"/>
        <v>5.2358294183079863</v>
      </c>
    </row>
    <row r="648" spans="1:12" x14ac:dyDescent="0.3">
      <c r="A648">
        <v>5.7</v>
      </c>
      <c r="B648">
        <v>5.5</v>
      </c>
      <c r="C648">
        <v>5.3147877013177176</v>
      </c>
      <c r="D648">
        <v>5.4679355783308887</v>
      </c>
      <c r="E648">
        <f t="shared" si="50"/>
        <v>1.2351609577076346E-2</v>
      </c>
      <c r="F648">
        <f t="shared" si="51"/>
        <v>0.14838851505608808</v>
      </c>
      <c r="G648">
        <f t="shared" si="52"/>
        <v>1.0281271369745727E-3</v>
      </c>
      <c r="H648">
        <v>177.90128843338192</v>
      </c>
      <c r="I648">
        <v>162.98770131771641</v>
      </c>
      <c r="J648">
        <v>242.63557833089328</v>
      </c>
      <c r="K648">
        <f t="shared" si="53"/>
        <v>5.3946738173733664</v>
      </c>
      <c r="L648">
        <f t="shared" si="54"/>
        <v>5.5556287712239758</v>
      </c>
    </row>
    <row r="649" spans="1:12" x14ac:dyDescent="0.3">
      <c r="A649">
        <v>5.2</v>
      </c>
      <c r="B649">
        <v>5.4</v>
      </c>
      <c r="C649">
        <v>5.3147877013177176</v>
      </c>
      <c r="D649">
        <v>5.4679355783308887</v>
      </c>
      <c r="E649">
        <f t="shared" si="50"/>
        <v>7.7981688742924105E-3</v>
      </c>
      <c r="F649">
        <f t="shared" si="51"/>
        <v>1.3176216373805507E-2</v>
      </c>
      <c r="G649">
        <f t="shared" si="52"/>
        <v>4.615242803152269E-3</v>
      </c>
      <c r="H649">
        <v>177.90128843338192</v>
      </c>
      <c r="I649">
        <v>162.98770131771641</v>
      </c>
      <c r="J649">
        <v>242.63557833089328</v>
      </c>
      <c r="K649">
        <f t="shared" si="53"/>
        <v>5.2453699841875583</v>
      </c>
      <c r="L649">
        <f t="shared" si="54"/>
        <v>5.391733835437587</v>
      </c>
    </row>
    <row r="650" spans="1:12" x14ac:dyDescent="0.3">
      <c r="A650">
        <v>5.9</v>
      </c>
      <c r="B650">
        <v>6</v>
      </c>
      <c r="C650">
        <v>5.3147877013177176</v>
      </c>
      <c r="D650">
        <v>5.4679355783308887</v>
      </c>
      <c r="E650">
        <f t="shared" si="50"/>
        <v>0.31137064325204</v>
      </c>
      <c r="F650">
        <f t="shared" si="51"/>
        <v>0.34247343452900131</v>
      </c>
      <c r="G650">
        <f t="shared" si="52"/>
        <v>0.28309254880608586</v>
      </c>
      <c r="H650">
        <v>177.90128843338192</v>
      </c>
      <c r="I650">
        <v>162.98770131771641</v>
      </c>
      <c r="J650">
        <v>242.63557833089328</v>
      </c>
      <c r="K650">
        <f t="shared" si="53"/>
        <v>5.8137922099379695</v>
      </c>
      <c r="L650">
        <f t="shared" si="54"/>
        <v>6.0157065908656442</v>
      </c>
    </row>
    <row r="651" spans="1:12" x14ac:dyDescent="0.3">
      <c r="A651">
        <v>5</v>
      </c>
      <c r="B651">
        <v>5.4</v>
      </c>
      <c r="C651">
        <v>5.3147877013177176</v>
      </c>
      <c r="D651">
        <v>5.4679355783308887</v>
      </c>
      <c r="E651">
        <f t="shared" si="50"/>
        <v>2.1385284540470097E-2</v>
      </c>
      <c r="F651">
        <f t="shared" si="51"/>
        <v>9.9091296900892592E-2</v>
      </c>
      <c r="G651">
        <f t="shared" si="52"/>
        <v>4.615242803152269E-3</v>
      </c>
      <c r="H651">
        <v>177.90128843338192</v>
      </c>
      <c r="I651">
        <v>162.98770131771641</v>
      </c>
      <c r="J651">
        <v>242.63557833089328</v>
      </c>
      <c r="K651">
        <f t="shared" si="53"/>
        <v>5.2169003517210859</v>
      </c>
      <c r="L651">
        <f t="shared" si="54"/>
        <v>5.3604819346297381</v>
      </c>
    </row>
    <row r="652" spans="1:12" x14ac:dyDescent="0.3">
      <c r="A652">
        <v>5</v>
      </c>
      <c r="B652">
        <v>4.9000000000000004</v>
      </c>
      <c r="C652">
        <v>5.3147877013177176</v>
      </c>
      <c r="D652">
        <v>5.4679355783308887</v>
      </c>
      <c r="E652">
        <f t="shared" si="50"/>
        <v>0.17877913519932889</v>
      </c>
      <c r="F652">
        <f t="shared" si="51"/>
        <v>9.9091296900892592E-2</v>
      </c>
      <c r="G652">
        <f t="shared" si="52"/>
        <v>0.32255082113404066</v>
      </c>
      <c r="H652">
        <v>177.90128843338192</v>
      </c>
      <c r="I652">
        <v>162.98770131771641</v>
      </c>
      <c r="J652">
        <v>242.63557833089328</v>
      </c>
      <c r="K652">
        <f t="shared" si="53"/>
        <v>4.826251591622956</v>
      </c>
      <c r="L652">
        <f t="shared" si="54"/>
        <v>4.9316560157959195</v>
      </c>
    </row>
    <row r="653" spans="1:12" x14ac:dyDescent="0.3">
      <c r="A653">
        <v>5.5</v>
      </c>
      <c r="B653">
        <v>5.6</v>
      </c>
      <c r="C653">
        <v>5.3147877013177176</v>
      </c>
      <c r="D653">
        <v>5.4679355783308887</v>
      </c>
      <c r="E653">
        <f t="shared" si="50"/>
        <v>2.4459955111482259E-2</v>
      </c>
      <c r="F653">
        <f t="shared" si="51"/>
        <v>3.4303595583174987E-2</v>
      </c>
      <c r="G653">
        <f t="shared" si="52"/>
        <v>1.7441011470796734E-2</v>
      </c>
      <c r="H653">
        <v>177.90128843338192</v>
      </c>
      <c r="I653">
        <v>162.98770131771641</v>
      </c>
      <c r="J653">
        <v>242.63557833089328</v>
      </c>
      <c r="K653">
        <f t="shared" si="53"/>
        <v>5.4443339369265189</v>
      </c>
      <c r="L653">
        <f t="shared" si="54"/>
        <v>5.610142054182889</v>
      </c>
    </row>
    <row r="654" spans="1:12" x14ac:dyDescent="0.3">
      <c r="A654">
        <v>5</v>
      </c>
      <c r="B654">
        <v>5.2</v>
      </c>
      <c r="C654">
        <v>5.3147877013177176</v>
      </c>
      <c r="D654">
        <v>5.4679355783308887</v>
      </c>
      <c r="E654">
        <f t="shared" si="50"/>
        <v>8.4342824804013672E-2</v>
      </c>
      <c r="F654">
        <f t="shared" si="51"/>
        <v>9.9091296900892592E-2</v>
      </c>
      <c r="G654">
        <f t="shared" si="52"/>
        <v>7.1789474135507708E-2</v>
      </c>
      <c r="H654">
        <v>177.90128843338192</v>
      </c>
      <c r="I654">
        <v>162.98770131771641</v>
      </c>
      <c r="J654">
        <v>242.63557833089328</v>
      </c>
      <c r="K654">
        <f t="shared" si="53"/>
        <v>5.0606408476818334</v>
      </c>
      <c r="L654">
        <f t="shared" si="54"/>
        <v>5.1889515670962103</v>
      </c>
    </row>
    <row r="655" spans="1:12" x14ac:dyDescent="0.3">
      <c r="A655">
        <v>5.3</v>
      </c>
      <c r="B655">
        <v>5.3</v>
      </c>
      <c r="C655">
        <v>5.3147877013177176</v>
      </c>
      <c r="D655">
        <v>5.4679355783308887</v>
      </c>
      <c r="E655">
        <f t="shared" si="50"/>
        <v>2.4833811729753838E-3</v>
      </c>
      <c r="F655">
        <f t="shared" si="51"/>
        <v>2.1867611026203226E-4</v>
      </c>
      <c r="G655">
        <f t="shared" si="52"/>
        <v>2.8202358469330124E-2</v>
      </c>
      <c r="H655">
        <v>177.90128843338192</v>
      </c>
      <c r="I655">
        <v>162.98770131771641</v>
      </c>
      <c r="J655">
        <v>242.63557833089328</v>
      </c>
      <c r="K655">
        <f t="shared" si="53"/>
        <v>5.1814750484011682</v>
      </c>
      <c r="L655">
        <f t="shared" si="54"/>
        <v>5.3215946020747484</v>
      </c>
    </row>
    <row r="656" spans="1:12" x14ac:dyDescent="0.3">
      <c r="A656">
        <v>4.9000000000000004</v>
      </c>
      <c r="B656">
        <v>5.2</v>
      </c>
      <c r="C656">
        <v>5.3147877013177176</v>
      </c>
      <c r="D656">
        <v>5.4679355783308887</v>
      </c>
      <c r="E656">
        <f t="shared" si="50"/>
        <v>0.11113638263710243</v>
      </c>
      <c r="F656">
        <f t="shared" si="51"/>
        <v>0.17204883716443581</v>
      </c>
      <c r="G656">
        <f t="shared" si="52"/>
        <v>7.1789474135507708E-2</v>
      </c>
      <c r="H656">
        <v>177.90128843338192</v>
      </c>
      <c r="I656">
        <v>162.98770131771641</v>
      </c>
      <c r="J656">
        <v>242.63557833089328</v>
      </c>
      <c r="K656">
        <f t="shared" si="53"/>
        <v>5.0464060314485977</v>
      </c>
      <c r="L656">
        <f t="shared" si="54"/>
        <v>5.1733256166922859</v>
      </c>
    </row>
    <row r="657" spans="1:12" x14ac:dyDescent="0.3">
      <c r="A657">
        <v>5.4</v>
      </c>
      <c r="B657">
        <v>5.6</v>
      </c>
      <c r="C657">
        <v>5.3147877013177176</v>
      </c>
      <c r="D657">
        <v>5.4679355783308887</v>
      </c>
      <c r="E657">
        <f t="shared" si="50"/>
        <v>1.1253512944571213E-2</v>
      </c>
      <c r="F657">
        <f t="shared" si="51"/>
        <v>7.2611358467185661E-3</v>
      </c>
      <c r="G657">
        <f t="shared" si="52"/>
        <v>1.7441011470796734E-2</v>
      </c>
      <c r="H657">
        <v>177.90128843338192</v>
      </c>
      <c r="I657">
        <v>162.98770131771641</v>
      </c>
      <c r="J657">
        <v>242.63557833089328</v>
      </c>
      <c r="K657">
        <f t="shared" si="53"/>
        <v>5.4300991206932823</v>
      </c>
      <c r="L657">
        <f t="shared" si="54"/>
        <v>5.5945161037789637</v>
      </c>
    </row>
    <row r="658" spans="1:12" x14ac:dyDescent="0.3">
      <c r="A658">
        <v>5.0999999999999996</v>
      </c>
      <c r="B658">
        <v>5.3</v>
      </c>
      <c r="C658">
        <v>5.3147877013177176</v>
      </c>
      <c r="D658">
        <v>5.4679355783308887</v>
      </c>
      <c r="E658">
        <f t="shared" si="50"/>
        <v>3.6070496839153192E-2</v>
      </c>
      <c r="F658">
        <f t="shared" si="51"/>
        <v>4.613375663734922E-2</v>
      </c>
      <c r="G658">
        <f t="shared" si="52"/>
        <v>2.8202358469330124E-2</v>
      </c>
      <c r="H658">
        <v>177.90128843338192</v>
      </c>
      <c r="I658">
        <v>162.98770131771641</v>
      </c>
      <c r="J658">
        <v>242.63557833089328</v>
      </c>
      <c r="K658">
        <f t="shared" si="53"/>
        <v>5.1530054159346959</v>
      </c>
      <c r="L658">
        <f t="shared" si="54"/>
        <v>5.2903427012668987</v>
      </c>
    </row>
    <row r="659" spans="1:12" x14ac:dyDescent="0.3">
      <c r="A659">
        <v>5.0999999999999996</v>
      </c>
      <c r="B659">
        <v>5.4</v>
      </c>
      <c r="C659">
        <v>5.3147877013177176</v>
      </c>
      <c r="D659">
        <v>5.4679355783308887</v>
      </c>
      <c r="E659">
        <f t="shared" si="50"/>
        <v>1.4591726707381283E-2</v>
      </c>
      <c r="F659">
        <f t="shared" si="51"/>
        <v>4.613375663734922E-2</v>
      </c>
      <c r="G659">
        <f t="shared" si="52"/>
        <v>4.615242803152269E-3</v>
      </c>
      <c r="H659">
        <v>177.90128843338192</v>
      </c>
      <c r="I659">
        <v>162.98770131771641</v>
      </c>
      <c r="J659">
        <v>242.63557833089328</v>
      </c>
      <c r="K659">
        <f t="shared" si="53"/>
        <v>5.2311351679543217</v>
      </c>
      <c r="L659">
        <f t="shared" si="54"/>
        <v>5.3761078850336625</v>
      </c>
    </row>
    <row r="660" spans="1:12" x14ac:dyDescent="0.3">
      <c r="A660">
        <v>5.0999999999999996</v>
      </c>
      <c r="B660">
        <v>5.4</v>
      </c>
      <c r="C660">
        <v>5.3147877013177176</v>
      </c>
      <c r="D660">
        <v>5.4679355783308887</v>
      </c>
      <c r="E660">
        <f t="shared" si="50"/>
        <v>1.4591726707381283E-2</v>
      </c>
      <c r="F660">
        <f t="shared" si="51"/>
        <v>4.613375663734922E-2</v>
      </c>
      <c r="G660">
        <f t="shared" si="52"/>
        <v>4.615242803152269E-3</v>
      </c>
      <c r="H660">
        <v>177.90128843338192</v>
      </c>
      <c r="I660">
        <v>162.98770131771641</v>
      </c>
      <c r="J660">
        <v>242.63557833089328</v>
      </c>
      <c r="K660">
        <f t="shared" si="53"/>
        <v>5.2311351679543217</v>
      </c>
      <c r="L660">
        <f t="shared" si="54"/>
        <v>5.3761078850336625</v>
      </c>
    </row>
    <row r="661" spans="1:12" x14ac:dyDescent="0.3">
      <c r="A661">
        <v>5.8</v>
      </c>
      <c r="B661">
        <v>6.1</v>
      </c>
      <c r="C661">
        <v>5.3147877013177176</v>
      </c>
      <c r="D661">
        <v>5.4679355783308887</v>
      </c>
      <c r="E661">
        <f t="shared" si="50"/>
        <v>0.3066854309533566</v>
      </c>
      <c r="F661">
        <f t="shared" si="51"/>
        <v>0.23543097479254424</v>
      </c>
      <c r="G661">
        <f t="shared" si="52"/>
        <v>0.39950543313990766</v>
      </c>
      <c r="H661">
        <v>177.90128843338192</v>
      </c>
      <c r="I661">
        <v>162.98770131771641</v>
      </c>
      <c r="J661">
        <v>242.63557833089328</v>
      </c>
      <c r="K661">
        <f t="shared" si="53"/>
        <v>5.8776871457243578</v>
      </c>
      <c r="L661">
        <f t="shared" si="54"/>
        <v>6.0858458242284819</v>
      </c>
    </row>
    <row r="662" spans="1:12" x14ac:dyDescent="0.3">
      <c r="A662">
        <v>5</v>
      </c>
      <c r="B662">
        <v>5.3</v>
      </c>
      <c r="C662">
        <v>5.3147877013177176</v>
      </c>
      <c r="D662">
        <v>5.4679355783308887</v>
      </c>
      <c r="E662">
        <f t="shared" si="50"/>
        <v>5.2864054672242027E-2</v>
      </c>
      <c r="F662">
        <f t="shared" si="51"/>
        <v>9.9091296900892592E-2</v>
      </c>
      <c r="G662">
        <f t="shared" si="52"/>
        <v>2.8202358469330124E-2</v>
      </c>
      <c r="H662">
        <v>177.90128843338192</v>
      </c>
      <c r="I662">
        <v>162.98770131771641</v>
      </c>
      <c r="J662">
        <v>242.63557833089328</v>
      </c>
      <c r="K662">
        <f t="shared" si="53"/>
        <v>5.1387705997014592</v>
      </c>
      <c r="L662">
        <f t="shared" si="54"/>
        <v>5.2747167508629733</v>
      </c>
    </row>
    <row r="663" spans="1:12" x14ac:dyDescent="0.3">
      <c r="A663">
        <v>5.0999999999999996</v>
      </c>
      <c r="B663">
        <v>5.2</v>
      </c>
      <c r="C663">
        <v>5.3147877013177176</v>
      </c>
      <c r="D663">
        <v>5.4679355783308887</v>
      </c>
      <c r="E663">
        <f t="shared" si="50"/>
        <v>5.7549266970924912E-2</v>
      </c>
      <c r="F663">
        <f t="shared" si="51"/>
        <v>4.613375663734922E-2</v>
      </c>
      <c r="G663">
        <f t="shared" si="52"/>
        <v>7.1789474135507708E-2</v>
      </c>
      <c r="H663">
        <v>177.90128843338192</v>
      </c>
      <c r="I663">
        <v>162.98770131771641</v>
      </c>
      <c r="J663">
        <v>242.63557833089328</v>
      </c>
      <c r="K663">
        <f t="shared" si="53"/>
        <v>5.0748756639150701</v>
      </c>
      <c r="L663">
        <f t="shared" si="54"/>
        <v>5.2045775175001356</v>
      </c>
    </row>
    <row r="664" spans="1:12" x14ac:dyDescent="0.3">
      <c r="A664">
        <v>5.0999999999999996</v>
      </c>
      <c r="B664">
        <v>5</v>
      </c>
      <c r="C664">
        <v>5.3147877013177176</v>
      </c>
      <c r="D664">
        <v>5.4679355783308887</v>
      </c>
      <c r="E664">
        <f t="shared" si="50"/>
        <v>0.10050680723446855</v>
      </c>
      <c r="F664">
        <f t="shared" si="51"/>
        <v>4.613375663734922E-2</v>
      </c>
      <c r="G664">
        <f t="shared" si="52"/>
        <v>0.21896370546786328</v>
      </c>
      <c r="H664">
        <v>177.90128843338192</v>
      </c>
      <c r="I664">
        <v>162.98770131771641</v>
      </c>
      <c r="J664">
        <v>242.63557833089328</v>
      </c>
      <c r="K664">
        <f t="shared" si="53"/>
        <v>4.9186161598758185</v>
      </c>
      <c r="L664">
        <f t="shared" si="54"/>
        <v>5.0330471499666087</v>
      </c>
    </row>
    <row r="665" spans="1:12" x14ac:dyDescent="0.3">
      <c r="A665">
        <v>4.8</v>
      </c>
      <c r="B665">
        <v>5.2</v>
      </c>
      <c r="C665">
        <v>5.3147877013177176</v>
      </c>
      <c r="D665">
        <v>5.4679355783308887</v>
      </c>
      <c r="E665">
        <f t="shared" si="50"/>
        <v>0.13792994047019144</v>
      </c>
      <c r="F665">
        <f t="shared" si="51"/>
        <v>0.26500637742797983</v>
      </c>
      <c r="G665">
        <f t="shared" si="52"/>
        <v>7.1789474135507708E-2</v>
      </c>
      <c r="H665">
        <v>177.90128843338192</v>
      </c>
      <c r="I665">
        <v>162.98770131771641</v>
      </c>
      <c r="J665">
        <v>242.63557833089328</v>
      </c>
      <c r="K665">
        <f t="shared" si="53"/>
        <v>5.032171215215361</v>
      </c>
      <c r="L665">
        <f t="shared" si="54"/>
        <v>5.1576996662883605</v>
      </c>
    </row>
    <row r="666" spans="1:12" x14ac:dyDescent="0.3">
      <c r="A666">
        <v>5.4</v>
      </c>
      <c r="B666">
        <v>5.3</v>
      </c>
      <c r="C666">
        <v>5.3147877013177176</v>
      </c>
      <c r="D666">
        <v>5.4679355783308887</v>
      </c>
      <c r="E666">
        <f t="shared" si="50"/>
        <v>-1.4310176660113597E-2</v>
      </c>
      <c r="F666">
        <f t="shared" si="51"/>
        <v>7.2611358467185661E-3</v>
      </c>
      <c r="G666">
        <f t="shared" si="52"/>
        <v>2.8202358469330124E-2</v>
      </c>
      <c r="H666">
        <v>177.90128843338192</v>
      </c>
      <c r="I666">
        <v>162.98770131771641</v>
      </c>
      <c r="J666">
        <v>242.63557833089328</v>
      </c>
      <c r="K666">
        <f t="shared" si="53"/>
        <v>5.1957098646344058</v>
      </c>
      <c r="L666">
        <f t="shared" si="54"/>
        <v>5.3372205524786747</v>
      </c>
    </row>
    <row r="667" spans="1:12" x14ac:dyDescent="0.3">
      <c r="A667">
        <v>5.5</v>
      </c>
      <c r="B667">
        <v>6</v>
      </c>
      <c r="C667">
        <v>5.3147877013177176</v>
      </c>
      <c r="D667">
        <v>5.4679355783308887</v>
      </c>
      <c r="E667">
        <f t="shared" si="50"/>
        <v>9.8544874584395287E-2</v>
      </c>
      <c r="F667">
        <f t="shared" si="51"/>
        <v>3.4303595583174987E-2</v>
      </c>
      <c r="G667">
        <f t="shared" si="52"/>
        <v>0.28309254880608586</v>
      </c>
      <c r="H667">
        <v>177.90128843338192</v>
      </c>
      <c r="I667">
        <v>162.98770131771641</v>
      </c>
      <c r="J667">
        <v>242.63557833089328</v>
      </c>
      <c r="K667">
        <f t="shared" si="53"/>
        <v>5.756852945005023</v>
      </c>
      <c r="L667">
        <f t="shared" si="54"/>
        <v>5.9532027892499437</v>
      </c>
    </row>
    <row r="668" spans="1:12" x14ac:dyDescent="0.3">
      <c r="A668">
        <v>5.9</v>
      </c>
      <c r="B668">
        <v>6</v>
      </c>
      <c r="C668">
        <v>5.3147877013177176</v>
      </c>
      <c r="D668">
        <v>5.4679355783308887</v>
      </c>
      <c r="E668">
        <f t="shared" si="50"/>
        <v>0.31137064325204</v>
      </c>
      <c r="F668">
        <f t="shared" si="51"/>
        <v>0.34247343452900131</v>
      </c>
      <c r="G668">
        <f t="shared" si="52"/>
        <v>0.28309254880608586</v>
      </c>
      <c r="H668">
        <v>177.90128843338192</v>
      </c>
      <c r="I668">
        <v>162.98770131771641</v>
      </c>
      <c r="J668">
        <v>242.63557833089328</v>
      </c>
      <c r="K668">
        <f t="shared" si="53"/>
        <v>5.8137922099379695</v>
      </c>
      <c r="L668">
        <f t="shared" si="54"/>
        <v>6.0157065908656442</v>
      </c>
    </row>
    <row r="669" spans="1:12" x14ac:dyDescent="0.3">
      <c r="A669">
        <v>4.8</v>
      </c>
      <c r="B669">
        <v>5.5</v>
      </c>
      <c r="C669">
        <v>5.3147877013177176</v>
      </c>
      <c r="D669">
        <v>5.4679355783308887</v>
      </c>
      <c r="E669">
        <f t="shared" si="50"/>
        <v>-1.6506369925123814E-2</v>
      </c>
      <c r="F669">
        <f t="shared" si="51"/>
        <v>0.26500637742797983</v>
      </c>
      <c r="G669">
        <f t="shared" si="52"/>
        <v>1.0281271369745727E-3</v>
      </c>
      <c r="H669">
        <v>177.90128843338192</v>
      </c>
      <c r="I669">
        <v>162.98770131771641</v>
      </c>
      <c r="J669">
        <v>242.63557833089328</v>
      </c>
      <c r="K669">
        <f t="shared" si="53"/>
        <v>5.2665604712742375</v>
      </c>
      <c r="L669">
        <f t="shared" si="54"/>
        <v>5.4149952175886504</v>
      </c>
    </row>
    <row r="670" spans="1:12" x14ac:dyDescent="0.3">
      <c r="A670">
        <v>5</v>
      </c>
      <c r="B670">
        <v>5.2</v>
      </c>
      <c r="C670">
        <v>5.3147877013177176</v>
      </c>
      <c r="D670">
        <v>5.4679355783308887</v>
      </c>
      <c r="E670">
        <f t="shared" si="50"/>
        <v>8.4342824804013672E-2</v>
      </c>
      <c r="F670">
        <f t="shared" si="51"/>
        <v>9.9091296900892592E-2</v>
      </c>
      <c r="G670">
        <f t="shared" si="52"/>
        <v>7.1789474135507708E-2</v>
      </c>
      <c r="H670">
        <v>177.90128843338192</v>
      </c>
      <c r="I670">
        <v>162.98770131771641</v>
      </c>
      <c r="J670">
        <v>242.63557833089328</v>
      </c>
      <c r="K670">
        <f t="shared" si="53"/>
        <v>5.0606408476818334</v>
      </c>
      <c r="L670">
        <f t="shared" si="54"/>
        <v>5.1889515670962103</v>
      </c>
    </row>
    <row r="671" spans="1:12" x14ac:dyDescent="0.3">
      <c r="A671">
        <v>5.7</v>
      </c>
      <c r="B671">
        <v>5.8</v>
      </c>
      <c r="C671">
        <v>5.3147877013177176</v>
      </c>
      <c r="D671">
        <v>5.4679355783308887</v>
      </c>
      <c r="E671">
        <f t="shared" si="50"/>
        <v>0.12791529918176106</v>
      </c>
      <c r="F671">
        <f t="shared" si="51"/>
        <v>0.14838851505608808</v>
      </c>
      <c r="G671">
        <f t="shared" si="52"/>
        <v>0.11026678013844123</v>
      </c>
      <c r="H671">
        <v>177.90128843338192</v>
      </c>
      <c r="I671">
        <v>162.98770131771641</v>
      </c>
      <c r="J671">
        <v>242.63557833089328</v>
      </c>
      <c r="K671">
        <f t="shared" si="53"/>
        <v>5.6290630734322438</v>
      </c>
      <c r="L671">
        <f t="shared" si="54"/>
        <v>5.8129243225242666</v>
      </c>
    </row>
    <row r="672" spans="1:12" x14ac:dyDescent="0.3">
      <c r="A672">
        <v>4.8</v>
      </c>
      <c r="B672">
        <v>5.2</v>
      </c>
      <c r="C672">
        <v>5.3147877013177176</v>
      </c>
      <c r="D672">
        <v>5.4679355783308887</v>
      </c>
      <c r="E672">
        <f t="shared" si="50"/>
        <v>0.13792994047019144</v>
      </c>
      <c r="F672">
        <f t="shared" si="51"/>
        <v>0.26500637742797983</v>
      </c>
      <c r="G672">
        <f t="shared" si="52"/>
        <v>7.1789474135507708E-2</v>
      </c>
      <c r="H672">
        <v>177.90128843338192</v>
      </c>
      <c r="I672">
        <v>162.98770131771641</v>
      </c>
      <c r="J672">
        <v>242.63557833089328</v>
      </c>
      <c r="K672">
        <f t="shared" si="53"/>
        <v>5.032171215215361</v>
      </c>
      <c r="L672">
        <f t="shared" si="54"/>
        <v>5.1576996662883605</v>
      </c>
    </row>
    <row r="673" spans="1:12" x14ac:dyDescent="0.3">
      <c r="A673">
        <v>5.4</v>
      </c>
      <c r="B673">
        <v>5.5</v>
      </c>
      <c r="C673">
        <v>5.3147877013177176</v>
      </c>
      <c r="D673">
        <v>5.4679355783308887</v>
      </c>
      <c r="E673">
        <f t="shared" si="50"/>
        <v>2.7322830763429691E-3</v>
      </c>
      <c r="F673">
        <f t="shared" si="51"/>
        <v>7.2611358467185661E-3</v>
      </c>
      <c r="G673">
        <f t="shared" si="52"/>
        <v>1.0281271369745727E-3</v>
      </c>
      <c r="H673">
        <v>177.90128843338192</v>
      </c>
      <c r="I673">
        <v>162.98770131771641</v>
      </c>
      <c r="J673">
        <v>242.63557833089328</v>
      </c>
      <c r="K673">
        <f t="shared" si="53"/>
        <v>5.3519693686736574</v>
      </c>
      <c r="L673">
        <f t="shared" si="54"/>
        <v>5.5087509200122016</v>
      </c>
    </row>
    <row r="674" spans="1:12" x14ac:dyDescent="0.3">
      <c r="A674">
        <v>5.0999999999999996</v>
      </c>
      <c r="B674">
        <v>5.6</v>
      </c>
      <c r="C674">
        <v>5.3147877013177176</v>
      </c>
      <c r="D674">
        <v>5.4679355783308887</v>
      </c>
      <c r="E674">
        <f t="shared" si="50"/>
        <v>-2.8365813556162155E-2</v>
      </c>
      <c r="F674">
        <f t="shared" si="51"/>
        <v>4.613375663734922E-2</v>
      </c>
      <c r="G674">
        <f t="shared" si="52"/>
        <v>1.7441011470796734E-2</v>
      </c>
      <c r="H674">
        <v>177.90128843338192</v>
      </c>
      <c r="I674">
        <v>162.98770131771641</v>
      </c>
      <c r="J674">
        <v>242.63557833089328</v>
      </c>
      <c r="K674">
        <f t="shared" si="53"/>
        <v>5.3873946719935724</v>
      </c>
      <c r="L674">
        <f t="shared" si="54"/>
        <v>5.5476382525671886</v>
      </c>
    </row>
    <row r="675" spans="1:12" x14ac:dyDescent="0.3">
      <c r="A675">
        <v>5.0999999999999996</v>
      </c>
      <c r="B675">
        <v>5.2</v>
      </c>
      <c r="C675">
        <v>5.3147877013177176</v>
      </c>
      <c r="D675">
        <v>5.4679355783308887</v>
      </c>
      <c r="E675">
        <f t="shared" si="50"/>
        <v>5.7549266970924912E-2</v>
      </c>
      <c r="F675">
        <f t="shared" si="51"/>
        <v>4.613375663734922E-2</v>
      </c>
      <c r="G675">
        <f t="shared" si="52"/>
        <v>7.1789474135507708E-2</v>
      </c>
      <c r="H675">
        <v>177.90128843338192</v>
      </c>
      <c r="I675">
        <v>162.98770131771641</v>
      </c>
      <c r="J675">
        <v>242.63557833089328</v>
      </c>
      <c r="K675">
        <f t="shared" si="53"/>
        <v>5.0748756639150701</v>
      </c>
      <c r="L675">
        <f t="shared" si="54"/>
        <v>5.2045775175001356</v>
      </c>
    </row>
    <row r="676" spans="1:12" x14ac:dyDescent="0.3">
      <c r="A676">
        <v>6</v>
      </c>
      <c r="B676">
        <v>6.3</v>
      </c>
      <c r="C676">
        <v>5.3147877013177176</v>
      </c>
      <c r="D676">
        <v>5.4679355783308887</v>
      </c>
      <c r="E676">
        <f t="shared" si="50"/>
        <v>0.57014077502363547</v>
      </c>
      <c r="F676">
        <f t="shared" si="51"/>
        <v>0.46951589426545737</v>
      </c>
      <c r="G676">
        <f t="shared" si="52"/>
        <v>0.69233120180755237</v>
      </c>
      <c r="H676">
        <v>177.90128843338192</v>
      </c>
      <c r="I676">
        <v>162.98770131771641</v>
      </c>
      <c r="J676">
        <v>242.63557833089328</v>
      </c>
      <c r="K676">
        <f t="shared" si="53"/>
        <v>6.0624162822300836</v>
      </c>
      <c r="L676">
        <f t="shared" si="54"/>
        <v>6.2886280925698603</v>
      </c>
    </row>
    <row r="677" spans="1:12" x14ac:dyDescent="0.3">
      <c r="A677">
        <v>4.7</v>
      </c>
      <c r="B677">
        <v>5.5</v>
      </c>
      <c r="C677">
        <v>5.3147877013177176</v>
      </c>
      <c r="D677">
        <v>5.4679355783308887</v>
      </c>
      <c r="E677">
        <f t="shared" si="50"/>
        <v>-1.9712812092034928E-2</v>
      </c>
      <c r="F677">
        <f t="shared" si="51"/>
        <v>0.37796391769152293</v>
      </c>
      <c r="G677">
        <f t="shared" si="52"/>
        <v>1.0281271369745727E-3</v>
      </c>
      <c r="H677">
        <v>177.90128843338192</v>
      </c>
      <c r="I677">
        <v>162.98770131771641</v>
      </c>
      <c r="J677">
        <v>242.63557833089328</v>
      </c>
      <c r="K677">
        <f t="shared" si="53"/>
        <v>5.2523256550410009</v>
      </c>
      <c r="L677">
        <f t="shared" si="54"/>
        <v>5.3993692671847251</v>
      </c>
    </row>
    <row r="678" spans="1:12" x14ac:dyDescent="0.3">
      <c r="A678">
        <v>6</v>
      </c>
      <c r="B678">
        <v>6.7</v>
      </c>
      <c r="C678">
        <v>5.3147877013177176</v>
      </c>
      <c r="D678">
        <v>5.4679355783308887</v>
      </c>
      <c r="E678">
        <f t="shared" si="50"/>
        <v>0.84422569449654872</v>
      </c>
      <c r="F678">
        <f t="shared" si="51"/>
        <v>0.46951589426545737</v>
      </c>
      <c r="G678">
        <f t="shared" si="52"/>
        <v>1.517982739142842</v>
      </c>
      <c r="H678">
        <v>177.90128843338192</v>
      </c>
      <c r="I678">
        <v>162.98770131771641</v>
      </c>
      <c r="J678">
        <v>242.63557833089328</v>
      </c>
      <c r="K678">
        <f t="shared" si="53"/>
        <v>6.3749352903085867</v>
      </c>
      <c r="L678">
        <f t="shared" si="54"/>
        <v>6.6316888276369141</v>
      </c>
    </row>
    <row r="679" spans="1:12" x14ac:dyDescent="0.3">
      <c r="A679">
        <v>4.5999999999999996</v>
      </c>
      <c r="B679">
        <v>4.9000000000000004</v>
      </c>
      <c r="C679">
        <v>5.3147877013177176</v>
      </c>
      <c r="D679">
        <v>5.4679355783308887</v>
      </c>
      <c r="E679">
        <f t="shared" si="50"/>
        <v>0.40595336653168446</v>
      </c>
      <c r="F679">
        <f t="shared" si="51"/>
        <v>0.51092145795506716</v>
      </c>
      <c r="G679">
        <f t="shared" si="52"/>
        <v>0.32255082113404066</v>
      </c>
      <c r="H679">
        <v>177.90128843338192</v>
      </c>
      <c r="I679">
        <v>162.98770131771641</v>
      </c>
      <c r="J679">
        <v>242.63557833089328</v>
      </c>
      <c r="K679">
        <f t="shared" si="53"/>
        <v>4.7693123266900095</v>
      </c>
      <c r="L679">
        <f t="shared" si="54"/>
        <v>4.869152214180219</v>
      </c>
    </row>
    <row r="680" spans="1:12" x14ac:dyDescent="0.3">
      <c r="A680">
        <v>5</v>
      </c>
      <c r="B680">
        <v>5.2</v>
      </c>
      <c r="C680">
        <v>5.3147877013177176</v>
      </c>
      <c r="D680">
        <v>5.4679355783308887</v>
      </c>
      <c r="E680">
        <f t="shared" si="50"/>
        <v>8.4342824804013672E-2</v>
      </c>
      <c r="F680">
        <f t="shared" si="51"/>
        <v>9.9091296900892592E-2</v>
      </c>
      <c r="G680">
        <f t="shared" si="52"/>
        <v>7.1789474135507708E-2</v>
      </c>
      <c r="H680">
        <v>177.90128843338192</v>
      </c>
      <c r="I680">
        <v>162.98770131771641</v>
      </c>
      <c r="J680">
        <v>242.63557833089328</v>
      </c>
      <c r="K680">
        <f t="shared" si="53"/>
        <v>5.0606408476818334</v>
      </c>
      <c r="L680">
        <f t="shared" si="54"/>
        <v>5.1889515670962103</v>
      </c>
    </row>
    <row r="681" spans="1:12" x14ac:dyDescent="0.3">
      <c r="A681">
        <v>4.9000000000000004</v>
      </c>
      <c r="B681">
        <v>5.2</v>
      </c>
      <c r="C681">
        <v>5.3147877013177176</v>
      </c>
      <c r="D681">
        <v>5.4679355783308887</v>
      </c>
      <c r="E681">
        <f t="shared" si="50"/>
        <v>0.11113638263710243</v>
      </c>
      <c r="F681">
        <f t="shared" si="51"/>
        <v>0.17204883716443581</v>
      </c>
      <c r="G681">
        <f t="shared" si="52"/>
        <v>7.1789474135507708E-2</v>
      </c>
      <c r="H681">
        <v>177.90128843338192</v>
      </c>
      <c r="I681">
        <v>162.98770131771641</v>
      </c>
      <c r="J681">
        <v>242.63557833089328</v>
      </c>
      <c r="K681">
        <f t="shared" si="53"/>
        <v>5.0464060314485977</v>
      </c>
      <c r="L681">
        <f t="shared" si="54"/>
        <v>5.1733256166922859</v>
      </c>
    </row>
    <row r="682" spans="1:12" x14ac:dyDescent="0.3">
      <c r="A682">
        <v>5</v>
      </c>
      <c r="B682">
        <v>4.8</v>
      </c>
      <c r="C682">
        <v>5.3147877013177176</v>
      </c>
      <c r="D682">
        <v>5.4679355783308887</v>
      </c>
      <c r="E682">
        <f t="shared" si="50"/>
        <v>0.21025790533110084</v>
      </c>
      <c r="F682">
        <f t="shared" si="51"/>
        <v>9.9091296900892592E-2</v>
      </c>
      <c r="G682">
        <f t="shared" si="52"/>
        <v>0.44613793680021901</v>
      </c>
      <c r="H682">
        <v>177.90128843338192</v>
      </c>
      <c r="I682">
        <v>162.98770131771641</v>
      </c>
      <c r="J682">
        <v>242.63557833089328</v>
      </c>
      <c r="K682">
        <f t="shared" si="53"/>
        <v>4.7481218396033302</v>
      </c>
      <c r="L682">
        <f t="shared" si="54"/>
        <v>4.8458908320291565</v>
      </c>
    </row>
    <row r="683" spans="1:12" x14ac:dyDescent="0.3">
      <c r="A683">
        <v>5.7</v>
      </c>
      <c r="B683">
        <v>5.7</v>
      </c>
      <c r="C683">
        <v>5.3147877013177176</v>
      </c>
      <c r="D683">
        <v>5.4679355783308887</v>
      </c>
      <c r="E683">
        <f t="shared" si="50"/>
        <v>8.9394069313532928E-2</v>
      </c>
      <c r="F683">
        <f t="shared" si="51"/>
        <v>0.14838851505608808</v>
      </c>
      <c r="G683">
        <f t="shared" si="52"/>
        <v>5.3853895804619169E-2</v>
      </c>
      <c r="H683">
        <v>177.90128843338192</v>
      </c>
      <c r="I683">
        <v>162.98770131771641</v>
      </c>
      <c r="J683">
        <v>242.63557833089328</v>
      </c>
      <c r="K683">
        <f t="shared" si="53"/>
        <v>5.550933321412618</v>
      </c>
      <c r="L683">
        <f t="shared" si="54"/>
        <v>5.7271591387575027</v>
      </c>
    </row>
    <row r="684" spans="1:12" x14ac:dyDescent="0.3">
      <c r="A684">
        <v>6</v>
      </c>
      <c r="B684">
        <v>6.2</v>
      </c>
      <c r="C684">
        <v>5.3147877013177176</v>
      </c>
      <c r="D684">
        <v>5.4679355783308887</v>
      </c>
      <c r="E684">
        <f t="shared" si="50"/>
        <v>0.50161954515540752</v>
      </c>
      <c r="F684">
        <f t="shared" si="51"/>
        <v>0.46951589426545737</v>
      </c>
      <c r="G684">
        <f t="shared" si="52"/>
        <v>0.53591831747373064</v>
      </c>
      <c r="H684">
        <v>177.90128843338192</v>
      </c>
      <c r="I684">
        <v>162.98770131771641</v>
      </c>
      <c r="J684">
        <v>242.63557833089328</v>
      </c>
      <c r="K684">
        <f t="shared" si="53"/>
        <v>5.9842865302104578</v>
      </c>
      <c r="L684">
        <f t="shared" si="54"/>
        <v>6.2028629088030964</v>
      </c>
    </row>
    <row r="685" spans="1:12" x14ac:dyDescent="0.3">
      <c r="A685">
        <v>4.9000000000000004</v>
      </c>
      <c r="B685">
        <v>5.0999999999999996</v>
      </c>
      <c r="C685">
        <v>5.3147877013177176</v>
      </c>
      <c r="D685">
        <v>5.4679355783308887</v>
      </c>
      <c r="E685">
        <f t="shared" si="50"/>
        <v>0.15261515276887438</v>
      </c>
      <c r="F685">
        <f t="shared" si="51"/>
        <v>0.17204883716443581</v>
      </c>
      <c r="G685">
        <f t="shared" si="52"/>
        <v>0.13537658980168582</v>
      </c>
      <c r="H685">
        <v>177.90128843338192</v>
      </c>
      <c r="I685">
        <v>162.98770131771641</v>
      </c>
      <c r="J685">
        <v>242.63557833089328</v>
      </c>
      <c r="K685">
        <f t="shared" si="53"/>
        <v>4.968276279428971</v>
      </c>
      <c r="L685">
        <f t="shared" si="54"/>
        <v>5.0875604329255211</v>
      </c>
    </row>
    <row r="686" spans="1:12" x14ac:dyDescent="0.3">
      <c r="A686">
        <v>5.3</v>
      </c>
      <c r="B686">
        <v>5.3</v>
      </c>
      <c r="C686">
        <v>5.3147877013177176</v>
      </c>
      <c r="D686">
        <v>5.4679355783308887</v>
      </c>
      <c r="E686">
        <f t="shared" si="50"/>
        <v>2.4833811729753838E-3</v>
      </c>
      <c r="F686">
        <f t="shared" si="51"/>
        <v>2.1867611026203226E-4</v>
      </c>
      <c r="G686">
        <f t="shared" si="52"/>
        <v>2.8202358469330124E-2</v>
      </c>
      <c r="H686">
        <v>177.90128843338192</v>
      </c>
      <c r="I686">
        <v>162.98770131771641</v>
      </c>
      <c r="J686">
        <v>242.63557833089328</v>
      </c>
      <c r="K686">
        <f t="shared" si="53"/>
        <v>5.1814750484011682</v>
      </c>
      <c r="L686">
        <f t="shared" si="54"/>
        <v>5.3215946020747484</v>
      </c>
    </row>
    <row r="687" spans="1:12" x14ac:dyDescent="0.3">
      <c r="A687">
        <v>5.5</v>
      </c>
      <c r="B687">
        <v>5.6</v>
      </c>
      <c r="C687">
        <v>5.3147877013177176</v>
      </c>
      <c r="D687">
        <v>5.4679355783308887</v>
      </c>
      <c r="E687">
        <f t="shared" si="50"/>
        <v>2.4459955111482259E-2</v>
      </c>
      <c r="F687">
        <f t="shared" si="51"/>
        <v>3.4303595583174987E-2</v>
      </c>
      <c r="G687">
        <f t="shared" si="52"/>
        <v>1.7441011470796734E-2</v>
      </c>
      <c r="H687">
        <v>177.90128843338192</v>
      </c>
      <c r="I687">
        <v>162.98770131771641</v>
      </c>
      <c r="J687">
        <v>242.63557833089328</v>
      </c>
      <c r="K687">
        <f t="shared" si="53"/>
        <v>5.4443339369265189</v>
      </c>
      <c r="L687">
        <f t="shared" si="54"/>
        <v>5.610142054182889</v>
      </c>
    </row>
    <row r="688" spans="1:12" x14ac:dyDescent="0.3">
      <c r="A688">
        <v>4.9000000000000004</v>
      </c>
      <c r="B688">
        <v>5.0999999999999996</v>
      </c>
      <c r="C688">
        <v>5.3147877013177176</v>
      </c>
      <c r="D688">
        <v>5.4679355783308887</v>
      </c>
      <c r="E688">
        <f t="shared" si="50"/>
        <v>0.15261515276887438</v>
      </c>
      <c r="F688">
        <f t="shared" si="51"/>
        <v>0.17204883716443581</v>
      </c>
      <c r="G688">
        <f t="shared" si="52"/>
        <v>0.13537658980168582</v>
      </c>
      <c r="H688">
        <v>177.90128843338192</v>
      </c>
      <c r="I688">
        <v>162.98770131771641</v>
      </c>
      <c r="J688">
        <v>242.63557833089328</v>
      </c>
      <c r="K688">
        <f t="shared" si="53"/>
        <v>4.968276279428971</v>
      </c>
      <c r="L688">
        <f t="shared" si="54"/>
        <v>5.0875604329255211</v>
      </c>
    </row>
    <row r="689" spans="1:12" x14ac:dyDescent="0.3">
      <c r="A689">
        <v>4.8</v>
      </c>
      <c r="B689">
        <v>5.2</v>
      </c>
      <c r="C689">
        <v>5.3147877013177176</v>
      </c>
      <c r="D689">
        <v>5.4679355783308887</v>
      </c>
      <c r="E689">
        <f t="shared" si="50"/>
        <v>0.13792994047019144</v>
      </c>
      <c r="F689">
        <f t="shared" si="51"/>
        <v>0.26500637742797983</v>
      </c>
      <c r="G689">
        <f t="shared" si="52"/>
        <v>7.1789474135507708E-2</v>
      </c>
      <c r="H689">
        <v>177.90128843338192</v>
      </c>
      <c r="I689">
        <v>162.98770131771641</v>
      </c>
      <c r="J689">
        <v>242.63557833089328</v>
      </c>
      <c r="K689">
        <f t="shared" si="53"/>
        <v>5.032171215215361</v>
      </c>
      <c r="L689">
        <f t="shared" si="54"/>
        <v>5.1576996662883605</v>
      </c>
    </row>
    <row r="690" spans="1:12" x14ac:dyDescent="0.3">
      <c r="A690">
        <v>5.0999999999999996</v>
      </c>
      <c r="B690">
        <v>5.7</v>
      </c>
      <c r="C690">
        <v>5.3147877013177176</v>
      </c>
      <c r="D690">
        <v>5.4679355783308887</v>
      </c>
      <c r="E690">
        <f t="shared" si="50"/>
        <v>-4.9844583687934069E-2</v>
      </c>
      <c r="F690">
        <f t="shared" si="51"/>
        <v>4.613375663734922E-2</v>
      </c>
      <c r="G690">
        <f t="shared" si="52"/>
        <v>5.3853895804619169E-2</v>
      </c>
      <c r="H690">
        <v>177.90128843338192</v>
      </c>
      <c r="I690">
        <v>162.98770131771641</v>
      </c>
      <c r="J690">
        <v>242.63557833089328</v>
      </c>
      <c r="K690">
        <f t="shared" si="53"/>
        <v>5.465524424013199</v>
      </c>
      <c r="L690">
        <f t="shared" si="54"/>
        <v>5.6334034363339525</v>
      </c>
    </row>
    <row r="691" spans="1:12" x14ac:dyDescent="0.3">
      <c r="A691">
        <v>5.4</v>
      </c>
      <c r="B691">
        <v>5.6</v>
      </c>
      <c r="C691">
        <v>5.3147877013177176</v>
      </c>
      <c r="D691">
        <v>5.4679355783308887</v>
      </c>
      <c r="E691">
        <f t="shared" si="50"/>
        <v>1.1253512944571213E-2</v>
      </c>
      <c r="F691">
        <f t="shared" si="51"/>
        <v>7.2611358467185661E-3</v>
      </c>
      <c r="G691">
        <f t="shared" si="52"/>
        <v>1.7441011470796734E-2</v>
      </c>
      <c r="H691">
        <v>177.90128843338192</v>
      </c>
      <c r="I691">
        <v>162.98770131771641</v>
      </c>
      <c r="J691">
        <v>242.63557833089328</v>
      </c>
      <c r="K691">
        <f t="shared" si="53"/>
        <v>5.4300991206932823</v>
      </c>
      <c r="L691">
        <f t="shared" si="54"/>
        <v>5.5945161037789637</v>
      </c>
    </row>
    <row r="692" spans="1:12" x14ac:dyDescent="0.3">
      <c r="A692">
        <v>4.9000000000000004</v>
      </c>
      <c r="B692">
        <v>5.4</v>
      </c>
      <c r="C692">
        <v>5.3147877013177176</v>
      </c>
      <c r="D692">
        <v>5.4679355783308887</v>
      </c>
      <c r="E692">
        <f t="shared" si="50"/>
        <v>2.8178842373558909E-2</v>
      </c>
      <c r="F692">
        <f t="shared" si="51"/>
        <v>0.17204883716443581</v>
      </c>
      <c r="G692">
        <f t="shared" si="52"/>
        <v>4.615242803152269E-3</v>
      </c>
      <c r="H692">
        <v>177.90128843338192</v>
      </c>
      <c r="I692">
        <v>162.98770131771641</v>
      </c>
      <c r="J692">
        <v>242.63557833089328</v>
      </c>
      <c r="K692">
        <f t="shared" si="53"/>
        <v>5.2026655354878493</v>
      </c>
      <c r="L692">
        <f t="shared" si="54"/>
        <v>5.3448559842258128</v>
      </c>
    </row>
    <row r="693" spans="1:12" x14ac:dyDescent="0.3">
      <c r="A693">
        <v>5.2</v>
      </c>
      <c r="B693">
        <v>5.5</v>
      </c>
      <c r="C693">
        <v>5.3147877013177176</v>
      </c>
      <c r="D693">
        <v>5.4679355783308887</v>
      </c>
      <c r="E693">
        <f t="shared" si="50"/>
        <v>-3.6806012574792917E-3</v>
      </c>
      <c r="F693">
        <f t="shared" si="51"/>
        <v>1.3176216373805507E-2</v>
      </c>
      <c r="G693">
        <f t="shared" si="52"/>
        <v>1.0281271369745727E-3</v>
      </c>
      <c r="H693">
        <v>177.90128843338192</v>
      </c>
      <c r="I693">
        <v>162.98770131771641</v>
      </c>
      <c r="J693">
        <v>242.63557833089328</v>
      </c>
      <c r="K693">
        <f t="shared" si="53"/>
        <v>5.3234997362071841</v>
      </c>
      <c r="L693">
        <f t="shared" si="54"/>
        <v>5.4774990192043509</v>
      </c>
    </row>
    <row r="694" spans="1:12" x14ac:dyDescent="0.3">
      <c r="A694">
        <v>5.4</v>
      </c>
      <c r="B694">
        <v>5.3</v>
      </c>
      <c r="C694">
        <v>5.3147877013177176</v>
      </c>
      <c r="D694">
        <v>5.4679355783308887</v>
      </c>
      <c r="E694">
        <f t="shared" si="50"/>
        <v>-1.4310176660113597E-2</v>
      </c>
      <c r="F694">
        <f t="shared" si="51"/>
        <v>7.2611358467185661E-3</v>
      </c>
      <c r="G694">
        <f t="shared" si="52"/>
        <v>2.8202358469330124E-2</v>
      </c>
      <c r="H694">
        <v>177.90128843338192</v>
      </c>
      <c r="I694">
        <v>162.98770131771641</v>
      </c>
      <c r="J694">
        <v>242.63557833089328</v>
      </c>
      <c r="K694">
        <f t="shared" si="53"/>
        <v>5.1957098646344058</v>
      </c>
      <c r="L694">
        <f t="shared" si="54"/>
        <v>5.3372205524786747</v>
      </c>
    </row>
    <row r="695" spans="1:12" x14ac:dyDescent="0.3">
      <c r="A695">
        <v>5.2</v>
      </c>
      <c r="B695">
        <v>5.0999999999999996</v>
      </c>
      <c r="C695">
        <v>5.3147877013177176</v>
      </c>
      <c r="D695">
        <v>5.4679355783308887</v>
      </c>
      <c r="E695">
        <f t="shared" si="50"/>
        <v>4.2234479269607723E-2</v>
      </c>
      <c r="F695">
        <f t="shared" si="51"/>
        <v>1.3176216373805507E-2</v>
      </c>
      <c r="G695">
        <f t="shared" si="52"/>
        <v>0.13537658980168582</v>
      </c>
      <c r="H695">
        <v>177.90128843338192</v>
      </c>
      <c r="I695">
        <v>162.98770131771641</v>
      </c>
      <c r="J695">
        <v>242.63557833089328</v>
      </c>
      <c r="K695">
        <f t="shared" si="53"/>
        <v>5.0109807281286809</v>
      </c>
      <c r="L695">
        <f t="shared" si="54"/>
        <v>5.1344382841372971</v>
      </c>
    </row>
    <row r="696" spans="1:12" x14ac:dyDescent="0.3">
      <c r="A696">
        <v>5.6</v>
      </c>
      <c r="B696">
        <v>5.7</v>
      </c>
      <c r="C696">
        <v>5.3147877013177176</v>
      </c>
      <c r="D696">
        <v>5.4679355783308887</v>
      </c>
      <c r="E696">
        <f t="shared" si="50"/>
        <v>6.6187627146621658E-2</v>
      </c>
      <c r="F696">
        <f t="shared" si="51"/>
        <v>8.1346055319631266E-2</v>
      </c>
      <c r="G696">
        <f t="shared" si="52"/>
        <v>5.3853895804619169E-2</v>
      </c>
      <c r="H696">
        <v>177.90128843338192</v>
      </c>
      <c r="I696">
        <v>162.98770131771641</v>
      </c>
      <c r="J696">
        <v>242.63557833089328</v>
      </c>
      <c r="K696">
        <f t="shared" si="53"/>
        <v>5.5366985051793822</v>
      </c>
      <c r="L696">
        <f t="shared" si="54"/>
        <v>5.7115331883535783</v>
      </c>
    </row>
    <row r="697" spans="1:12" x14ac:dyDescent="0.3">
      <c r="A697">
        <v>5</v>
      </c>
      <c r="B697">
        <v>5.0999999999999996</v>
      </c>
      <c r="C697">
        <v>5.3147877013177176</v>
      </c>
      <c r="D697">
        <v>5.4679355783308887</v>
      </c>
      <c r="E697">
        <f t="shared" si="50"/>
        <v>0.1158215949357856</v>
      </c>
      <c r="F697">
        <f t="shared" si="51"/>
        <v>9.9091296900892592E-2</v>
      </c>
      <c r="G697">
        <f t="shared" si="52"/>
        <v>0.13537658980168582</v>
      </c>
      <c r="H697">
        <v>177.90128843338192</v>
      </c>
      <c r="I697">
        <v>162.98770131771641</v>
      </c>
      <c r="J697">
        <v>242.63557833089328</v>
      </c>
      <c r="K697">
        <f t="shared" si="53"/>
        <v>4.9825110956622076</v>
      </c>
      <c r="L697">
        <f t="shared" si="54"/>
        <v>5.1031863833294464</v>
      </c>
    </row>
    <row r="698" spans="1:12" x14ac:dyDescent="0.3">
      <c r="A698">
        <v>5.7</v>
      </c>
      <c r="B698">
        <v>5.8</v>
      </c>
      <c r="C698">
        <v>5.3147877013177176</v>
      </c>
      <c r="D698">
        <v>5.4679355783308887</v>
      </c>
      <c r="E698">
        <f t="shared" si="50"/>
        <v>0.12791529918176106</v>
      </c>
      <c r="F698">
        <f t="shared" si="51"/>
        <v>0.14838851505608808</v>
      </c>
      <c r="G698">
        <f t="shared" si="52"/>
        <v>0.11026678013844123</v>
      </c>
      <c r="H698">
        <v>177.90128843338192</v>
      </c>
      <c r="I698">
        <v>162.98770131771641</v>
      </c>
      <c r="J698">
        <v>242.63557833089328</v>
      </c>
      <c r="K698">
        <f t="shared" si="53"/>
        <v>5.6290630734322438</v>
      </c>
      <c r="L698">
        <f t="shared" si="54"/>
        <v>5.8129243225242666</v>
      </c>
    </row>
    <row r="699" spans="1:12" x14ac:dyDescent="0.3">
      <c r="A699">
        <v>4.9000000000000004</v>
      </c>
      <c r="B699">
        <v>5.4</v>
      </c>
      <c r="C699">
        <v>5.3147877013177176</v>
      </c>
      <c r="D699">
        <v>5.4679355783308887</v>
      </c>
      <c r="E699">
        <f t="shared" si="50"/>
        <v>2.8178842373558909E-2</v>
      </c>
      <c r="F699">
        <f t="shared" si="51"/>
        <v>0.17204883716443581</v>
      </c>
      <c r="G699">
        <f t="shared" si="52"/>
        <v>4.615242803152269E-3</v>
      </c>
      <c r="H699">
        <v>177.90128843338192</v>
      </c>
      <c r="I699">
        <v>162.98770131771641</v>
      </c>
      <c r="J699">
        <v>242.63557833089328</v>
      </c>
      <c r="K699">
        <f t="shared" si="53"/>
        <v>5.2026655354878493</v>
      </c>
      <c r="L699">
        <f t="shared" si="54"/>
        <v>5.3448559842258128</v>
      </c>
    </row>
    <row r="700" spans="1:12" x14ac:dyDescent="0.3">
      <c r="A700">
        <v>5.0999999999999996</v>
      </c>
      <c r="B700">
        <v>5.8</v>
      </c>
      <c r="C700">
        <v>5.3147877013177176</v>
      </c>
      <c r="D700">
        <v>5.4679355783308887</v>
      </c>
      <c r="E700">
        <f t="shared" si="50"/>
        <v>-7.1323353819705781E-2</v>
      </c>
      <c r="F700">
        <f t="shared" si="51"/>
        <v>4.613375663734922E-2</v>
      </c>
      <c r="G700">
        <f t="shared" si="52"/>
        <v>0.11026678013844123</v>
      </c>
      <c r="H700">
        <v>177.90128843338192</v>
      </c>
      <c r="I700">
        <v>162.98770131771641</v>
      </c>
      <c r="J700">
        <v>242.63557833089328</v>
      </c>
      <c r="K700">
        <f t="shared" si="53"/>
        <v>5.543654176032824</v>
      </c>
      <c r="L700">
        <f t="shared" si="54"/>
        <v>5.7191686201007155</v>
      </c>
    </row>
    <row r="701" spans="1:12" x14ac:dyDescent="0.3">
      <c r="A701">
        <v>5.5</v>
      </c>
      <c r="B701">
        <v>5.5</v>
      </c>
      <c r="C701">
        <v>5.3147877013177176</v>
      </c>
      <c r="D701">
        <v>5.4679355783308887</v>
      </c>
      <c r="E701">
        <f t="shared" si="50"/>
        <v>5.9387252432540859E-3</v>
      </c>
      <c r="F701">
        <f t="shared" si="51"/>
        <v>3.4303595583174987E-2</v>
      </c>
      <c r="G701">
        <f t="shared" si="52"/>
        <v>1.0281271369745727E-3</v>
      </c>
      <c r="H701">
        <v>177.90128843338192</v>
      </c>
      <c r="I701">
        <v>162.98770131771641</v>
      </c>
      <c r="J701">
        <v>242.63557833089328</v>
      </c>
      <c r="K701">
        <f t="shared" si="53"/>
        <v>5.366204184906894</v>
      </c>
      <c r="L701">
        <f t="shared" si="54"/>
        <v>5.5243768704161269</v>
      </c>
    </row>
    <row r="702" spans="1:12" x14ac:dyDescent="0.3">
      <c r="A702">
        <v>5.2</v>
      </c>
      <c r="B702">
        <v>5.2</v>
      </c>
      <c r="C702">
        <v>5.3147877013177176</v>
      </c>
      <c r="D702">
        <v>5.4679355783308887</v>
      </c>
      <c r="E702">
        <f t="shared" si="50"/>
        <v>3.0755709137835915E-2</v>
      </c>
      <c r="F702">
        <f t="shared" si="51"/>
        <v>1.3176216373805507E-2</v>
      </c>
      <c r="G702">
        <f t="shared" si="52"/>
        <v>7.1789474135507708E-2</v>
      </c>
      <c r="H702">
        <v>177.90128843338192</v>
      </c>
      <c r="I702">
        <v>162.98770131771641</v>
      </c>
      <c r="J702">
        <v>242.63557833089328</v>
      </c>
      <c r="K702">
        <f t="shared" si="53"/>
        <v>5.0891104801483067</v>
      </c>
      <c r="L702">
        <f t="shared" si="54"/>
        <v>5.2202034679040601</v>
      </c>
    </row>
    <row r="703" spans="1:12" x14ac:dyDescent="0.3">
      <c r="A703">
        <v>5.6</v>
      </c>
      <c r="B703">
        <v>5.2</v>
      </c>
      <c r="C703">
        <v>5.3147877013177176</v>
      </c>
      <c r="D703">
        <v>5.4679355783308887</v>
      </c>
      <c r="E703">
        <f t="shared" si="50"/>
        <v>-7.6418522194519362E-2</v>
      </c>
      <c r="F703">
        <f t="shared" si="51"/>
        <v>8.1346055319631266E-2</v>
      </c>
      <c r="G703">
        <f t="shared" si="52"/>
        <v>7.1789474135507708E-2</v>
      </c>
      <c r="H703">
        <v>177.90128843338192</v>
      </c>
      <c r="I703">
        <v>162.98770131771641</v>
      </c>
      <c r="J703">
        <v>242.63557833089328</v>
      </c>
      <c r="K703">
        <f t="shared" si="53"/>
        <v>5.1460497450812532</v>
      </c>
      <c r="L703">
        <f t="shared" si="54"/>
        <v>5.2827072695197614</v>
      </c>
    </row>
    <row r="704" spans="1:12" x14ac:dyDescent="0.3">
      <c r="A704">
        <v>4.9000000000000004</v>
      </c>
      <c r="B704">
        <v>5.0999999999999996</v>
      </c>
      <c r="C704">
        <v>5.3147877013177176</v>
      </c>
      <c r="D704">
        <v>5.4679355783308887</v>
      </c>
      <c r="E704">
        <f t="shared" si="50"/>
        <v>0.15261515276887438</v>
      </c>
      <c r="F704">
        <f t="shared" si="51"/>
        <v>0.17204883716443581</v>
      </c>
      <c r="G704">
        <f t="shared" si="52"/>
        <v>0.13537658980168582</v>
      </c>
      <c r="H704">
        <v>177.90128843338192</v>
      </c>
      <c r="I704">
        <v>162.98770131771641</v>
      </c>
      <c r="J704">
        <v>242.63557833089328</v>
      </c>
      <c r="K704">
        <f t="shared" si="53"/>
        <v>4.968276279428971</v>
      </c>
      <c r="L704">
        <f t="shared" si="54"/>
        <v>5.0875604329255211</v>
      </c>
    </row>
    <row r="705" spans="1:12" x14ac:dyDescent="0.3">
      <c r="A705">
        <v>5.6</v>
      </c>
      <c r="B705">
        <v>5.3</v>
      </c>
      <c r="C705">
        <v>5.3147877013177176</v>
      </c>
      <c r="D705">
        <v>5.4679355783308887</v>
      </c>
      <c r="E705">
        <f t="shared" si="50"/>
        <v>-4.7897292326291259E-2</v>
      </c>
      <c r="F705">
        <f t="shared" si="51"/>
        <v>8.1346055319631266E-2</v>
      </c>
      <c r="G705">
        <f t="shared" si="52"/>
        <v>2.8202358469330124E-2</v>
      </c>
      <c r="H705">
        <v>177.90128843338192</v>
      </c>
      <c r="I705">
        <v>162.98770131771641</v>
      </c>
      <c r="J705">
        <v>242.63557833089328</v>
      </c>
      <c r="K705">
        <f t="shared" si="53"/>
        <v>5.224179497100879</v>
      </c>
      <c r="L705">
        <f t="shared" si="54"/>
        <v>5.3684724532865244</v>
      </c>
    </row>
    <row r="706" spans="1:12" x14ac:dyDescent="0.3">
      <c r="A706">
        <v>5.6</v>
      </c>
      <c r="B706">
        <v>6.1</v>
      </c>
      <c r="C706">
        <v>5.3147877013177176</v>
      </c>
      <c r="D706">
        <v>5.4679355783308887</v>
      </c>
      <c r="E706">
        <f t="shared" si="50"/>
        <v>0.18027254661953432</v>
      </c>
      <c r="F706">
        <f t="shared" si="51"/>
        <v>8.1346055319631266E-2</v>
      </c>
      <c r="G706">
        <f t="shared" si="52"/>
        <v>0.39950543313990766</v>
      </c>
      <c r="H706">
        <v>177.90128843338192</v>
      </c>
      <c r="I706">
        <v>162.98770131771641</v>
      </c>
      <c r="J706">
        <v>242.63557833089328</v>
      </c>
      <c r="K706">
        <f t="shared" si="53"/>
        <v>5.8492175132578836</v>
      </c>
      <c r="L706">
        <f t="shared" si="54"/>
        <v>6.0545939234206303</v>
      </c>
    </row>
    <row r="707" spans="1:12" x14ac:dyDescent="0.3">
      <c r="A707">
        <v>5.6</v>
      </c>
      <c r="B707">
        <v>5.8</v>
      </c>
      <c r="C707">
        <v>5.3147877013177176</v>
      </c>
      <c r="D707">
        <v>5.4679355783308887</v>
      </c>
      <c r="E707">
        <f t="shared" ref="E707:E770" si="55">(A707-C707)*(B707-D707)</f>
        <v>9.4708857014849768E-2</v>
      </c>
      <c r="F707">
        <f t="shared" ref="F707:F770" si="56">(A707-C707)^2</f>
        <v>8.1346055319631266E-2</v>
      </c>
      <c r="G707">
        <f t="shared" ref="G707:G770" si="57">(B707-D707)^2</f>
        <v>0.11026678013844123</v>
      </c>
      <c r="H707">
        <v>177.90128843338192</v>
      </c>
      <c r="I707">
        <v>162.98770131771641</v>
      </c>
      <c r="J707">
        <v>242.63557833089328</v>
      </c>
      <c r="K707">
        <f t="shared" ref="K707:K770" si="58">(1.097727582*(B707+0.366253474)+0.2*A707)/(0.2+1.097727582^2)</f>
        <v>5.6148282571990071</v>
      </c>
      <c r="L707">
        <f t="shared" ref="L707:L770" si="59">1.097727582*K707-0.366253474</f>
        <v>5.7972983721203413</v>
      </c>
    </row>
    <row r="708" spans="1:12" x14ac:dyDescent="0.3">
      <c r="A708">
        <v>4.8</v>
      </c>
      <c r="B708">
        <v>5</v>
      </c>
      <c r="C708">
        <v>5.3147877013177176</v>
      </c>
      <c r="D708">
        <v>5.4679355783308887</v>
      </c>
      <c r="E708">
        <f t="shared" si="55"/>
        <v>0.24088748073373509</v>
      </c>
      <c r="F708">
        <f t="shared" si="56"/>
        <v>0.26500637742797983</v>
      </c>
      <c r="G708">
        <f t="shared" si="57"/>
        <v>0.21896370546786328</v>
      </c>
      <c r="H708">
        <v>177.90128843338192</v>
      </c>
      <c r="I708">
        <v>162.98770131771641</v>
      </c>
      <c r="J708">
        <v>242.63557833089328</v>
      </c>
      <c r="K708">
        <f t="shared" si="58"/>
        <v>4.8759117111761086</v>
      </c>
      <c r="L708">
        <f t="shared" si="59"/>
        <v>4.9861692987548327</v>
      </c>
    </row>
    <row r="709" spans="1:12" x14ac:dyDescent="0.3">
      <c r="A709">
        <v>5.9</v>
      </c>
      <c r="B709">
        <v>6.4</v>
      </c>
      <c r="C709">
        <v>5.3147877013177176</v>
      </c>
      <c r="D709">
        <v>5.4679355783308887</v>
      </c>
      <c r="E709">
        <f t="shared" si="55"/>
        <v>0.54545556272495332</v>
      </c>
      <c r="F709">
        <f t="shared" si="56"/>
        <v>0.34247343452900131</v>
      </c>
      <c r="G709">
        <f t="shared" si="57"/>
        <v>0.86874408614137555</v>
      </c>
      <c r="H709">
        <v>177.90128843338192</v>
      </c>
      <c r="I709">
        <v>162.98770131771641</v>
      </c>
      <c r="J709">
        <v>242.63557833089328</v>
      </c>
      <c r="K709">
        <f t="shared" si="58"/>
        <v>6.1263112180164727</v>
      </c>
      <c r="L709">
        <f t="shared" si="59"/>
        <v>6.358767325932698</v>
      </c>
    </row>
    <row r="710" spans="1:12" x14ac:dyDescent="0.3">
      <c r="A710">
        <v>5.8</v>
      </c>
      <c r="B710">
        <v>5.7</v>
      </c>
      <c r="C710">
        <v>5.3147877013177176</v>
      </c>
      <c r="D710">
        <v>5.4679355783308887</v>
      </c>
      <c r="E710">
        <f t="shared" si="55"/>
        <v>0.11260051148044399</v>
      </c>
      <c r="F710">
        <f t="shared" si="56"/>
        <v>0.23543097479254424</v>
      </c>
      <c r="G710">
        <f t="shared" si="57"/>
        <v>5.3853895804619169E-2</v>
      </c>
      <c r="H710">
        <v>177.90128843338192</v>
      </c>
      <c r="I710">
        <v>162.98770131771641</v>
      </c>
      <c r="J710">
        <v>242.63557833089328</v>
      </c>
      <c r="K710">
        <f t="shared" si="58"/>
        <v>5.5651681376458555</v>
      </c>
      <c r="L710">
        <f t="shared" si="59"/>
        <v>5.7427850891614289</v>
      </c>
    </row>
    <row r="711" spans="1:12" x14ac:dyDescent="0.3">
      <c r="A711">
        <v>5.7</v>
      </c>
      <c r="B711">
        <v>5.7</v>
      </c>
      <c r="C711">
        <v>5.3147877013177176</v>
      </c>
      <c r="D711">
        <v>5.4679355783308887</v>
      </c>
      <c r="E711">
        <f t="shared" si="55"/>
        <v>8.9394069313532928E-2</v>
      </c>
      <c r="F711">
        <f t="shared" si="56"/>
        <v>0.14838851505608808</v>
      </c>
      <c r="G711">
        <f t="shared" si="57"/>
        <v>5.3853895804619169E-2</v>
      </c>
      <c r="H711">
        <v>177.90128843338192</v>
      </c>
      <c r="I711">
        <v>162.98770131771641</v>
      </c>
      <c r="J711">
        <v>242.63557833089328</v>
      </c>
      <c r="K711">
        <f t="shared" si="58"/>
        <v>5.550933321412618</v>
      </c>
      <c r="L711">
        <f t="shared" si="59"/>
        <v>5.7271591387575027</v>
      </c>
    </row>
    <row r="712" spans="1:12" x14ac:dyDescent="0.3">
      <c r="A712">
        <v>5.2</v>
      </c>
      <c r="B712">
        <v>5.2</v>
      </c>
      <c r="C712">
        <v>5.3147877013177176</v>
      </c>
      <c r="D712">
        <v>5.4679355783308887</v>
      </c>
      <c r="E712">
        <f t="shared" si="55"/>
        <v>3.0755709137835915E-2</v>
      </c>
      <c r="F712">
        <f t="shared" si="56"/>
        <v>1.3176216373805507E-2</v>
      </c>
      <c r="G712">
        <f t="shared" si="57"/>
        <v>7.1789474135507708E-2</v>
      </c>
      <c r="H712">
        <v>177.90128843338192</v>
      </c>
      <c r="I712">
        <v>162.98770131771641</v>
      </c>
      <c r="J712">
        <v>242.63557833089328</v>
      </c>
      <c r="K712">
        <f t="shared" si="58"/>
        <v>5.0891104801483067</v>
      </c>
      <c r="L712">
        <f t="shared" si="59"/>
        <v>5.2202034679040601</v>
      </c>
    </row>
    <row r="713" spans="1:12" x14ac:dyDescent="0.3">
      <c r="A713">
        <v>5.3</v>
      </c>
      <c r="B713">
        <v>5.0999999999999996</v>
      </c>
      <c r="C713">
        <v>5.3147877013177176</v>
      </c>
      <c r="D713">
        <v>5.4679355783308887</v>
      </c>
      <c r="E713">
        <f t="shared" si="55"/>
        <v>5.440921436518943E-3</v>
      </c>
      <c r="F713">
        <f t="shared" si="56"/>
        <v>2.1867611026203226E-4</v>
      </c>
      <c r="G713">
        <f t="shared" si="57"/>
        <v>0.13537658980168582</v>
      </c>
      <c r="H713">
        <v>177.90128843338192</v>
      </c>
      <c r="I713">
        <v>162.98770131771641</v>
      </c>
      <c r="J713">
        <v>242.63557833089328</v>
      </c>
      <c r="K713">
        <f t="shared" si="58"/>
        <v>5.0252155443619166</v>
      </c>
      <c r="L713">
        <f t="shared" si="59"/>
        <v>5.1500642345412215</v>
      </c>
    </row>
    <row r="714" spans="1:12" x14ac:dyDescent="0.3">
      <c r="A714">
        <v>5</v>
      </c>
      <c r="B714">
        <v>5.0999999999999996</v>
      </c>
      <c r="C714">
        <v>5.3147877013177176</v>
      </c>
      <c r="D714">
        <v>5.4679355783308887</v>
      </c>
      <c r="E714">
        <f t="shared" si="55"/>
        <v>0.1158215949357856</v>
      </c>
      <c r="F714">
        <f t="shared" si="56"/>
        <v>9.9091296900892592E-2</v>
      </c>
      <c r="G714">
        <f t="shared" si="57"/>
        <v>0.13537658980168582</v>
      </c>
      <c r="H714">
        <v>177.90128843338192</v>
      </c>
      <c r="I714">
        <v>162.98770131771641</v>
      </c>
      <c r="J714">
        <v>242.63557833089328</v>
      </c>
      <c r="K714">
        <f t="shared" si="58"/>
        <v>4.9825110956622076</v>
      </c>
      <c r="L714">
        <f t="shared" si="59"/>
        <v>5.1031863833294464</v>
      </c>
    </row>
    <row r="715" spans="1:12" x14ac:dyDescent="0.3">
      <c r="A715">
        <v>5.8</v>
      </c>
      <c r="B715">
        <v>6.1</v>
      </c>
      <c r="C715">
        <v>5.3147877013177176</v>
      </c>
      <c r="D715">
        <v>5.4679355783308887</v>
      </c>
      <c r="E715">
        <f t="shared" si="55"/>
        <v>0.3066854309533566</v>
      </c>
      <c r="F715">
        <f t="shared" si="56"/>
        <v>0.23543097479254424</v>
      </c>
      <c r="G715">
        <f t="shared" si="57"/>
        <v>0.39950543313990766</v>
      </c>
      <c r="H715">
        <v>177.90128843338192</v>
      </c>
      <c r="I715">
        <v>162.98770131771641</v>
      </c>
      <c r="J715">
        <v>242.63557833089328</v>
      </c>
      <c r="K715">
        <f t="shared" si="58"/>
        <v>5.8776871457243578</v>
      </c>
      <c r="L715">
        <f t="shared" si="59"/>
        <v>6.0858458242284819</v>
      </c>
    </row>
    <row r="716" spans="1:12" x14ac:dyDescent="0.3">
      <c r="A716">
        <v>5.3</v>
      </c>
      <c r="B716">
        <v>5.6</v>
      </c>
      <c r="C716">
        <v>5.3147877013177176</v>
      </c>
      <c r="D716">
        <v>5.4679355783308887</v>
      </c>
      <c r="E716">
        <f t="shared" si="55"/>
        <v>-1.9529292223399485E-3</v>
      </c>
      <c r="F716">
        <f t="shared" si="56"/>
        <v>2.1867611026203226E-4</v>
      </c>
      <c r="G716">
        <f t="shared" si="57"/>
        <v>1.7441011470796734E-2</v>
      </c>
      <c r="H716">
        <v>177.90128843338192</v>
      </c>
      <c r="I716">
        <v>162.98770131771641</v>
      </c>
      <c r="J716">
        <v>242.63557833089328</v>
      </c>
      <c r="K716">
        <f t="shared" si="58"/>
        <v>5.4158643044600456</v>
      </c>
      <c r="L716">
        <f t="shared" si="59"/>
        <v>5.5788901533750384</v>
      </c>
    </row>
    <row r="717" spans="1:12" x14ac:dyDescent="0.3">
      <c r="A717">
        <v>5.6</v>
      </c>
      <c r="B717">
        <v>5.3</v>
      </c>
      <c r="C717">
        <v>5.3147877013177176</v>
      </c>
      <c r="D717">
        <v>5.4679355783308887</v>
      </c>
      <c r="E717">
        <f t="shared" si="55"/>
        <v>-4.7897292326291259E-2</v>
      </c>
      <c r="F717">
        <f t="shared" si="56"/>
        <v>8.1346055319631266E-2</v>
      </c>
      <c r="G717">
        <f t="shared" si="57"/>
        <v>2.8202358469330124E-2</v>
      </c>
      <c r="H717">
        <v>177.90128843338192</v>
      </c>
      <c r="I717">
        <v>162.98770131771641</v>
      </c>
      <c r="J717">
        <v>242.63557833089328</v>
      </c>
      <c r="K717">
        <f t="shared" si="58"/>
        <v>5.224179497100879</v>
      </c>
      <c r="L717">
        <f t="shared" si="59"/>
        <v>5.3684724532865244</v>
      </c>
    </row>
    <row r="718" spans="1:12" x14ac:dyDescent="0.3">
      <c r="A718">
        <v>5.2</v>
      </c>
      <c r="B718">
        <v>5.2</v>
      </c>
      <c r="C718">
        <v>5.3147877013177176</v>
      </c>
      <c r="D718">
        <v>5.4679355783308887</v>
      </c>
      <c r="E718">
        <f t="shared" si="55"/>
        <v>3.0755709137835915E-2</v>
      </c>
      <c r="F718">
        <f t="shared" si="56"/>
        <v>1.3176216373805507E-2</v>
      </c>
      <c r="G718">
        <f t="shared" si="57"/>
        <v>7.1789474135507708E-2</v>
      </c>
      <c r="H718">
        <v>177.90128843338192</v>
      </c>
      <c r="I718">
        <v>162.98770131771641</v>
      </c>
      <c r="J718">
        <v>242.63557833089328</v>
      </c>
      <c r="K718">
        <f t="shared" si="58"/>
        <v>5.0891104801483067</v>
      </c>
      <c r="L718">
        <f t="shared" si="59"/>
        <v>5.2202034679040601</v>
      </c>
    </row>
    <row r="719" spans="1:12" x14ac:dyDescent="0.3">
      <c r="A719">
        <v>5.4</v>
      </c>
      <c r="B719">
        <v>5.7</v>
      </c>
      <c r="C719">
        <v>5.3147877013177176</v>
      </c>
      <c r="D719">
        <v>5.4679355783308887</v>
      </c>
      <c r="E719">
        <f t="shared" si="55"/>
        <v>1.9774742812799534E-2</v>
      </c>
      <c r="F719">
        <f t="shared" si="56"/>
        <v>7.2611358467185661E-3</v>
      </c>
      <c r="G719">
        <f t="shared" si="57"/>
        <v>5.3853895804619169E-2</v>
      </c>
      <c r="H719">
        <v>177.90128843338192</v>
      </c>
      <c r="I719">
        <v>162.98770131771641</v>
      </c>
      <c r="J719">
        <v>242.63557833089328</v>
      </c>
      <c r="K719">
        <f t="shared" si="58"/>
        <v>5.508228872712909</v>
      </c>
      <c r="L719">
        <f t="shared" si="59"/>
        <v>5.6802812875457285</v>
      </c>
    </row>
    <row r="720" spans="1:12" x14ac:dyDescent="0.3">
      <c r="A720">
        <v>5.7</v>
      </c>
      <c r="B720">
        <v>5.4</v>
      </c>
      <c r="C720">
        <v>5.3147877013177176</v>
      </c>
      <c r="D720">
        <v>5.4679355783308887</v>
      </c>
      <c r="E720">
        <f t="shared" si="55"/>
        <v>-2.6169620291151774E-2</v>
      </c>
      <c r="F720">
        <f t="shared" si="56"/>
        <v>0.14838851505608808</v>
      </c>
      <c r="G720">
        <f t="shared" si="57"/>
        <v>4.615242803152269E-3</v>
      </c>
      <c r="H720">
        <v>177.90128843338192</v>
      </c>
      <c r="I720">
        <v>162.98770131771641</v>
      </c>
      <c r="J720">
        <v>242.63557833089328</v>
      </c>
      <c r="K720">
        <f t="shared" si="58"/>
        <v>5.3165440653537424</v>
      </c>
      <c r="L720">
        <f t="shared" si="59"/>
        <v>5.4698635874572146</v>
      </c>
    </row>
    <row r="721" spans="1:12" x14ac:dyDescent="0.3">
      <c r="A721">
        <v>5.4</v>
      </c>
      <c r="B721">
        <v>5.8</v>
      </c>
      <c r="C721">
        <v>5.3147877013177176</v>
      </c>
      <c r="D721">
        <v>5.4679355783308887</v>
      </c>
      <c r="E721">
        <f t="shared" si="55"/>
        <v>2.8295972681027778E-2</v>
      </c>
      <c r="F721">
        <f t="shared" si="56"/>
        <v>7.2611358467185661E-3</v>
      </c>
      <c r="G721">
        <f t="shared" si="57"/>
        <v>0.11026678013844123</v>
      </c>
      <c r="H721">
        <v>177.90128843338192</v>
      </c>
      <c r="I721">
        <v>162.98770131771641</v>
      </c>
      <c r="J721">
        <v>242.63557833089328</v>
      </c>
      <c r="K721">
        <f t="shared" si="58"/>
        <v>5.5863586247325339</v>
      </c>
      <c r="L721">
        <f t="shared" si="59"/>
        <v>5.7660464713124906</v>
      </c>
    </row>
    <row r="722" spans="1:12" x14ac:dyDescent="0.3">
      <c r="A722">
        <v>6.1</v>
      </c>
      <c r="B722">
        <v>6</v>
      </c>
      <c r="C722">
        <v>5.3147877013177176</v>
      </c>
      <c r="D722">
        <v>5.4679355783308887</v>
      </c>
      <c r="E722">
        <f t="shared" si="55"/>
        <v>0.41778352758586185</v>
      </c>
      <c r="F722">
        <f t="shared" si="56"/>
        <v>0.61655835400191328</v>
      </c>
      <c r="G722">
        <f t="shared" si="57"/>
        <v>0.28309254880608586</v>
      </c>
      <c r="H722">
        <v>177.90128843338192</v>
      </c>
      <c r="I722">
        <v>162.98770131771641</v>
      </c>
      <c r="J722">
        <v>242.63557833089328</v>
      </c>
      <c r="K722">
        <f t="shared" si="58"/>
        <v>5.8422618424044419</v>
      </c>
      <c r="L722">
        <f t="shared" si="59"/>
        <v>6.046958491673494</v>
      </c>
    </row>
    <row r="723" spans="1:12" x14ac:dyDescent="0.3">
      <c r="A723">
        <v>4.8</v>
      </c>
      <c r="B723">
        <v>5.2</v>
      </c>
      <c r="C723">
        <v>5.3147877013177176</v>
      </c>
      <c r="D723">
        <v>5.4679355783308887</v>
      </c>
      <c r="E723">
        <f t="shared" si="55"/>
        <v>0.13792994047019144</v>
      </c>
      <c r="F723">
        <f t="shared" si="56"/>
        <v>0.26500637742797983</v>
      </c>
      <c r="G723">
        <f t="shared" si="57"/>
        <v>7.1789474135507708E-2</v>
      </c>
      <c r="H723">
        <v>177.90128843338192</v>
      </c>
      <c r="I723">
        <v>162.98770131771641</v>
      </c>
      <c r="J723">
        <v>242.63557833089328</v>
      </c>
      <c r="K723">
        <f t="shared" si="58"/>
        <v>5.032171215215361</v>
      </c>
      <c r="L723">
        <f t="shared" si="59"/>
        <v>5.1576996662883605</v>
      </c>
    </row>
    <row r="724" spans="1:12" x14ac:dyDescent="0.3">
      <c r="A724">
        <v>5.4</v>
      </c>
      <c r="B724">
        <v>5.5</v>
      </c>
      <c r="C724">
        <v>5.3147877013177176</v>
      </c>
      <c r="D724">
        <v>5.4679355783308887</v>
      </c>
      <c r="E724">
        <f t="shared" si="55"/>
        <v>2.7322830763429691E-3</v>
      </c>
      <c r="F724">
        <f t="shared" si="56"/>
        <v>7.2611358467185661E-3</v>
      </c>
      <c r="G724">
        <f t="shared" si="57"/>
        <v>1.0281271369745727E-3</v>
      </c>
      <c r="H724">
        <v>177.90128843338192</v>
      </c>
      <c r="I724">
        <v>162.98770131771641</v>
      </c>
      <c r="J724">
        <v>242.63557833089328</v>
      </c>
      <c r="K724">
        <f t="shared" si="58"/>
        <v>5.3519693686736574</v>
      </c>
      <c r="L724">
        <f t="shared" si="59"/>
        <v>5.5087509200122016</v>
      </c>
    </row>
    <row r="725" spans="1:12" x14ac:dyDescent="0.3">
      <c r="A725">
        <v>4.9000000000000004</v>
      </c>
      <c r="B725">
        <v>5.0999999999999996</v>
      </c>
      <c r="C725">
        <v>5.3147877013177176</v>
      </c>
      <c r="D725">
        <v>5.4679355783308887</v>
      </c>
      <c r="E725">
        <f t="shared" si="55"/>
        <v>0.15261515276887438</v>
      </c>
      <c r="F725">
        <f t="shared" si="56"/>
        <v>0.17204883716443581</v>
      </c>
      <c r="G725">
        <f t="shared" si="57"/>
        <v>0.13537658980168582</v>
      </c>
      <c r="H725">
        <v>177.90128843338192</v>
      </c>
      <c r="I725">
        <v>162.98770131771641</v>
      </c>
      <c r="J725">
        <v>242.63557833089328</v>
      </c>
      <c r="K725">
        <f t="shared" si="58"/>
        <v>4.968276279428971</v>
      </c>
      <c r="L725">
        <f t="shared" si="59"/>
        <v>5.0875604329255211</v>
      </c>
    </row>
    <row r="726" spans="1:12" x14ac:dyDescent="0.3">
      <c r="A726">
        <v>5.0999999999999996</v>
      </c>
      <c r="B726">
        <v>5.4</v>
      </c>
      <c r="C726">
        <v>5.3147877013177176</v>
      </c>
      <c r="D726">
        <v>5.4679355783308887</v>
      </c>
      <c r="E726">
        <f t="shared" si="55"/>
        <v>1.4591726707381283E-2</v>
      </c>
      <c r="F726">
        <f t="shared" si="56"/>
        <v>4.613375663734922E-2</v>
      </c>
      <c r="G726">
        <f t="shared" si="57"/>
        <v>4.615242803152269E-3</v>
      </c>
      <c r="H726">
        <v>177.90128843338192</v>
      </c>
      <c r="I726">
        <v>162.98770131771641</v>
      </c>
      <c r="J726">
        <v>242.63557833089328</v>
      </c>
      <c r="K726">
        <f t="shared" si="58"/>
        <v>5.2311351679543217</v>
      </c>
      <c r="L726">
        <f t="shared" si="59"/>
        <v>5.3761078850336625</v>
      </c>
    </row>
    <row r="727" spans="1:12" x14ac:dyDescent="0.3">
      <c r="A727">
        <v>5.2</v>
      </c>
      <c r="B727">
        <v>5.4</v>
      </c>
      <c r="C727">
        <v>5.3147877013177176</v>
      </c>
      <c r="D727">
        <v>5.4679355783308887</v>
      </c>
      <c r="E727">
        <f t="shared" si="55"/>
        <v>7.7981688742924105E-3</v>
      </c>
      <c r="F727">
        <f t="shared" si="56"/>
        <v>1.3176216373805507E-2</v>
      </c>
      <c r="G727">
        <f t="shared" si="57"/>
        <v>4.615242803152269E-3</v>
      </c>
      <c r="H727">
        <v>177.90128843338192</v>
      </c>
      <c r="I727">
        <v>162.98770131771641</v>
      </c>
      <c r="J727">
        <v>242.63557833089328</v>
      </c>
      <c r="K727">
        <f t="shared" si="58"/>
        <v>5.2453699841875583</v>
      </c>
      <c r="L727">
        <f t="shared" si="59"/>
        <v>5.391733835437587</v>
      </c>
    </row>
    <row r="728" spans="1:12" x14ac:dyDescent="0.3">
      <c r="A728">
        <v>5.6</v>
      </c>
      <c r="B728">
        <v>5.7</v>
      </c>
      <c r="C728">
        <v>5.3147877013177176</v>
      </c>
      <c r="D728">
        <v>5.4679355783308887</v>
      </c>
      <c r="E728">
        <f t="shared" si="55"/>
        <v>6.6187627146621658E-2</v>
      </c>
      <c r="F728">
        <f t="shared" si="56"/>
        <v>8.1346055319631266E-2</v>
      </c>
      <c r="G728">
        <f t="shared" si="57"/>
        <v>5.3853895804619169E-2</v>
      </c>
      <c r="H728">
        <v>177.90128843338192</v>
      </c>
      <c r="I728">
        <v>162.98770131771641</v>
      </c>
      <c r="J728">
        <v>242.63557833089328</v>
      </c>
      <c r="K728">
        <f t="shared" si="58"/>
        <v>5.5366985051793822</v>
      </c>
      <c r="L728">
        <f t="shared" si="59"/>
        <v>5.7115331883535783</v>
      </c>
    </row>
    <row r="729" spans="1:12" x14ac:dyDescent="0.3">
      <c r="A729">
        <v>5.0999999999999996</v>
      </c>
      <c r="B729">
        <v>5.2</v>
      </c>
      <c r="C729">
        <v>5.3147877013177176</v>
      </c>
      <c r="D729">
        <v>5.4679355783308887</v>
      </c>
      <c r="E729">
        <f t="shared" si="55"/>
        <v>5.7549266970924912E-2</v>
      </c>
      <c r="F729">
        <f t="shared" si="56"/>
        <v>4.613375663734922E-2</v>
      </c>
      <c r="G729">
        <f t="shared" si="57"/>
        <v>7.1789474135507708E-2</v>
      </c>
      <c r="H729">
        <v>177.90128843338192</v>
      </c>
      <c r="I729">
        <v>162.98770131771641</v>
      </c>
      <c r="J729">
        <v>242.63557833089328</v>
      </c>
      <c r="K729">
        <f t="shared" si="58"/>
        <v>5.0748756639150701</v>
      </c>
      <c r="L729">
        <f t="shared" si="59"/>
        <v>5.2045775175001356</v>
      </c>
    </row>
    <row r="730" spans="1:12" x14ac:dyDescent="0.3">
      <c r="A730">
        <v>5.0999999999999996</v>
      </c>
      <c r="B730">
        <v>6.1</v>
      </c>
      <c r="C730">
        <v>5.3147877013177176</v>
      </c>
      <c r="D730">
        <v>5.4679355783308887</v>
      </c>
      <c r="E730">
        <f t="shared" si="55"/>
        <v>-0.13575966421502114</v>
      </c>
      <c r="F730">
        <f t="shared" si="56"/>
        <v>4.613375663734922E-2</v>
      </c>
      <c r="G730">
        <f t="shared" si="57"/>
        <v>0.39950543313990766</v>
      </c>
      <c r="H730">
        <v>177.90128843338192</v>
      </c>
      <c r="I730">
        <v>162.98770131771641</v>
      </c>
      <c r="J730">
        <v>242.63557833089328</v>
      </c>
      <c r="K730">
        <f t="shared" si="58"/>
        <v>5.7780434320917013</v>
      </c>
      <c r="L730">
        <f t="shared" si="59"/>
        <v>5.9764641714010054</v>
      </c>
    </row>
    <row r="731" spans="1:12" x14ac:dyDescent="0.3">
      <c r="A731">
        <v>5.2</v>
      </c>
      <c r="B731">
        <v>5.0999999999999996</v>
      </c>
      <c r="C731">
        <v>5.3147877013177176</v>
      </c>
      <c r="D731">
        <v>5.4679355783308887</v>
      </c>
      <c r="E731">
        <f t="shared" si="55"/>
        <v>4.2234479269607723E-2</v>
      </c>
      <c r="F731">
        <f t="shared" si="56"/>
        <v>1.3176216373805507E-2</v>
      </c>
      <c r="G731">
        <f t="shared" si="57"/>
        <v>0.13537658980168582</v>
      </c>
      <c r="H731">
        <v>177.90128843338192</v>
      </c>
      <c r="I731">
        <v>162.98770131771641</v>
      </c>
      <c r="J731">
        <v>242.63557833089328</v>
      </c>
      <c r="K731">
        <f t="shared" si="58"/>
        <v>5.0109807281286809</v>
      </c>
      <c r="L731">
        <f t="shared" si="59"/>
        <v>5.1344382841372971</v>
      </c>
    </row>
    <row r="732" spans="1:12" x14ac:dyDescent="0.3">
      <c r="A732">
        <v>5</v>
      </c>
      <c r="B732">
        <v>5.0999999999999996</v>
      </c>
      <c r="C732">
        <v>5.3147877013177176</v>
      </c>
      <c r="D732">
        <v>5.4679355783308887</v>
      </c>
      <c r="E732">
        <f t="shared" si="55"/>
        <v>0.1158215949357856</v>
      </c>
      <c r="F732">
        <f t="shared" si="56"/>
        <v>9.9091296900892592E-2</v>
      </c>
      <c r="G732">
        <f t="shared" si="57"/>
        <v>0.13537658980168582</v>
      </c>
      <c r="H732">
        <v>177.90128843338192</v>
      </c>
      <c r="I732">
        <v>162.98770131771641</v>
      </c>
      <c r="J732">
        <v>242.63557833089328</v>
      </c>
      <c r="K732">
        <f t="shared" si="58"/>
        <v>4.9825110956622076</v>
      </c>
      <c r="L732">
        <f t="shared" si="59"/>
        <v>5.1031863833294464</v>
      </c>
    </row>
    <row r="733" spans="1:12" x14ac:dyDescent="0.3">
      <c r="A733">
        <v>5.0999999999999996</v>
      </c>
      <c r="B733">
        <v>5.2</v>
      </c>
      <c r="C733">
        <v>5.3147877013177176</v>
      </c>
      <c r="D733">
        <v>5.4679355783308887</v>
      </c>
      <c r="E733">
        <f t="shared" si="55"/>
        <v>5.7549266970924912E-2</v>
      </c>
      <c r="F733">
        <f t="shared" si="56"/>
        <v>4.613375663734922E-2</v>
      </c>
      <c r="G733">
        <f t="shared" si="57"/>
        <v>7.1789474135507708E-2</v>
      </c>
      <c r="H733">
        <v>177.90128843338192</v>
      </c>
      <c r="I733">
        <v>162.98770131771641</v>
      </c>
      <c r="J733">
        <v>242.63557833089328</v>
      </c>
      <c r="K733">
        <f t="shared" si="58"/>
        <v>5.0748756639150701</v>
      </c>
      <c r="L733">
        <f t="shared" si="59"/>
        <v>5.2045775175001356</v>
      </c>
    </row>
    <row r="734" spans="1:12" x14ac:dyDescent="0.3">
      <c r="A734">
        <v>5.5</v>
      </c>
      <c r="B734">
        <v>5.8</v>
      </c>
      <c r="C734">
        <v>5.3147877013177176</v>
      </c>
      <c r="D734">
        <v>5.4679355783308887</v>
      </c>
      <c r="E734">
        <f t="shared" si="55"/>
        <v>6.1502414847938773E-2</v>
      </c>
      <c r="F734">
        <f t="shared" si="56"/>
        <v>3.4303595583174987E-2</v>
      </c>
      <c r="G734">
        <f t="shared" si="57"/>
        <v>0.11026678013844123</v>
      </c>
      <c r="H734">
        <v>177.90128843338192</v>
      </c>
      <c r="I734">
        <v>162.98770131771641</v>
      </c>
      <c r="J734">
        <v>242.63557833089328</v>
      </c>
      <c r="K734">
        <f t="shared" si="58"/>
        <v>5.6005934409657705</v>
      </c>
      <c r="L734">
        <f t="shared" si="59"/>
        <v>5.7816724217164159</v>
      </c>
    </row>
    <row r="735" spans="1:12" x14ac:dyDescent="0.3">
      <c r="A735">
        <v>5</v>
      </c>
      <c r="B735">
        <v>5.0999999999999996</v>
      </c>
      <c r="C735">
        <v>5.3147877013177176</v>
      </c>
      <c r="D735">
        <v>5.4679355783308887</v>
      </c>
      <c r="E735">
        <f t="shared" si="55"/>
        <v>0.1158215949357856</v>
      </c>
      <c r="F735">
        <f t="shared" si="56"/>
        <v>9.9091296900892592E-2</v>
      </c>
      <c r="G735">
        <f t="shared" si="57"/>
        <v>0.13537658980168582</v>
      </c>
      <c r="H735">
        <v>177.90128843338192</v>
      </c>
      <c r="I735">
        <v>162.98770131771641</v>
      </c>
      <c r="J735">
        <v>242.63557833089328</v>
      </c>
      <c r="K735">
        <f t="shared" si="58"/>
        <v>4.9825110956622076</v>
      </c>
      <c r="L735">
        <f t="shared" si="59"/>
        <v>5.1031863833294464</v>
      </c>
    </row>
    <row r="736" spans="1:12" x14ac:dyDescent="0.3">
      <c r="A736">
        <v>5.2</v>
      </c>
      <c r="B736">
        <v>5.4</v>
      </c>
      <c r="C736">
        <v>5.3147877013177176</v>
      </c>
      <c r="D736">
        <v>5.4679355783308887</v>
      </c>
      <c r="E736">
        <f t="shared" si="55"/>
        <v>7.7981688742924105E-3</v>
      </c>
      <c r="F736">
        <f t="shared" si="56"/>
        <v>1.3176216373805507E-2</v>
      </c>
      <c r="G736">
        <f t="shared" si="57"/>
        <v>4.615242803152269E-3</v>
      </c>
      <c r="H736">
        <v>177.90128843338192</v>
      </c>
      <c r="I736">
        <v>162.98770131771641</v>
      </c>
      <c r="J736">
        <v>242.63557833089328</v>
      </c>
      <c r="K736">
        <f t="shared" si="58"/>
        <v>5.2453699841875583</v>
      </c>
      <c r="L736">
        <f t="shared" si="59"/>
        <v>5.391733835437587</v>
      </c>
    </row>
    <row r="737" spans="1:12" x14ac:dyDescent="0.3">
      <c r="A737">
        <v>5.3</v>
      </c>
      <c r="B737">
        <v>5.6</v>
      </c>
      <c r="C737">
        <v>5.3147877013177176</v>
      </c>
      <c r="D737">
        <v>5.4679355783308887</v>
      </c>
      <c r="E737">
        <f t="shared" si="55"/>
        <v>-1.9529292223399485E-3</v>
      </c>
      <c r="F737">
        <f t="shared" si="56"/>
        <v>2.1867611026203226E-4</v>
      </c>
      <c r="G737">
        <f t="shared" si="57"/>
        <v>1.7441011470796734E-2</v>
      </c>
      <c r="H737">
        <v>177.90128843338192</v>
      </c>
      <c r="I737">
        <v>162.98770131771641</v>
      </c>
      <c r="J737">
        <v>242.63557833089328</v>
      </c>
      <c r="K737">
        <f t="shared" si="58"/>
        <v>5.4158643044600456</v>
      </c>
      <c r="L737">
        <f t="shared" si="59"/>
        <v>5.5788901533750384</v>
      </c>
    </row>
    <row r="738" spans="1:12" x14ac:dyDescent="0.3">
      <c r="A738">
        <v>4.7</v>
      </c>
      <c r="B738">
        <v>5.4</v>
      </c>
      <c r="C738">
        <v>5.3147877013177176</v>
      </c>
      <c r="D738">
        <v>5.4679355783308887</v>
      </c>
      <c r="E738">
        <f t="shared" si="55"/>
        <v>4.1765958039736595E-2</v>
      </c>
      <c r="F738">
        <f t="shared" si="56"/>
        <v>0.37796391769152293</v>
      </c>
      <c r="G738">
        <f t="shared" si="57"/>
        <v>4.615242803152269E-3</v>
      </c>
      <c r="H738">
        <v>177.90128843338192</v>
      </c>
      <c r="I738">
        <v>162.98770131771641</v>
      </c>
      <c r="J738">
        <v>242.63557833089328</v>
      </c>
      <c r="K738">
        <f t="shared" si="58"/>
        <v>5.174195903021376</v>
      </c>
      <c r="L738">
        <f t="shared" si="59"/>
        <v>5.3136040834179621</v>
      </c>
    </row>
    <row r="739" spans="1:12" x14ac:dyDescent="0.3">
      <c r="A739">
        <v>5.2</v>
      </c>
      <c r="B739">
        <v>5.2</v>
      </c>
      <c r="C739">
        <v>5.3147877013177176</v>
      </c>
      <c r="D739">
        <v>5.4679355783308887</v>
      </c>
      <c r="E739">
        <f t="shared" si="55"/>
        <v>3.0755709137835915E-2</v>
      </c>
      <c r="F739">
        <f t="shared" si="56"/>
        <v>1.3176216373805507E-2</v>
      </c>
      <c r="G739">
        <f t="shared" si="57"/>
        <v>7.1789474135507708E-2</v>
      </c>
      <c r="H739">
        <v>177.90128843338192</v>
      </c>
      <c r="I739">
        <v>162.98770131771641</v>
      </c>
      <c r="J739">
        <v>242.63557833089328</v>
      </c>
      <c r="K739">
        <f t="shared" si="58"/>
        <v>5.0891104801483067</v>
      </c>
      <c r="L739">
        <f t="shared" si="59"/>
        <v>5.2202034679040601</v>
      </c>
    </row>
    <row r="740" spans="1:12" x14ac:dyDescent="0.3">
      <c r="A740">
        <v>4.9000000000000004</v>
      </c>
      <c r="B740">
        <v>5.2</v>
      </c>
      <c r="C740">
        <v>5.3147877013177176</v>
      </c>
      <c r="D740">
        <v>5.4679355783308887</v>
      </c>
      <c r="E740">
        <f t="shared" si="55"/>
        <v>0.11113638263710243</v>
      </c>
      <c r="F740">
        <f t="shared" si="56"/>
        <v>0.17204883716443581</v>
      </c>
      <c r="G740">
        <f t="shared" si="57"/>
        <v>7.1789474135507708E-2</v>
      </c>
      <c r="H740">
        <v>177.90128843338192</v>
      </c>
      <c r="I740">
        <v>162.98770131771641</v>
      </c>
      <c r="J740">
        <v>242.63557833089328</v>
      </c>
      <c r="K740">
        <f t="shared" si="58"/>
        <v>5.0464060314485977</v>
      </c>
      <c r="L740">
        <f t="shared" si="59"/>
        <v>5.1733256166922859</v>
      </c>
    </row>
    <row r="741" spans="1:12" x14ac:dyDescent="0.3">
      <c r="A741">
        <v>5.8</v>
      </c>
      <c r="B741">
        <v>5.9</v>
      </c>
      <c r="C741">
        <v>5.3147877013177176</v>
      </c>
      <c r="D741">
        <v>5.4679355783308887</v>
      </c>
      <c r="E741">
        <f t="shared" si="55"/>
        <v>0.20964297121690051</v>
      </c>
      <c r="F741">
        <f t="shared" si="56"/>
        <v>0.23543097479254424</v>
      </c>
      <c r="G741">
        <f t="shared" si="57"/>
        <v>0.18667966447226389</v>
      </c>
      <c r="H741">
        <v>177.90128843338192</v>
      </c>
      <c r="I741">
        <v>162.98770131771641</v>
      </c>
      <c r="J741">
        <v>242.63557833089328</v>
      </c>
      <c r="K741">
        <f t="shared" si="58"/>
        <v>5.7214276416851062</v>
      </c>
      <c r="L741">
        <f t="shared" si="59"/>
        <v>5.914315456694955</v>
      </c>
    </row>
    <row r="742" spans="1:12" x14ac:dyDescent="0.3">
      <c r="A742">
        <v>5.5</v>
      </c>
      <c r="B742">
        <v>5.2</v>
      </c>
      <c r="C742">
        <v>5.3147877013177176</v>
      </c>
      <c r="D742">
        <v>5.4679355783308887</v>
      </c>
      <c r="E742">
        <f t="shared" si="55"/>
        <v>-4.9624964361430601E-2</v>
      </c>
      <c r="F742">
        <f t="shared" si="56"/>
        <v>3.4303595583174987E-2</v>
      </c>
      <c r="G742">
        <f t="shared" si="57"/>
        <v>7.1789474135507708E-2</v>
      </c>
      <c r="H742">
        <v>177.90128843338192</v>
      </c>
      <c r="I742">
        <v>162.98770131771641</v>
      </c>
      <c r="J742">
        <v>242.63557833089328</v>
      </c>
      <c r="K742">
        <f t="shared" si="58"/>
        <v>5.1318149288480166</v>
      </c>
      <c r="L742">
        <f t="shared" si="59"/>
        <v>5.2670813191158361</v>
      </c>
    </row>
    <row r="743" spans="1:12" x14ac:dyDescent="0.3">
      <c r="A743">
        <v>5.9</v>
      </c>
      <c r="B743">
        <v>6.6</v>
      </c>
      <c r="C743">
        <v>5.3147877013177176</v>
      </c>
      <c r="D743">
        <v>5.4679355783308887</v>
      </c>
      <c r="E743">
        <f t="shared" si="55"/>
        <v>0.66249802246140943</v>
      </c>
      <c r="F743">
        <f t="shared" si="56"/>
        <v>0.34247343452900131</v>
      </c>
      <c r="G743">
        <f t="shared" si="57"/>
        <v>1.2815698548090186</v>
      </c>
      <c r="H743">
        <v>177.90128843338192</v>
      </c>
      <c r="I743">
        <v>162.98770131771641</v>
      </c>
      <c r="J743">
        <v>242.63557833089328</v>
      </c>
      <c r="K743">
        <f t="shared" si="58"/>
        <v>6.2825707220557234</v>
      </c>
      <c r="L743">
        <f t="shared" si="59"/>
        <v>6.530297693466224</v>
      </c>
    </row>
    <row r="744" spans="1:12" x14ac:dyDescent="0.3">
      <c r="A744">
        <v>5.0999999999999996</v>
      </c>
      <c r="B744">
        <v>5.4</v>
      </c>
      <c r="C744">
        <v>5.3147877013177176</v>
      </c>
      <c r="D744">
        <v>5.4679355783308887</v>
      </c>
      <c r="E744">
        <f t="shared" si="55"/>
        <v>1.4591726707381283E-2</v>
      </c>
      <c r="F744">
        <f t="shared" si="56"/>
        <v>4.613375663734922E-2</v>
      </c>
      <c r="G744">
        <f t="shared" si="57"/>
        <v>4.615242803152269E-3</v>
      </c>
      <c r="H744">
        <v>177.90128843338192</v>
      </c>
      <c r="I744">
        <v>162.98770131771641</v>
      </c>
      <c r="J744">
        <v>242.63557833089328</v>
      </c>
      <c r="K744">
        <f t="shared" si="58"/>
        <v>5.2311351679543217</v>
      </c>
      <c r="L744">
        <f t="shared" si="59"/>
        <v>5.3761078850336625</v>
      </c>
    </row>
    <row r="745" spans="1:12" x14ac:dyDescent="0.3">
      <c r="A745">
        <v>5.0999999999999996</v>
      </c>
      <c r="B745">
        <v>4.9000000000000004</v>
      </c>
      <c r="C745">
        <v>5.3147877013177176</v>
      </c>
      <c r="D745">
        <v>5.4679355783308887</v>
      </c>
      <c r="E745">
        <f t="shared" si="55"/>
        <v>0.12198557736624026</v>
      </c>
      <c r="F745">
        <f t="shared" si="56"/>
        <v>4.613375663734922E-2</v>
      </c>
      <c r="G745">
        <f t="shared" si="57"/>
        <v>0.32255082113404066</v>
      </c>
      <c r="H745">
        <v>177.90128843338192</v>
      </c>
      <c r="I745">
        <v>162.98770131771641</v>
      </c>
      <c r="J745">
        <v>242.63557833089328</v>
      </c>
      <c r="K745">
        <f t="shared" si="58"/>
        <v>4.8404864078561927</v>
      </c>
      <c r="L745">
        <f t="shared" si="59"/>
        <v>4.9472819661998448</v>
      </c>
    </row>
    <row r="746" spans="1:12" x14ac:dyDescent="0.3">
      <c r="A746">
        <v>5.2</v>
      </c>
      <c r="B746">
        <v>5.2</v>
      </c>
      <c r="C746">
        <v>5.3147877013177176</v>
      </c>
      <c r="D746">
        <v>5.4679355783308887</v>
      </c>
      <c r="E746">
        <f t="shared" si="55"/>
        <v>3.0755709137835915E-2</v>
      </c>
      <c r="F746">
        <f t="shared" si="56"/>
        <v>1.3176216373805507E-2</v>
      </c>
      <c r="G746">
        <f t="shared" si="57"/>
        <v>7.1789474135507708E-2</v>
      </c>
      <c r="H746">
        <v>177.90128843338192</v>
      </c>
      <c r="I746">
        <v>162.98770131771641</v>
      </c>
      <c r="J746">
        <v>242.63557833089328</v>
      </c>
      <c r="K746">
        <f t="shared" si="58"/>
        <v>5.0891104801483067</v>
      </c>
      <c r="L746">
        <f t="shared" si="59"/>
        <v>5.2202034679040601</v>
      </c>
    </row>
    <row r="747" spans="1:12" x14ac:dyDescent="0.3">
      <c r="A747">
        <v>5.4</v>
      </c>
      <c r="B747">
        <v>6.1</v>
      </c>
      <c r="C747">
        <v>5.3147877013177176</v>
      </c>
      <c r="D747">
        <v>5.4679355783308887</v>
      </c>
      <c r="E747">
        <f t="shared" si="55"/>
        <v>5.3859662285712588E-2</v>
      </c>
      <c r="F747">
        <f t="shared" si="56"/>
        <v>7.2611358467185661E-3</v>
      </c>
      <c r="G747">
        <f t="shared" si="57"/>
        <v>0.39950543313990766</v>
      </c>
      <c r="H747">
        <v>177.90128843338192</v>
      </c>
      <c r="I747">
        <v>162.98770131771641</v>
      </c>
      <c r="J747">
        <v>242.63557833089328</v>
      </c>
      <c r="K747">
        <f t="shared" si="58"/>
        <v>5.8207478807914113</v>
      </c>
      <c r="L747">
        <f t="shared" si="59"/>
        <v>6.0233420226127814</v>
      </c>
    </row>
    <row r="748" spans="1:12" x14ac:dyDescent="0.3">
      <c r="A748">
        <v>5.4</v>
      </c>
      <c r="B748">
        <v>5.8</v>
      </c>
      <c r="C748">
        <v>5.3147877013177176</v>
      </c>
      <c r="D748">
        <v>5.4679355783308887</v>
      </c>
      <c r="E748">
        <f t="shared" si="55"/>
        <v>2.8295972681027778E-2</v>
      </c>
      <c r="F748">
        <f t="shared" si="56"/>
        <v>7.2611358467185661E-3</v>
      </c>
      <c r="G748">
        <f t="shared" si="57"/>
        <v>0.11026678013844123</v>
      </c>
      <c r="H748">
        <v>177.90128843338192</v>
      </c>
      <c r="I748">
        <v>162.98770131771641</v>
      </c>
      <c r="J748">
        <v>242.63557833089328</v>
      </c>
      <c r="K748">
        <f t="shared" si="58"/>
        <v>5.5863586247325339</v>
      </c>
      <c r="L748">
        <f t="shared" si="59"/>
        <v>5.7660464713124906</v>
      </c>
    </row>
    <row r="749" spans="1:12" x14ac:dyDescent="0.3">
      <c r="A749">
        <v>5.4</v>
      </c>
      <c r="B749">
        <v>5.9</v>
      </c>
      <c r="C749">
        <v>5.3147877013177176</v>
      </c>
      <c r="D749">
        <v>5.4679355783308887</v>
      </c>
      <c r="E749">
        <f t="shared" si="55"/>
        <v>3.6817202549256099E-2</v>
      </c>
      <c r="F749">
        <f t="shared" si="56"/>
        <v>7.2611358467185661E-3</v>
      </c>
      <c r="G749">
        <f t="shared" si="57"/>
        <v>0.18667966447226389</v>
      </c>
      <c r="H749">
        <v>177.90128843338192</v>
      </c>
      <c r="I749">
        <v>162.98770131771641</v>
      </c>
      <c r="J749">
        <v>242.63557833089328</v>
      </c>
      <c r="K749">
        <f t="shared" si="58"/>
        <v>5.6644883767521605</v>
      </c>
      <c r="L749">
        <f t="shared" si="59"/>
        <v>5.8518116550792554</v>
      </c>
    </row>
    <row r="750" spans="1:12" x14ac:dyDescent="0.3">
      <c r="A750">
        <v>5.4</v>
      </c>
      <c r="B750">
        <v>5.5</v>
      </c>
      <c r="C750">
        <v>5.3147877013177176</v>
      </c>
      <c r="D750">
        <v>5.4679355783308887</v>
      </c>
      <c r="E750">
        <f t="shared" si="55"/>
        <v>2.7322830763429691E-3</v>
      </c>
      <c r="F750">
        <f t="shared" si="56"/>
        <v>7.2611358467185661E-3</v>
      </c>
      <c r="G750">
        <f t="shared" si="57"/>
        <v>1.0281271369745727E-3</v>
      </c>
      <c r="H750">
        <v>177.90128843338192</v>
      </c>
      <c r="I750">
        <v>162.98770131771641</v>
      </c>
      <c r="J750">
        <v>242.63557833089328</v>
      </c>
      <c r="K750">
        <f t="shared" si="58"/>
        <v>5.3519693686736574</v>
      </c>
      <c r="L750">
        <f t="shared" si="59"/>
        <v>5.5087509200122016</v>
      </c>
    </row>
    <row r="751" spans="1:12" x14ac:dyDescent="0.3">
      <c r="A751">
        <v>5</v>
      </c>
      <c r="B751">
        <v>5.0999999999999996</v>
      </c>
      <c r="C751">
        <v>5.3147877013177176</v>
      </c>
      <c r="D751">
        <v>5.4679355783308887</v>
      </c>
      <c r="E751">
        <f t="shared" si="55"/>
        <v>0.1158215949357856</v>
      </c>
      <c r="F751">
        <f t="shared" si="56"/>
        <v>9.9091296900892592E-2</v>
      </c>
      <c r="G751">
        <f t="shared" si="57"/>
        <v>0.13537658980168582</v>
      </c>
      <c r="H751">
        <v>177.90128843338192</v>
      </c>
      <c r="I751">
        <v>162.98770131771641</v>
      </c>
      <c r="J751">
        <v>242.63557833089328</v>
      </c>
      <c r="K751">
        <f t="shared" si="58"/>
        <v>4.9825110956622076</v>
      </c>
      <c r="L751">
        <f t="shared" si="59"/>
        <v>5.1031863833294464</v>
      </c>
    </row>
    <row r="752" spans="1:12" x14ac:dyDescent="0.3">
      <c r="A752">
        <v>5.4</v>
      </c>
      <c r="B752">
        <v>5.6</v>
      </c>
      <c r="C752">
        <v>5.3147877013177176</v>
      </c>
      <c r="D752">
        <v>5.4679355783308887</v>
      </c>
      <c r="E752">
        <f t="shared" si="55"/>
        <v>1.1253512944571213E-2</v>
      </c>
      <c r="F752">
        <f t="shared" si="56"/>
        <v>7.2611358467185661E-3</v>
      </c>
      <c r="G752">
        <f t="shared" si="57"/>
        <v>1.7441011470796734E-2</v>
      </c>
      <c r="H752">
        <v>177.90128843338192</v>
      </c>
      <c r="I752">
        <v>162.98770131771641</v>
      </c>
      <c r="J752">
        <v>242.63557833089328</v>
      </c>
      <c r="K752">
        <f t="shared" si="58"/>
        <v>5.4300991206932823</v>
      </c>
      <c r="L752">
        <f t="shared" si="59"/>
        <v>5.5945161037789637</v>
      </c>
    </row>
    <row r="753" spans="1:12" x14ac:dyDescent="0.3">
      <c r="A753">
        <v>5.6</v>
      </c>
      <c r="B753">
        <v>5.0999999999999996</v>
      </c>
      <c r="C753">
        <v>5.3147877013177176</v>
      </c>
      <c r="D753">
        <v>5.4679355783308887</v>
      </c>
      <c r="E753">
        <f t="shared" si="55"/>
        <v>-0.10493975206274772</v>
      </c>
      <c r="F753">
        <f t="shared" si="56"/>
        <v>8.1346055319631266E-2</v>
      </c>
      <c r="G753">
        <f t="shared" si="57"/>
        <v>0.13537658980168582</v>
      </c>
      <c r="H753">
        <v>177.90128843338192</v>
      </c>
      <c r="I753">
        <v>162.98770131771641</v>
      </c>
      <c r="J753">
        <v>242.63557833089328</v>
      </c>
      <c r="K753">
        <f t="shared" si="58"/>
        <v>5.0679199930616265</v>
      </c>
      <c r="L753">
        <f t="shared" si="59"/>
        <v>5.1969420857529967</v>
      </c>
    </row>
    <row r="754" spans="1:12" x14ac:dyDescent="0.3">
      <c r="A754">
        <v>5.3</v>
      </c>
      <c r="B754">
        <v>5.5</v>
      </c>
      <c r="C754">
        <v>5.3147877013177176</v>
      </c>
      <c r="D754">
        <v>5.4679355783308887</v>
      </c>
      <c r="E754">
        <f t="shared" si="55"/>
        <v>-4.7415909056817545E-4</v>
      </c>
      <c r="F754">
        <f t="shared" si="56"/>
        <v>2.1867611026203226E-4</v>
      </c>
      <c r="G754">
        <f t="shared" si="57"/>
        <v>1.0281271369745727E-3</v>
      </c>
      <c r="H754">
        <v>177.90128843338192</v>
      </c>
      <c r="I754">
        <v>162.98770131771641</v>
      </c>
      <c r="J754">
        <v>242.63557833089328</v>
      </c>
      <c r="K754">
        <f t="shared" si="58"/>
        <v>5.3377345524404198</v>
      </c>
      <c r="L754">
        <f t="shared" si="59"/>
        <v>5.4931249696082753</v>
      </c>
    </row>
    <row r="755" spans="1:12" x14ac:dyDescent="0.3">
      <c r="A755">
        <v>5</v>
      </c>
      <c r="B755">
        <v>5.0999999999999996</v>
      </c>
      <c r="C755">
        <v>5.3147877013177176</v>
      </c>
      <c r="D755">
        <v>5.4679355783308887</v>
      </c>
      <c r="E755">
        <f t="shared" si="55"/>
        <v>0.1158215949357856</v>
      </c>
      <c r="F755">
        <f t="shared" si="56"/>
        <v>9.9091296900892592E-2</v>
      </c>
      <c r="G755">
        <f t="shared" si="57"/>
        <v>0.13537658980168582</v>
      </c>
      <c r="H755">
        <v>177.90128843338192</v>
      </c>
      <c r="I755">
        <v>162.98770131771641</v>
      </c>
      <c r="J755">
        <v>242.63557833089328</v>
      </c>
      <c r="K755">
        <f t="shared" si="58"/>
        <v>4.9825110956622076</v>
      </c>
      <c r="L755">
        <f t="shared" si="59"/>
        <v>5.1031863833294464</v>
      </c>
    </row>
    <row r="756" spans="1:12" x14ac:dyDescent="0.3">
      <c r="A756">
        <v>4.9000000000000004</v>
      </c>
      <c r="B756">
        <v>5.3</v>
      </c>
      <c r="C756">
        <v>5.3147877013177176</v>
      </c>
      <c r="D756">
        <v>5.4679355783308887</v>
      </c>
      <c r="E756">
        <f t="shared" si="55"/>
        <v>6.9657612505330854E-2</v>
      </c>
      <c r="F756">
        <f t="shared" si="56"/>
        <v>0.17204883716443581</v>
      </c>
      <c r="G756">
        <f t="shared" si="57"/>
        <v>2.8202358469330124E-2</v>
      </c>
      <c r="H756">
        <v>177.90128843338192</v>
      </c>
      <c r="I756">
        <v>162.98770131771641</v>
      </c>
      <c r="J756">
        <v>242.63557833089328</v>
      </c>
      <c r="K756">
        <f t="shared" si="58"/>
        <v>5.1245357834682226</v>
      </c>
      <c r="L756">
        <f t="shared" si="59"/>
        <v>5.259090800459048</v>
      </c>
    </row>
    <row r="757" spans="1:12" x14ac:dyDescent="0.3">
      <c r="A757">
        <v>5.2</v>
      </c>
      <c r="B757">
        <v>5.4</v>
      </c>
      <c r="C757">
        <v>5.3147877013177176</v>
      </c>
      <c r="D757">
        <v>5.4679355783308887</v>
      </c>
      <c r="E757">
        <f t="shared" si="55"/>
        <v>7.7981688742924105E-3</v>
      </c>
      <c r="F757">
        <f t="shared" si="56"/>
        <v>1.3176216373805507E-2</v>
      </c>
      <c r="G757">
        <f t="shared" si="57"/>
        <v>4.615242803152269E-3</v>
      </c>
      <c r="H757">
        <v>177.90128843338192</v>
      </c>
      <c r="I757">
        <v>162.98770131771641</v>
      </c>
      <c r="J757">
        <v>242.63557833089328</v>
      </c>
      <c r="K757">
        <f t="shared" si="58"/>
        <v>5.2453699841875583</v>
      </c>
      <c r="L757">
        <f t="shared" si="59"/>
        <v>5.391733835437587</v>
      </c>
    </row>
    <row r="758" spans="1:12" x14ac:dyDescent="0.3">
      <c r="A758">
        <v>5.0999999999999996</v>
      </c>
      <c r="B758">
        <v>5.4</v>
      </c>
      <c r="C758">
        <v>5.3147877013177176</v>
      </c>
      <c r="D758">
        <v>5.4679355783308887</v>
      </c>
      <c r="E758">
        <f t="shared" si="55"/>
        <v>1.4591726707381283E-2</v>
      </c>
      <c r="F758">
        <f t="shared" si="56"/>
        <v>4.613375663734922E-2</v>
      </c>
      <c r="G758">
        <f t="shared" si="57"/>
        <v>4.615242803152269E-3</v>
      </c>
      <c r="H758">
        <v>177.90128843338192</v>
      </c>
      <c r="I758">
        <v>162.98770131771641</v>
      </c>
      <c r="J758">
        <v>242.63557833089328</v>
      </c>
      <c r="K758">
        <f t="shared" si="58"/>
        <v>5.2311351679543217</v>
      </c>
      <c r="L758">
        <f t="shared" si="59"/>
        <v>5.3761078850336625</v>
      </c>
    </row>
    <row r="759" spans="1:12" x14ac:dyDescent="0.3">
      <c r="A759">
        <v>6.1</v>
      </c>
      <c r="B759">
        <v>7.4</v>
      </c>
      <c r="C759">
        <v>5.3147877013177176</v>
      </c>
      <c r="D759">
        <v>5.4679355783308887</v>
      </c>
      <c r="E759">
        <f t="shared" si="55"/>
        <v>1.5170807457410569</v>
      </c>
      <c r="F759">
        <f t="shared" si="56"/>
        <v>0.61655835400191328</v>
      </c>
      <c r="G759">
        <f t="shared" si="57"/>
        <v>3.7328729294795986</v>
      </c>
      <c r="H759">
        <v>177.90128843338192</v>
      </c>
      <c r="I759">
        <v>162.98770131771641</v>
      </c>
      <c r="J759">
        <v>242.63557833089328</v>
      </c>
      <c r="K759">
        <f t="shared" si="58"/>
        <v>6.936078370679204</v>
      </c>
      <c r="L759">
        <f t="shared" si="59"/>
        <v>7.2476710644081832</v>
      </c>
    </row>
    <row r="760" spans="1:12" x14ac:dyDescent="0.3">
      <c r="A760">
        <v>5.8</v>
      </c>
      <c r="B760">
        <v>6</v>
      </c>
      <c r="C760">
        <v>5.3147877013177176</v>
      </c>
      <c r="D760">
        <v>5.4679355783308887</v>
      </c>
      <c r="E760">
        <f t="shared" si="55"/>
        <v>0.25816420108512855</v>
      </c>
      <c r="F760">
        <f t="shared" si="56"/>
        <v>0.23543097479254424</v>
      </c>
      <c r="G760">
        <f t="shared" si="57"/>
        <v>0.28309254880608586</v>
      </c>
      <c r="H760">
        <v>177.90128843338192</v>
      </c>
      <c r="I760">
        <v>162.98770131771641</v>
      </c>
      <c r="J760">
        <v>242.63557833089328</v>
      </c>
      <c r="K760">
        <f t="shared" si="58"/>
        <v>5.799557393704732</v>
      </c>
      <c r="L760">
        <f t="shared" si="59"/>
        <v>6.000080640461718</v>
      </c>
    </row>
    <row r="761" spans="1:12" x14ac:dyDescent="0.3">
      <c r="A761">
        <v>5.6</v>
      </c>
      <c r="B761">
        <v>5.8</v>
      </c>
      <c r="C761">
        <v>5.3147877013177176</v>
      </c>
      <c r="D761">
        <v>5.4679355783308887</v>
      </c>
      <c r="E761">
        <f t="shared" si="55"/>
        <v>9.4708857014849768E-2</v>
      </c>
      <c r="F761">
        <f t="shared" si="56"/>
        <v>8.1346055319631266E-2</v>
      </c>
      <c r="G761">
        <f t="shared" si="57"/>
        <v>0.11026678013844123</v>
      </c>
      <c r="H761">
        <v>177.90128843338192</v>
      </c>
      <c r="I761">
        <v>162.98770131771641</v>
      </c>
      <c r="J761">
        <v>242.63557833089328</v>
      </c>
      <c r="K761">
        <f t="shared" si="58"/>
        <v>5.6148282571990071</v>
      </c>
      <c r="L761">
        <f t="shared" si="59"/>
        <v>5.7972983721203413</v>
      </c>
    </row>
    <row r="762" spans="1:12" x14ac:dyDescent="0.3">
      <c r="A762">
        <v>4.9000000000000004</v>
      </c>
      <c r="B762">
        <v>5.3</v>
      </c>
      <c r="C762">
        <v>5.3147877013177176</v>
      </c>
      <c r="D762">
        <v>5.4679355783308887</v>
      </c>
      <c r="E762">
        <f t="shared" si="55"/>
        <v>6.9657612505330854E-2</v>
      </c>
      <c r="F762">
        <f t="shared" si="56"/>
        <v>0.17204883716443581</v>
      </c>
      <c r="G762">
        <f t="shared" si="57"/>
        <v>2.8202358469330124E-2</v>
      </c>
      <c r="H762">
        <v>177.90128843338192</v>
      </c>
      <c r="I762">
        <v>162.98770131771641</v>
      </c>
      <c r="J762">
        <v>242.63557833089328</v>
      </c>
      <c r="K762">
        <f t="shared" si="58"/>
        <v>5.1245357834682226</v>
      </c>
      <c r="L762">
        <f t="shared" si="59"/>
        <v>5.259090800459048</v>
      </c>
    </row>
    <row r="763" spans="1:12" x14ac:dyDescent="0.3">
      <c r="A763">
        <v>5.5</v>
      </c>
      <c r="B763">
        <v>5.5</v>
      </c>
      <c r="C763">
        <v>5.3147877013177176</v>
      </c>
      <c r="D763">
        <v>5.4679355783308887</v>
      </c>
      <c r="E763">
        <f t="shared" si="55"/>
        <v>5.9387252432540859E-3</v>
      </c>
      <c r="F763">
        <f t="shared" si="56"/>
        <v>3.4303595583174987E-2</v>
      </c>
      <c r="G763">
        <f t="shared" si="57"/>
        <v>1.0281271369745727E-3</v>
      </c>
      <c r="H763">
        <v>177.90128843338192</v>
      </c>
      <c r="I763">
        <v>162.98770131771641</v>
      </c>
      <c r="J763">
        <v>242.63557833089328</v>
      </c>
      <c r="K763">
        <f t="shared" si="58"/>
        <v>5.366204184906894</v>
      </c>
      <c r="L763">
        <f t="shared" si="59"/>
        <v>5.5243768704161269</v>
      </c>
    </row>
    <row r="764" spans="1:12" x14ac:dyDescent="0.3">
      <c r="A764">
        <v>6.1</v>
      </c>
      <c r="B764">
        <v>5.9</v>
      </c>
      <c r="C764">
        <v>5.3147877013177176</v>
      </c>
      <c r="D764">
        <v>5.4679355783308887</v>
      </c>
      <c r="E764">
        <f t="shared" si="55"/>
        <v>0.33926229771763394</v>
      </c>
      <c r="F764">
        <f t="shared" si="56"/>
        <v>0.61655835400191328</v>
      </c>
      <c r="G764">
        <f t="shared" si="57"/>
        <v>0.18667966447226389</v>
      </c>
      <c r="H764">
        <v>177.90128843338192</v>
      </c>
      <c r="I764">
        <v>162.98770131771641</v>
      </c>
      <c r="J764">
        <v>242.63557833089328</v>
      </c>
      <c r="K764">
        <f t="shared" si="58"/>
        <v>5.7641320903848161</v>
      </c>
      <c r="L764">
        <f t="shared" si="59"/>
        <v>5.961193307906731</v>
      </c>
    </row>
    <row r="765" spans="1:12" x14ac:dyDescent="0.3">
      <c r="A765">
        <v>5.4</v>
      </c>
      <c r="B765">
        <v>6</v>
      </c>
      <c r="C765">
        <v>5.3147877013177176</v>
      </c>
      <c r="D765">
        <v>5.4679355783308887</v>
      </c>
      <c r="E765">
        <f t="shared" si="55"/>
        <v>4.5338432417484344E-2</v>
      </c>
      <c r="F765">
        <f t="shared" si="56"/>
        <v>7.2611358467185661E-3</v>
      </c>
      <c r="G765">
        <f t="shared" si="57"/>
        <v>0.28309254880608586</v>
      </c>
      <c r="H765">
        <v>177.90128843338192</v>
      </c>
      <c r="I765">
        <v>162.98770131771641</v>
      </c>
      <c r="J765">
        <v>242.63557833089328</v>
      </c>
      <c r="K765">
        <f t="shared" si="58"/>
        <v>5.7426181287717872</v>
      </c>
      <c r="L765">
        <f t="shared" si="59"/>
        <v>5.9375768388460193</v>
      </c>
    </row>
    <row r="766" spans="1:12" x14ac:dyDescent="0.3">
      <c r="A766">
        <v>5</v>
      </c>
      <c r="B766">
        <v>5.4</v>
      </c>
      <c r="C766">
        <v>5.3147877013177176</v>
      </c>
      <c r="D766">
        <v>5.4679355783308887</v>
      </c>
      <c r="E766">
        <f t="shared" si="55"/>
        <v>2.1385284540470097E-2</v>
      </c>
      <c r="F766">
        <f t="shared" si="56"/>
        <v>9.9091296900892592E-2</v>
      </c>
      <c r="G766">
        <f t="shared" si="57"/>
        <v>4.615242803152269E-3</v>
      </c>
      <c r="H766">
        <v>177.90128843338192</v>
      </c>
      <c r="I766">
        <v>162.98770131771641</v>
      </c>
      <c r="J766">
        <v>242.63557833089328</v>
      </c>
      <c r="K766">
        <f t="shared" si="58"/>
        <v>5.2169003517210859</v>
      </c>
      <c r="L766">
        <f t="shared" si="59"/>
        <v>5.3604819346297381</v>
      </c>
    </row>
    <row r="767" spans="1:12" x14ac:dyDescent="0.3">
      <c r="A767">
        <v>5.9</v>
      </c>
      <c r="B767">
        <v>6.7</v>
      </c>
      <c r="C767">
        <v>5.3147877013177176</v>
      </c>
      <c r="D767">
        <v>5.4679355783308887</v>
      </c>
      <c r="E767">
        <f t="shared" si="55"/>
        <v>0.72101925232963804</v>
      </c>
      <c r="F767">
        <f t="shared" si="56"/>
        <v>0.34247343452900131</v>
      </c>
      <c r="G767">
        <f t="shared" si="57"/>
        <v>1.517982739142842</v>
      </c>
      <c r="H767">
        <v>177.90128843338192</v>
      </c>
      <c r="I767">
        <v>162.98770131771641</v>
      </c>
      <c r="J767">
        <v>242.63557833089328</v>
      </c>
      <c r="K767">
        <f t="shared" si="58"/>
        <v>6.3607004740753492</v>
      </c>
      <c r="L767">
        <f t="shared" si="59"/>
        <v>6.6160628772329879</v>
      </c>
    </row>
    <row r="768" spans="1:12" x14ac:dyDescent="0.3">
      <c r="A768">
        <v>5.3</v>
      </c>
      <c r="B768">
        <v>5.3</v>
      </c>
      <c r="C768">
        <v>5.3147877013177176</v>
      </c>
      <c r="D768">
        <v>5.4679355783308887</v>
      </c>
      <c r="E768">
        <f t="shared" si="55"/>
        <v>2.4833811729753838E-3</v>
      </c>
      <c r="F768">
        <f t="shared" si="56"/>
        <v>2.1867611026203226E-4</v>
      </c>
      <c r="G768">
        <f t="shared" si="57"/>
        <v>2.8202358469330124E-2</v>
      </c>
      <c r="H768">
        <v>177.90128843338192</v>
      </c>
      <c r="I768">
        <v>162.98770131771641</v>
      </c>
      <c r="J768">
        <v>242.63557833089328</v>
      </c>
      <c r="K768">
        <f t="shared" si="58"/>
        <v>5.1814750484011682</v>
      </c>
      <c r="L768">
        <f t="shared" si="59"/>
        <v>5.3215946020747484</v>
      </c>
    </row>
    <row r="769" spans="1:12" x14ac:dyDescent="0.3">
      <c r="A769">
        <v>5.6</v>
      </c>
      <c r="B769">
        <v>6.5</v>
      </c>
      <c r="C769">
        <v>5.3147877013177176</v>
      </c>
      <c r="D769">
        <v>5.4679355783308887</v>
      </c>
      <c r="E769">
        <f t="shared" si="55"/>
        <v>0.29435746609244723</v>
      </c>
      <c r="F769">
        <f t="shared" si="56"/>
        <v>8.1346055319631266E-2</v>
      </c>
      <c r="G769">
        <f t="shared" si="57"/>
        <v>1.0651569704751971</v>
      </c>
      <c r="H769">
        <v>177.90128843338192</v>
      </c>
      <c r="I769">
        <v>162.98770131771641</v>
      </c>
      <c r="J769">
        <v>242.63557833089328</v>
      </c>
      <c r="K769">
        <f t="shared" si="58"/>
        <v>6.1617365213363868</v>
      </c>
      <c r="L769">
        <f t="shared" si="59"/>
        <v>6.3976546584876841</v>
      </c>
    </row>
    <row r="770" spans="1:12" x14ac:dyDescent="0.3">
      <c r="A770">
        <v>4.9000000000000004</v>
      </c>
      <c r="B770">
        <v>5.3</v>
      </c>
      <c r="C770">
        <v>5.3147877013177176</v>
      </c>
      <c r="D770">
        <v>5.4679355783308887</v>
      </c>
      <c r="E770">
        <f t="shared" si="55"/>
        <v>6.9657612505330854E-2</v>
      </c>
      <c r="F770">
        <f t="shared" si="56"/>
        <v>0.17204883716443581</v>
      </c>
      <c r="G770">
        <f t="shared" si="57"/>
        <v>2.8202358469330124E-2</v>
      </c>
      <c r="H770">
        <v>177.90128843338192</v>
      </c>
      <c r="I770">
        <v>162.98770131771641</v>
      </c>
      <c r="J770">
        <v>242.63557833089328</v>
      </c>
      <c r="K770">
        <f t="shared" si="58"/>
        <v>5.1245357834682226</v>
      </c>
      <c r="L770">
        <f t="shared" si="59"/>
        <v>5.259090800459048</v>
      </c>
    </row>
    <row r="771" spans="1:12" x14ac:dyDescent="0.3">
      <c r="A771">
        <v>5.4</v>
      </c>
      <c r="B771">
        <v>5.4</v>
      </c>
      <c r="C771">
        <v>5.3147877013177176</v>
      </c>
      <c r="D771">
        <v>5.4679355783308887</v>
      </c>
      <c r="E771">
        <f t="shared" ref="E771:E834" si="60">(A771-C771)*(B771-D771)</f>
        <v>-5.7889467918852758E-3</v>
      </c>
      <c r="F771">
        <f t="shared" ref="F771:F834" si="61">(A771-C771)^2</f>
        <v>7.2611358467185661E-3</v>
      </c>
      <c r="G771">
        <f t="shared" ref="G771:G834" si="62">(B771-D771)^2</f>
        <v>4.615242803152269E-3</v>
      </c>
      <c r="H771">
        <v>177.90128843338192</v>
      </c>
      <c r="I771">
        <v>162.98770131771641</v>
      </c>
      <c r="J771">
        <v>242.63557833089328</v>
      </c>
      <c r="K771">
        <f t="shared" ref="K771:K834" si="63">(1.097727582*(B771+0.366253474)+0.2*A771)/(0.2+1.097727582^2)</f>
        <v>5.2738396166540316</v>
      </c>
      <c r="L771">
        <f t="shared" ref="L771:L834" si="64">1.097727582*K771-0.366253474</f>
        <v>5.4229857362454377</v>
      </c>
    </row>
    <row r="772" spans="1:12" x14ac:dyDescent="0.3">
      <c r="A772">
        <v>4.9000000000000004</v>
      </c>
      <c r="B772">
        <v>5.0999999999999996</v>
      </c>
      <c r="C772">
        <v>5.3147877013177176</v>
      </c>
      <c r="D772">
        <v>5.4679355783308887</v>
      </c>
      <c r="E772">
        <f t="shared" si="60"/>
        <v>0.15261515276887438</v>
      </c>
      <c r="F772">
        <f t="shared" si="61"/>
        <v>0.17204883716443581</v>
      </c>
      <c r="G772">
        <f t="shared" si="62"/>
        <v>0.13537658980168582</v>
      </c>
      <c r="H772">
        <v>177.90128843338192</v>
      </c>
      <c r="I772">
        <v>162.98770131771641</v>
      </c>
      <c r="J772">
        <v>242.63557833089328</v>
      </c>
      <c r="K772">
        <f t="shared" si="63"/>
        <v>4.968276279428971</v>
      </c>
      <c r="L772">
        <f t="shared" si="64"/>
        <v>5.0875604329255211</v>
      </c>
    </row>
    <row r="773" spans="1:12" x14ac:dyDescent="0.3">
      <c r="A773">
        <v>4.7</v>
      </c>
      <c r="B773">
        <v>5.2</v>
      </c>
      <c r="C773">
        <v>5.3147877013177176</v>
      </c>
      <c r="D773">
        <v>5.4679355783308887</v>
      </c>
      <c r="E773">
        <f t="shared" si="60"/>
        <v>0.1647234983032802</v>
      </c>
      <c r="F773">
        <f t="shared" si="61"/>
        <v>0.37796391769152293</v>
      </c>
      <c r="G773">
        <f t="shared" si="62"/>
        <v>7.1789474135507708E-2</v>
      </c>
      <c r="H773">
        <v>177.90128843338192</v>
      </c>
      <c r="I773">
        <v>162.98770131771641</v>
      </c>
      <c r="J773">
        <v>242.63557833089328</v>
      </c>
      <c r="K773">
        <f t="shared" si="63"/>
        <v>5.0179363989821244</v>
      </c>
      <c r="L773">
        <f t="shared" si="64"/>
        <v>5.1420737158844352</v>
      </c>
    </row>
    <row r="774" spans="1:12" x14ac:dyDescent="0.3">
      <c r="A774">
        <v>5.4</v>
      </c>
      <c r="B774">
        <v>5.2</v>
      </c>
      <c r="C774">
        <v>5.3147877013177176</v>
      </c>
      <c r="D774">
        <v>5.4679355783308887</v>
      </c>
      <c r="E774">
        <f t="shared" si="60"/>
        <v>-2.2831406528341841E-2</v>
      </c>
      <c r="F774">
        <f t="shared" si="61"/>
        <v>7.2611358467185661E-3</v>
      </c>
      <c r="G774">
        <f t="shared" si="62"/>
        <v>7.1789474135507708E-2</v>
      </c>
      <c r="H774">
        <v>177.90128843338192</v>
      </c>
      <c r="I774">
        <v>162.98770131771641</v>
      </c>
      <c r="J774">
        <v>242.63557833089328</v>
      </c>
      <c r="K774">
        <f t="shared" si="63"/>
        <v>5.11758011261478</v>
      </c>
      <c r="L774">
        <f t="shared" si="64"/>
        <v>5.2514553687119108</v>
      </c>
    </row>
    <row r="775" spans="1:12" x14ac:dyDescent="0.3">
      <c r="A775">
        <v>5.5</v>
      </c>
      <c r="B775">
        <v>5.6</v>
      </c>
      <c r="C775">
        <v>5.3147877013177176</v>
      </c>
      <c r="D775">
        <v>5.4679355783308887</v>
      </c>
      <c r="E775">
        <f t="shared" si="60"/>
        <v>2.4459955111482259E-2</v>
      </c>
      <c r="F775">
        <f t="shared" si="61"/>
        <v>3.4303595583174987E-2</v>
      </c>
      <c r="G775">
        <f t="shared" si="62"/>
        <v>1.7441011470796734E-2</v>
      </c>
      <c r="H775">
        <v>177.90128843338192</v>
      </c>
      <c r="I775">
        <v>162.98770131771641</v>
      </c>
      <c r="J775">
        <v>242.63557833089328</v>
      </c>
      <c r="K775">
        <f t="shared" si="63"/>
        <v>5.4443339369265189</v>
      </c>
      <c r="L775">
        <f t="shared" si="64"/>
        <v>5.610142054182889</v>
      </c>
    </row>
    <row r="776" spans="1:12" x14ac:dyDescent="0.3">
      <c r="A776">
        <v>5.5</v>
      </c>
      <c r="B776">
        <v>5.3</v>
      </c>
      <c r="C776">
        <v>5.3147877013177176</v>
      </c>
      <c r="D776">
        <v>5.4679355783308887</v>
      </c>
      <c r="E776">
        <f t="shared" si="60"/>
        <v>-3.1103734493202428E-2</v>
      </c>
      <c r="F776">
        <f t="shared" si="61"/>
        <v>3.4303595583174987E-2</v>
      </c>
      <c r="G776">
        <f t="shared" si="62"/>
        <v>2.8202358469330124E-2</v>
      </c>
      <c r="H776">
        <v>177.90128843338192</v>
      </c>
      <c r="I776">
        <v>162.98770131771641</v>
      </c>
      <c r="J776">
        <v>242.63557833089328</v>
      </c>
      <c r="K776">
        <f t="shared" si="63"/>
        <v>5.2099446808676424</v>
      </c>
      <c r="L776">
        <f t="shared" si="64"/>
        <v>5.3528465028826</v>
      </c>
    </row>
    <row r="777" spans="1:12" x14ac:dyDescent="0.3">
      <c r="A777">
        <v>5.3</v>
      </c>
      <c r="B777">
        <v>5.2</v>
      </c>
      <c r="C777">
        <v>5.3147877013177176</v>
      </c>
      <c r="D777">
        <v>5.4679355783308887</v>
      </c>
      <c r="E777">
        <f t="shared" si="60"/>
        <v>3.9621513047471569E-3</v>
      </c>
      <c r="F777">
        <f t="shared" si="61"/>
        <v>2.1867611026203226E-4</v>
      </c>
      <c r="G777">
        <f t="shared" si="62"/>
        <v>7.1789474135507708E-2</v>
      </c>
      <c r="H777">
        <v>177.90128843338192</v>
      </c>
      <c r="I777">
        <v>162.98770131771641</v>
      </c>
      <c r="J777">
        <v>242.63557833089328</v>
      </c>
      <c r="K777">
        <f t="shared" si="63"/>
        <v>5.1033452963815442</v>
      </c>
      <c r="L777">
        <f t="shared" si="64"/>
        <v>5.2358294183079863</v>
      </c>
    </row>
    <row r="778" spans="1:12" x14ac:dyDescent="0.3">
      <c r="A778">
        <v>5.4</v>
      </c>
      <c r="B778">
        <v>5.5</v>
      </c>
      <c r="C778">
        <v>5.3147877013177176</v>
      </c>
      <c r="D778">
        <v>5.4679355783308887</v>
      </c>
      <c r="E778">
        <f t="shared" si="60"/>
        <v>2.7322830763429691E-3</v>
      </c>
      <c r="F778">
        <f t="shared" si="61"/>
        <v>7.2611358467185661E-3</v>
      </c>
      <c r="G778">
        <f t="shared" si="62"/>
        <v>1.0281271369745727E-3</v>
      </c>
      <c r="H778">
        <v>177.90128843338192</v>
      </c>
      <c r="I778">
        <v>162.98770131771641</v>
      </c>
      <c r="J778">
        <v>242.63557833089328</v>
      </c>
      <c r="K778">
        <f t="shared" si="63"/>
        <v>5.3519693686736574</v>
      </c>
      <c r="L778">
        <f t="shared" si="64"/>
        <v>5.5087509200122016</v>
      </c>
    </row>
    <row r="779" spans="1:12" x14ac:dyDescent="0.3">
      <c r="A779">
        <v>5.0999999999999996</v>
      </c>
      <c r="B779">
        <v>5</v>
      </c>
      <c r="C779">
        <v>5.3147877013177176</v>
      </c>
      <c r="D779">
        <v>5.4679355783308887</v>
      </c>
      <c r="E779">
        <f t="shared" si="60"/>
        <v>0.10050680723446855</v>
      </c>
      <c r="F779">
        <f t="shared" si="61"/>
        <v>4.613375663734922E-2</v>
      </c>
      <c r="G779">
        <f t="shared" si="62"/>
        <v>0.21896370546786328</v>
      </c>
      <c r="H779">
        <v>177.90128843338192</v>
      </c>
      <c r="I779">
        <v>162.98770131771641</v>
      </c>
      <c r="J779">
        <v>242.63557833089328</v>
      </c>
      <c r="K779">
        <f t="shared" si="63"/>
        <v>4.9186161598758185</v>
      </c>
      <c r="L779">
        <f t="shared" si="64"/>
        <v>5.0330471499666087</v>
      </c>
    </row>
    <row r="780" spans="1:12" x14ac:dyDescent="0.3">
      <c r="A780">
        <v>5.0999999999999996</v>
      </c>
      <c r="B780">
        <v>5</v>
      </c>
      <c r="C780">
        <v>5.3147877013177176</v>
      </c>
      <c r="D780">
        <v>5.4679355783308887</v>
      </c>
      <c r="E780">
        <f t="shared" si="60"/>
        <v>0.10050680723446855</v>
      </c>
      <c r="F780">
        <f t="shared" si="61"/>
        <v>4.613375663734922E-2</v>
      </c>
      <c r="G780">
        <f t="shared" si="62"/>
        <v>0.21896370546786328</v>
      </c>
      <c r="H780">
        <v>177.90128843338192</v>
      </c>
      <c r="I780">
        <v>162.98770131771641</v>
      </c>
      <c r="J780">
        <v>242.63557833089328</v>
      </c>
      <c r="K780">
        <f t="shared" si="63"/>
        <v>4.9186161598758185</v>
      </c>
      <c r="L780">
        <f t="shared" si="64"/>
        <v>5.0330471499666087</v>
      </c>
    </row>
    <row r="781" spans="1:12" x14ac:dyDescent="0.3">
      <c r="A781">
        <v>5.3</v>
      </c>
      <c r="B781">
        <v>5.5</v>
      </c>
      <c r="C781">
        <v>5.3147877013177176</v>
      </c>
      <c r="D781">
        <v>5.4679355783308887</v>
      </c>
      <c r="E781">
        <f t="shared" si="60"/>
        <v>-4.7415909056817545E-4</v>
      </c>
      <c r="F781">
        <f t="shared" si="61"/>
        <v>2.1867611026203226E-4</v>
      </c>
      <c r="G781">
        <f t="shared" si="62"/>
        <v>1.0281271369745727E-3</v>
      </c>
      <c r="H781">
        <v>177.90128843338192</v>
      </c>
      <c r="I781">
        <v>162.98770131771641</v>
      </c>
      <c r="J781">
        <v>242.63557833089328</v>
      </c>
      <c r="K781">
        <f t="shared" si="63"/>
        <v>5.3377345524404198</v>
      </c>
      <c r="L781">
        <f t="shared" si="64"/>
        <v>5.4931249696082753</v>
      </c>
    </row>
    <row r="782" spans="1:12" x14ac:dyDescent="0.3">
      <c r="A782">
        <v>4.9000000000000004</v>
      </c>
      <c r="B782">
        <v>5</v>
      </c>
      <c r="C782">
        <v>5.3147877013177176</v>
      </c>
      <c r="D782">
        <v>5.4679355783308887</v>
      </c>
      <c r="E782">
        <f t="shared" si="60"/>
        <v>0.19409392290064595</v>
      </c>
      <c r="F782">
        <f t="shared" si="61"/>
        <v>0.17204883716443581</v>
      </c>
      <c r="G782">
        <f t="shared" si="62"/>
        <v>0.21896370546786328</v>
      </c>
      <c r="H782">
        <v>177.90128843338192</v>
      </c>
      <c r="I782">
        <v>162.98770131771641</v>
      </c>
      <c r="J782">
        <v>242.63557833089328</v>
      </c>
      <c r="K782">
        <f t="shared" si="63"/>
        <v>4.8901465274093461</v>
      </c>
      <c r="L782">
        <f t="shared" si="64"/>
        <v>5.0017952491587589</v>
      </c>
    </row>
    <row r="783" spans="1:12" x14ac:dyDescent="0.3">
      <c r="A783">
        <v>5</v>
      </c>
      <c r="B783">
        <v>5.3</v>
      </c>
      <c r="C783">
        <v>5.3147877013177176</v>
      </c>
      <c r="D783">
        <v>5.4679355783308887</v>
      </c>
      <c r="E783">
        <f t="shared" si="60"/>
        <v>5.2864054672242027E-2</v>
      </c>
      <c r="F783">
        <f t="shared" si="61"/>
        <v>9.9091296900892592E-2</v>
      </c>
      <c r="G783">
        <f t="shared" si="62"/>
        <v>2.8202358469330124E-2</v>
      </c>
      <c r="H783">
        <v>177.90128843338192</v>
      </c>
      <c r="I783">
        <v>162.98770131771641</v>
      </c>
      <c r="J783">
        <v>242.63557833089328</v>
      </c>
      <c r="K783">
        <f t="shared" si="63"/>
        <v>5.1387705997014592</v>
      </c>
      <c r="L783">
        <f t="shared" si="64"/>
        <v>5.2747167508629733</v>
      </c>
    </row>
    <row r="784" spans="1:12" x14ac:dyDescent="0.3">
      <c r="A784">
        <v>5</v>
      </c>
      <c r="B784">
        <v>5.2</v>
      </c>
      <c r="C784">
        <v>5.3147877013177176</v>
      </c>
      <c r="D784">
        <v>5.4679355783308887</v>
      </c>
      <c r="E784">
        <f t="shared" si="60"/>
        <v>8.4342824804013672E-2</v>
      </c>
      <c r="F784">
        <f t="shared" si="61"/>
        <v>9.9091296900892592E-2</v>
      </c>
      <c r="G784">
        <f t="shared" si="62"/>
        <v>7.1789474135507708E-2</v>
      </c>
      <c r="H784">
        <v>177.90128843338192</v>
      </c>
      <c r="I784">
        <v>162.98770131771641</v>
      </c>
      <c r="J784">
        <v>242.63557833089328</v>
      </c>
      <c r="K784">
        <f t="shared" si="63"/>
        <v>5.0606408476818334</v>
      </c>
      <c r="L784">
        <f t="shared" si="64"/>
        <v>5.1889515670962103</v>
      </c>
    </row>
    <row r="785" spans="1:12" x14ac:dyDescent="0.3">
      <c r="A785">
        <v>5.2</v>
      </c>
      <c r="B785">
        <v>5.3</v>
      </c>
      <c r="C785">
        <v>5.3147877013177176</v>
      </c>
      <c r="D785">
        <v>5.4679355783308887</v>
      </c>
      <c r="E785">
        <f t="shared" si="60"/>
        <v>1.9276939006064215E-2</v>
      </c>
      <c r="F785">
        <f t="shared" si="61"/>
        <v>1.3176216373805507E-2</v>
      </c>
      <c r="G785">
        <f t="shared" si="62"/>
        <v>2.8202358469330124E-2</v>
      </c>
      <c r="H785">
        <v>177.90128843338192</v>
      </c>
      <c r="I785">
        <v>162.98770131771641</v>
      </c>
      <c r="J785">
        <v>242.63557833089328</v>
      </c>
      <c r="K785">
        <f t="shared" si="63"/>
        <v>5.1672402321679325</v>
      </c>
      <c r="L785">
        <f t="shared" si="64"/>
        <v>5.305968651670824</v>
      </c>
    </row>
    <row r="786" spans="1:12" x14ac:dyDescent="0.3">
      <c r="A786">
        <v>5</v>
      </c>
      <c r="B786">
        <v>5.0999999999999996</v>
      </c>
      <c r="C786">
        <v>5.3147877013177176</v>
      </c>
      <c r="D786">
        <v>5.4679355783308887</v>
      </c>
      <c r="E786">
        <f t="shared" si="60"/>
        <v>0.1158215949357856</v>
      </c>
      <c r="F786">
        <f t="shared" si="61"/>
        <v>9.9091296900892592E-2</v>
      </c>
      <c r="G786">
        <f t="shared" si="62"/>
        <v>0.13537658980168582</v>
      </c>
      <c r="H786">
        <v>177.90128843338192</v>
      </c>
      <c r="I786">
        <v>162.98770131771641</v>
      </c>
      <c r="J786">
        <v>242.63557833089328</v>
      </c>
      <c r="K786">
        <f t="shared" si="63"/>
        <v>4.9825110956622076</v>
      </c>
      <c r="L786">
        <f t="shared" si="64"/>
        <v>5.1031863833294464</v>
      </c>
    </row>
    <row r="787" spans="1:12" x14ac:dyDescent="0.3">
      <c r="A787">
        <v>5.2</v>
      </c>
      <c r="B787">
        <v>5.5</v>
      </c>
      <c r="C787">
        <v>5.3147877013177176</v>
      </c>
      <c r="D787">
        <v>5.4679355783308887</v>
      </c>
      <c r="E787">
        <f t="shared" si="60"/>
        <v>-3.6806012574792917E-3</v>
      </c>
      <c r="F787">
        <f t="shared" si="61"/>
        <v>1.3176216373805507E-2</v>
      </c>
      <c r="G787">
        <f t="shared" si="62"/>
        <v>1.0281271369745727E-3</v>
      </c>
      <c r="H787">
        <v>177.90128843338192</v>
      </c>
      <c r="I787">
        <v>162.98770131771641</v>
      </c>
      <c r="J787">
        <v>242.63557833089328</v>
      </c>
      <c r="K787">
        <f t="shared" si="63"/>
        <v>5.3234997362071841</v>
      </c>
      <c r="L787">
        <f t="shared" si="64"/>
        <v>5.4774990192043509</v>
      </c>
    </row>
    <row r="788" spans="1:12" x14ac:dyDescent="0.3">
      <c r="A788">
        <v>4.9000000000000004</v>
      </c>
      <c r="B788">
        <v>5.0999999999999996</v>
      </c>
      <c r="C788">
        <v>5.3147877013177176</v>
      </c>
      <c r="D788">
        <v>5.4679355783308887</v>
      </c>
      <c r="E788">
        <f t="shared" si="60"/>
        <v>0.15261515276887438</v>
      </c>
      <c r="F788">
        <f t="shared" si="61"/>
        <v>0.17204883716443581</v>
      </c>
      <c r="G788">
        <f t="shared" si="62"/>
        <v>0.13537658980168582</v>
      </c>
      <c r="H788">
        <v>177.90128843338192</v>
      </c>
      <c r="I788">
        <v>162.98770131771641</v>
      </c>
      <c r="J788">
        <v>242.63557833089328</v>
      </c>
      <c r="K788">
        <f t="shared" si="63"/>
        <v>4.968276279428971</v>
      </c>
      <c r="L788">
        <f t="shared" si="64"/>
        <v>5.0875604329255211</v>
      </c>
    </row>
    <row r="789" spans="1:12" x14ac:dyDescent="0.3">
      <c r="A789">
        <v>5.4</v>
      </c>
      <c r="B789">
        <v>5.6</v>
      </c>
      <c r="C789">
        <v>5.3147877013177176</v>
      </c>
      <c r="D789">
        <v>5.4679355783308887</v>
      </c>
      <c r="E789">
        <f t="shared" si="60"/>
        <v>1.1253512944571213E-2</v>
      </c>
      <c r="F789">
        <f t="shared" si="61"/>
        <v>7.2611358467185661E-3</v>
      </c>
      <c r="G789">
        <f t="shared" si="62"/>
        <v>1.7441011470796734E-2</v>
      </c>
      <c r="H789">
        <v>177.90128843338192</v>
      </c>
      <c r="I789">
        <v>162.98770131771641</v>
      </c>
      <c r="J789">
        <v>242.63557833089328</v>
      </c>
      <c r="K789">
        <f t="shared" si="63"/>
        <v>5.4300991206932823</v>
      </c>
      <c r="L789">
        <f t="shared" si="64"/>
        <v>5.5945161037789637</v>
      </c>
    </row>
    <row r="790" spans="1:12" x14ac:dyDescent="0.3">
      <c r="A790">
        <v>5.2</v>
      </c>
      <c r="B790">
        <v>5.5</v>
      </c>
      <c r="C790">
        <v>5.3147877013177176</v>
      </c>
      <c r="D790">
        <v>5.4679355783308887</v>
      </c>
      <c r="E790">
        <f t="shared" si="60"/>
        <v>-3.6806012574792917E-3</v>
      </c>
      <c r="F790">
        <f t="shared" si="61"/>
        <v>1.3176216373805507E-2</v>
      </c>
      <c r="G790">
        <f t="shared" si="62"/>
        <v>1.0281271369745727E-3</v>
      </c>
      <c r="H790">
        <v>177.90128843338192</v>
      </c>
      <c r="I790">
        <v>162.98770131771641</v>
      </c>
      <c r="J790">
        <v>242.63557833089328</v>
      </c>
      <c r="K790">
        <f t="shared" si="63"/>
        <v>5.3234997362071841</v>
      </c>
      <c r="L790">
        <f t="shared" si="64"/>
        <v>5.4774990192043509</v>
      </c>
    </row>
    <row r="791" spans="1:12" x14ac:dyDescent="0.3">
      <c r="A791">
        <v>5</v>
      </c>
      <c r="B791">
        <v>5.0999999999999996</v>
      </c>
      <c r="C791">
        <v>5.3147877013177176</v>
      </c>
      <c r="D791">
        <v>5.4679355783308887</v>
      </c>
      <c r="E791">
        <f t="shared" si="60"/>
        <v>0.1158215949357856</v>
      </c>
      <c r="F791">
        <f t="shared" si="61"/>
        <v>9.9091296900892592E-2</v>
      </c>
      <c r="G791">
        <f t="shared" si="62"/>
        <v>0.13537658980168582</v>
      </c>
      <c r="H791">
        <v>177.90128843338192</v>
      </c>
      <c r="I791">
        <v>162.98770131771641</v>
      </c>
      <c r="J791">
        <v>242.63557833089328</v>
      </c>
      <c r="K791">
        <f t="shared" si="63"/>
        <v>4.9825110956622076</v>
      </c>
      <c r="L791">
        <f t="shared" si="64"/>
        <v>5.1031863833294464</v>
      </c>
    </row>
    <row r="792" spans="1:12" x14ac:dyDescent="0.3">
      <c r="A792">
        <v>5.5</v>
      </c>
      <c r="B792">
        <v>5.5</v>
      </c>
      <c r="C792">
        <v>5.3147877013177176</v>
      </c>
      <c r="D792">
        <v>5.4679355783308887</v>
      </c>
      <c r="E792">
        <f t="shared" si="60"/>
        <v>5.9387252432540859E-3</v>
      </c>
      <c r="F792">
        <f t="shared" si="61"/>
        <v>3.4303595583174987E-2</v>
      </c>
      <c r="G792">
        <f t="shared" si="62"/>
        <v>1.0281271369745727E-3</v>
      </c>
      <c r="H792">
        <v>177.90128843338192</v>
      </c>
      <c r="I792">
        <v>162.98770131771641</v>
      </c>
      <c r="J792">
        <v>242.63557833089328</v>
      </c>
      <c r="K792">
        <f t="shared" si="63"/>
        <v>5.366204184906894</v>
      </c>
      <c r="L792">
        <f t="shared" si="64"/>
        <v>5.5243768704161269</v>
      </c>
    </row>
    <row r="793" spans="1:12" x14ac:dyDescent="0.3">
      <c r="A793">
        <v>4.7</v>
      </c>
      <c r="B793">
        <v>4.9000000000000004</v>
      </c>
      <c r="C793">
        <v>5.3147877013177176</v>
      </c>
      <c r="D793">
        <v>5.4679355783308887</v>
      </c>
      <c r="E793">
        <f t="shared" si="60"/>
        <v>0.34915980869859531</v>
      </c>
      <c r="F793">
        <f t="shared" si="61"/>
        <v>0.37796391769152293</v>
      </c>
      <c r="G793">
        <f t="shared" si="62"/>
        <v>0.32255082113404066</v>
      </c>
      <c r="H793">
        <v>177.90128843338192</v>
      </c>
      <c r="I793">
        <v>162.98770131771641</v>
      </c>
      <c r="J793">
        <v>242.63557833089328</v>
      </c>
      <c r="K793">
        <f t="shared" si="63"/>
        <v>4.783547142923247</v>
      </c>
      <c r="L793">
        <f t="shared" si="64"/>
        <v>4.8847781645841453</v>
      </c>
    </row>
    <row r="794" spans="1:12" x14ac:dyDescent="0.3">
      <c r="A794">
        <v>5.5</v>
      </c>
      <c r="B794">
        <v>5.5</v>
      </c>
      <c r="C794">
        <v>5.3147877013177176</v>
      </c>
      <c r="D794">
        <v>5.4679355783308887</v>
      </c>
      <c r="E794">
        <f t="shared" si="60"/>
        <v>5.9387252432540859E-3</v>
      </c>
      <c r="F794">
        <f t="shared" si="61"/>
        <v>3.4303595583174987E-2</v>
      </c>
      <c r="G794">
        <f t="shared" si="62"/>
        <v>1.0281271369745727E-3</v>
      </c>
      <c r="H794">
        <v>177.90128843338192</v>
      </c>
      <c r="I794">
        <v>162.98770131771641</v>
      </c>
      <c r="J794">
        <v>242.63557833089328</v>
      </c>
      <c r="K794">
        <f t="shared" si="63"/>
        <v>5.366204184906894</v>
      </c>
      <c r="L794">
        <f t="shared" si="64"/>
        <v>5.5243768704161269</v>
      </c>
    </row>
    <row r="795" spans="1:12" x14ac:dyDescent="0.3">
      <c r="A795">
        <v>5.5</v>
      </c>
      <c r="B795">
        <v>5.6</v>
      </c>
      <c r="C795">
        <v>5.3147877013177176</v>
      </c>
      <c r="D795">
        <v>5.4679355783308887</v>
      </c>
      <c r="E795">
        <f t="shared" si="60"/>
        <v>2.4459955111482259E-2</v>
      </c>
      <c r="F795">
        <f t="shared" si="61"/>
        <v>3.4303595583174987E-2</v>
      </c>
      <c r="G795">
        <f t="shared" si="62"/>
        <v>1.7441011470796734E-2</v>
      </c>
      <c r="H795">
        <v>177.90128843338192</v>
      </c>
      <c r="I795">
        <v>162.98770131771641</v>
      </c>
      <c r="J795">
        <v>242.63557833089328</v>
      </c>
      <c r="K795">
        <f t="shared" si="63"/>
        <v>5.4443339369265189</v>
      </c>
      <c r="L795">
        <f t="shared" si="64"/>
        <v>5.610142054182889</v>
      </c>
    </row>
    <row r="796" spans="1:12" x14ac:dyDescent="0.3">
      <c r="A796">
        <v>4.7</v>
      </c>
      <c r="B796">
        <v>4.8</v>
      </c>
      <c r="C796">
        <v>5.3147877013177176</v>
      </c>
      <c r="D796">
        <v>5.4679355783308887</v>
      </c>
      <c r="E796">
        <f t="shared" si="60"/>
        <v>0.41063857883036736</v>
      </c>
      <c r="F796">
        <f t="shared" si="61"/>
        <v>0.37796391769152293</v>
      </c>
      <c r="G796">
        <f t="shared" si="62"/>
        <v>0.44613793680021901</v>
      </c>
      <c r="H796">
        <v>177.90128843338192</v>
      </c>
      <c r="I796">
        <v>162.98770131771641</v>
      </c>
      <c r="J796">
        <v>242.63557833089328</v>
      </c>
      <c r="K796">
        <f t="shared" si="63"/>
        <v>4.7054173909036203</v>
      </c>
      <c r="L796">
        <f t="shared" si="64"/>
        <v>4.7990129808173805</v>
      </c>
    </row>
    <row r="797" spans="1:12" x14ac:dyDescent="0.3">
      <c r="A797">
        <v>5.5</v>
      </c>
      <c r="B797">
        <v>5.8</v>
      </c>
      <c r="C797">
        <v>5.3147877013177176</v>
      </c>
      <c r="D797">
        <v>5.4679355783308887</v>
      </c>
      <c r="E797">
        <f t="shared" si="60"/>
        <v>6.1502414847938773E-2</v>
      </c>
      <c r="F797">
        <f t="shared" si="61"/>
        <v>3.4303595583174987E-2</v>
      </c>
      <c r="G797">
        <f t="shared" si="62"/>
        <v>0.11026678013844123</v>
      </c>
      <c r="H797">
        <v>177.90128843338192</v>
      </c>
      <c r="I797">
        <v>162.98770131771641</v>
      </c>
      <c r="J797">
        <v>242.63557833089328</v>
      </c>
      <c r="K797">
        <f t="shared" si="63"/>
        <v>5.6005934409657705</v>
      </c>
      <c r="L797">
        <f t="shared" si="64"/>
        <v>5.7816724217164159</v>
      </c>
    </row>
    <row r="798" spans="1:12" x14ac:dyDescent="0.3">
      <c r="A798">
        <v>6</v>
      </c>
      <c r="B798">
        <v>5.9</v>
      </c>
      <c r="C798">
        <v>5.3147877013177176</v>
      </c>
      <c r="D798">
        <v>5.4679355783308887</v>
      </c>
      <c r="E798">
        <f t="shared" si="60"/>
        <v>0.29605585555072295</v>
      </c>
      <c r="F798">
        <f t="shared" si="61"/>
        <v>0.46951589426545737</v>
      </c>
      <c r="G798">
        <f t="shared" si="62"/>
        <v>0.18667966447226389</v>
      </c>
      <c r="H798">
        <v>177.90128843338192</v>
      </c>
      <c r="I798">
        <v>162.98770131771641</v>
      </c>
      <c r="J798">
        <v>242.63557833089328</v>
      </c>
      <c r="K798">
        <f t="shared" si="63"/>
        <v>5.7498972741515804</v>
      </c>
      <c r="L798">
        <f t="shared" si="64"/>
        <v>5.9455673575028065</v>
      </c>
    </row>
    <row r="799" spans="1:12" x14ac:dyDescent="0.3">
      <c r="A799">
        <v>5.2</v>
      </c>
      <c r="B799">
        <v>5.2</v>
      </c>
      <c r="C799">
        <v>5.3147877013177176</v>
      </c>
      <c r="D799">
        <v>5.4679355783308887</v>
      </c>
      <c r="E799">
        <f t="shared" si="60"/>
        <v>3.0755709137835915E-2</v>
      </c>
      <c r="F799">
        <f t="shared" si="61"/>
        <v>1.3176216373805507E-2</v>
      </c>
      <c r="G799">
        <f t="shared" si="62"/>
        <v>7.1789474135507708E-2</v>
      </c>
      <c r="H799">
        <v>177.90128843338192</v>
      </c>
      <c r="I799">
        <v>162.98770131771641</v>
      </c>
      <c r="J799">
        <v>242.63557833089328</v>
      </c>
      <c r="K799">
        <f t="shared" si="63"/>
        <v>5.0891104801483067</v>
      </c>
      <c r="L799">
        <f t="shared" si="64"/>
        <v>5.2202034679040601</v>
      </c>
    </row>
    <row r="800" spans="1:12" x14ac:dyDescent="0.3">
      <c r="A800">
        <v>5.6</v>
      </c>
      <c r="B800">
        <v>5.7</v>
      </c>
      <c r="C800">
        <v>5.3147877013177176</v>
      </c>
      <c r="D800">
        <v>5.4679355783308887</v>
      </c>
      <c r="E800">
        <f t="shared" si="60"/>
        <v>6.6187627146621658E-2</v>
      </c>
      <c r="F800">
        <f t="shared" si="61"/>
        <v>8.1346055319631266E-2</v>
      </c>
      <c r="G800">
        <f t="shared" si="62"/>
        <v>5.3853895804619169E-2</v>
      </c>
      <c r="H800">
        <v>177.90128843338192</v>
      </c>
      <c r="I800">
        <v>162.98770131771641</v>
      </c>
      <c r="J800">
        <v>242.63557833089328</v>
      </c>
      <c r="K800">
        <f t="shared" si="63"/>
        <v>5.5366985051793822</v>
      </c>
      <c r="L800">
        <f t="shared" si="64"/>
        <v>5.7115331883535783</v>
      </c>
    </row>
    <row r="801" spans="1:12" x14ac:dyDescent="0.3">
      <c r="A801">
        <v>5.8</v>
      </c>
      <c r="B801">
        <v>5.4</v>
      </c>
      <c r="C801">
        <v>5.3147877013177176</v>
      </c>
      <c r="D801">
        <v>5.4679355783308887</v>
      </c>
      <c r="E801">
        <f t="shared" si="60"/>
        <v>-3.2963178124240586E-2</v>
      </c>
      <c r="F801">
        <f t="shared" si="61"/>
        <v>0.23543097479254424</v>
      </c>
      <c r="G801">
        <f t="shared" si="62"/>
        <v>4.615242803152269E-3</v>
      </c>
      <c r="H801">
        <v>177.90128843338192</v>
      </c>
      <c r="I801">
        <v>162.98770131771641</v>
      </c>
      <c r="J801">
        <v>242.63557833089328</v>
      </c>
      <c r="K801">
        <f t="shared" si="63"/>
        <v>5.3307788815869781</v>
      </c>
      <c r="L801">
        <f t="shared" si="64"/>
        <v>5.485489537861139</v>
      </c>
    </row>
    <row r="802" spans="1:12" x14ac:dyDescent="0.3">
      <c r="A802">
        <v>5.2</v>
      </c>
      <c r="B802">
        <v>5</v>
      </c>
      <c r="C802">
        <v>5.3147877013177176</v>
      </c>
      <c r="D802">
        <v>5.4679355783308887</v>
      </c>
      <c r="E802">
        <f t="shared" si="60"/>
        <v>5.371324940137942E-2</v>
      </c>
      <c r="F802">
        <f t="shared" si="61"/>
        <v>1.3176216373805507E-2</v>
      </c>
      <c r="G802">
        <f t="shared" si="62"/>
        <v>0.21896370546786328</v>
      </c>
      <c r="H802">
        <v>177.90128843338192</v>
      </c>
      <c r="I802">
        <v>162.98770131771641</v>
      </c>
      <c r="J802">
        <v>242.63557833089328</v>
      </c>
      <c r="K802">
        <f t="shared" si="63"/>
        <v>4.9328509761090551</v>
      </c>
      <c r="L802">
        <f t="shared" si="64"/>
        <v>5.0486731003705341</v>
      </c>
    </row>
    <row r="803" spans="1:12" x14ac:dyDescent="0.3">
      <c r="A803">
        <v>5</v>
      </c>
      <c r="B803">
        <v>5.5</v>
      </c>
      <c r="C803">
        <v>5.3147877013177176</v>
      </c>
      <c r="D803">
        <v>5.4679355783308887</v>
      </c>
      <c r="E803">
        <f t="shared" si="60"/>
        <v>-1.0093485591301552E-2</v>
      </c>
      <c r="F803">
        <f t="shared" si="61"/>
        <v>9.9091296900892592E-2</v>
      </c>
      <c r="G803">
        <f t="shared" si="62"/>
        <v>1.0281271369745727E-3</v>
      </c>
      <c r="H803">
        <v>177.90128843338192</v>
      </c>
      <c r="I803">
        <v>162.98770131771641</v>
      </c>
      <c r="J803">
        <v>242.63557833089328</v>
      </c>
      <c r="K803">
        <f t="shared" si="63"/>
        <v>5.2950301037407108</v>
      </c>
      <c r="L803">
        <f t="shared" si="64"/>
        <v>5.4462471183965002</v>
      </c>
    </row>
    <row r="804" spans="1:12" x14ac:dyDescent="0.3">
      <c r="A804">
        <v>5.4</v>
      </c>
      <c r="B804">
        <v>5.3</v>
      </c>
      <c r="C804">
        <v>5.3147877013177176</v>
      </c>
      <c r="D804">
        <v>5.4679355783308887</v>
      </c>
      <c r="E804">
        <f t="shared" si="60"/>
        <v>-1.4310176660113597E-2</v>
      </c>
      <c r="F804">
        <f t="shared" si="61"/>
        <v>7.2611358467185661E-3</v>
      </c>
      <c r="G804">
        <f t="shared" si="62"/>
        <v>2.8202358469330124E-2</v>
      </c>
      <c r="H804">
        <v>177.90128843338192</v>
      </c>
      <c r="I804">
        <v>162.98770131771641</v>
      </c>
      <c r="J804">
        <v>242.63557833089328</v>
      </c>
      <c r="K804">
        <f t="shared" si="63"/>
        <v>5.1957098646344058</v>
      </c>
      <c r="L804">
        <f t="shared" si="64"/>
        <v>5.3372205524786747</v>
      </c>
    </row>
    <row r="805" spans="1:12" x14ac:dyDescent="0.3">
      <c r="A805">
        <v>4.9000000000000004</v>
      </c>
      <c r="B805">
        <v>5.2</v>
      </c>
      <c r="C805">
        <v>5.3147877013177176</v>
      </c>
      <c r="D805">
        <v>5.4679355783308887</v>
      </c>
      <c r="E805">
        <f t="shared" si="60"/>
        <v>0.11113638263710243</v>
      </c>
      <c r="F805">
        <f t="shared" si="61"/>
        <v>0.17204883716443581</v>
      </c>
      <c r="G805">
        <f t="shared" si="62"/>
        <v>7.1789474135507708E-2</v>
      </c>
      <c r="H805">
        <v>177.90128843338192</v>
      </c>
      <c r="I805">
        <v>162.98770131771641</v>
      </c>
      <c r="J805">
        <v>242.63557833089328</v>
      </c>
      <c r="K805">
        <f t="shared" si="63"/>
        <v>5.0464060314485977</v>
      </c>
      <c r="L805">
        <f t="shared" si="64"/>
        <v>5.1733256166922859</v>
      </c>
    </row>
    <row r="806" spans="1:12" x14ac:dyDescent="0.3">
      <c r="A806">
        <v>5.0999999999999996</v>
      </c>
      <c r="B806">
        <v>5.4</v>
      </c>
      <c r="C806">
        <v>5.3147877013177176</v>
      </c>
      <c r="D806">
        <v>5.4679355783308887</v>
      </c>
      <c r="E806">
        <f t="shared" si="60"/>
        <v>1.4591726707381283E-2</v>
      </c>
      <c r="F806">
        <f t="shared" si="61"/>
        <v>4.613375663734922E-2</v>
      </c>
      <c r="G806">
        <f t="shared" si="62"/>
        <v>4.615242803152269E-3</v>
      </c>
      <c r="H806">
        <v>177.90128843338192</v>
      </c>
      <c r="I806">
        <v>162.98770131771641</v>
      </c>
      <c r="J806">
        <v>242.63557833089328</v>
      </c>
      <c r="K806">
        <f t="shared" si="63"/>
        <v>5.2311351679543217</v>
      </c>
      <c r="L806">
        <f t="shared" si="64"/>
        <v>5.3761078850336625</v>
      </c>
    </row>
    <row r="807" spans="1:12" x14ac:dyDescent="0.3">
      <c r="A807">
        <v>4.5</v>
      </c>
      <c r="B807">
        <v>4.9000000000000004</v>
      </c>
      <c r="C807">
        <v>5.3147877013177176</v>
      </c>
      <c r="D807">
        <v>5.4679355783308887</v>
      </c>
      <c r="E807">
        <f t="shared" si="60"/>
        <v>0.4627469243647731</v>
      </c>
      <c r="F807">
        <f t="shared" si="61"/>
        <v>0.66387899821861018</v>
      </c>
      <c r="G807">
        <f t="shared" si="62"/>
        <v>0.32255082113404066</v>
      </c>
      <c r="H807">
        <v>177.90128843338192</v>
      </c>
      <c r="I807">
        <v>162.98770131771641</v>
      </c>
      <c r="J807">
        <v>242.63557833089328</v>
      </c>
      <c r="K807">
        <f t="shared" si="63"/>
        <v>4.7550775104567737</v>
      </c>
      <c r="L807">
        <f t="shared" si="64"/>
        <v>4.8535262637762946</v>
      </c>
    </row>
    <row r="808" spans="1:12" x14ac:dyDescent="0.3">
      <c r="A808">
        <v>5.6</v>
      </c>
      <c r="B808">
        <v>5.8</v>
      </c>
      <c r="C808">
        <v>5.3147877013177176</v>
      </c>
      <c r="D808">
        <v>5.4679355783308887</v>
      </c>
      <c r="E808">
        <f t="shared" si="60"/>
        <v>9.4708857014849768E-2</v>
      </c>
      <c r="F808">
        <f t="shared" si="61"/>
        <v>8.1346055319631266E-2</v>
      </c>
      <c r="G808">
        <f t="shared" si="62"/>
        <v>0.11026678013844123</v>
      </c>
      <c r="H808">
        <v>177.90128843338192</v>
      </c>
      <c r="I808">
        <v>162.98770131771641</v>
      </c>
      <c r="J808">
        <v>242.63557833089328</v>
      </c>
      <c r="K808">
        <f t="shared" si="63"/>
        <v>5.6148282571990071</v>
      </c>
      <c r="L808">
        <f t="shared" si="64"/>
        <v>5.7972983721203413</v>
      </c>
    </row>
    <row r="809" spans="1:12" x14ac:dyDescent="0.3">
      <c r="A809">
        <v>5.6</v>
      </c>
      <c r="B809">
        <v>5.8</v>
      </c>
      <c r="C809">
        <v>5.3147877013177176</v>
      </c>
      <c r="D809">
        <v>5.4679355783308887</v>
      </c>
      <c r="E809">
        <f t="shared" si="60"/>
        <v>9.4708857014849768E-2</v>
      </c>
      <c r="F809">
        <f t="shared" si="61"/>
        <v>8.1346055319631266E-2</v>
      </c>
      <c r="G809">
        <f t="shared" si="62"/>
        <v>0.11026678013844123</v>
      </c>
      <c r="H809">
        <v>177.90128843338192</v>
      </c>
      <c r="I809">
        <v>162.98770131771641</v>
      </c>
      <c r="J809">
        <v>242.63557833089328</v>
      </c>
      <c r="K809">
        <f t="shared" si="63"/>
        <v>5.6148282571990071</v>
      </c>
      <c r="L809">
        <f t="shared" si="64"/>
        <v>5.7972983721203413</v>
      </c>
    </row>
    <row r="810" spans="1:12" x14ac:dyDescent="0.3">
      <c r="A810">
        <v>4.9000000000000004</v>
      </c>
      <c r="B810">
        <v>5.3</v>
      </c>
      <c r="C810">
        <v>5.3147877013177176</v>
      </c>
      <c r="D810">
        <v>5.4679355783308887</v>
      </c>
      <c r="E810">
        <f t="shared" si="60"/>
        <v>6.9657612505330854E-2</v>
      </c>
      <c r="F810">
        <f t="shared" si="61"/>
        <v>0.17204883716443581</v>
      </c>
      <c r="G810">
        <f t="shared" si="62"/>
        <v>2.8202358469330124E-2</v>
      </c>
      <c r="H810">
        <v>177.90128843338192</v>
      </c>
      <c r="I810">
        <v>162.98770131771641</v>
      </c>
      <c r="J810">
        <v>242.63557833089328</v>
      </c>
      <c r="K810">
        <f t="shared" si="63"/>
        <v>5.1245357834682226</v>
      </c>
      <c r="L810">
        <f t="shared" si="64"/>
        <v>5.259090800459048</v>
      </c>
    </row>
    <row r="811" spans="1:12" x14ac:dyDescent="0.3">
      <c r="A811">
        <v>6</v>
      </c>
      <c r="B811">
        <v>6.4</v>
      </c>
      <c r="C811">
        <v>5.3147877013177176</v>
      </c>
      <c r="D811">
        <v>5.4679355783308887</v>
      </c>
      <c r="E811">
        <f t="shared" si="60"/>
        <v>0.63866200489186409</v>
      </c>
      <c r="F811">
        <f t="shared" si="61"/>
        <v>0.46951589426545737</v>
      </c>
      <c r="G811">
        <f t="shared" si="62"/>
        <v>0.86874408614137555</v>
      </c>
      <c r="H811">
        <v>177.90128843338192</v>
      </c>
      <c r="I811">
        <v>162.98770131771641</v>
      </c>
      <c r="J811">
        <v>242.63557833089328</v>
      </c>
      <c r="K811">
        <f t="shared" si="63"/>
        <v>6.1405460342497094</v>
      </c>
      <c r="L811">
        <f t="shared" si="64"/>
        <v>6.3743932763366233</v>
      </c>
    </row>
    <row r="812" spans="1:12" x14ac:dyDescent="0.3">
      <c r="A812">
        <v>5.0999999999999996</v>
      </c>
      <c r="B812">
        <v>5.0999999999999996</v>
      </c>
      <c r="C812">
        <v>5.3147877013177176</v>
      </c>
      <c r="D812">
        <v>5.4679355783308887</v>
      </c>
      <c r="E812">
        <f t="shared" si="60"/>
        <v>7.9028037102696819E-2</v>
      </c>
      <c r="F812">
        <f t="shared" si="61"/>
        <v>4.613375663734922E-2</v>
      </c>
      <c r="G812">
        <f t="shared" si="62"/>
        <v>0.13537658980168582</v>
      </c>
      <c r="H812">
        <v>177.90128843338192</v>
      </c>
      <c r="I812">
        <v>162.98770131771641</v>
      </c>
      <c r="J812">
        <v>242.63557833089328</v>
      </c>
      <c r="K812">
        <f t="shared" si="63"/>
        <v>4.9967459118954443</v>
      </c>
      <c r="L812">
        <f t="shared" si="64"/>
        <v>5.1188123337333717</v>
      </c>
    </row>
    <row r="813" spans="1:12" x14ac:dyDescent="0.3">
      <c r="A813">
        <v>5.2</v>
      </c>
      <c r="B813">
        <v>5.4</v>
      </c>
      <c r="C813">
        <v>5.3147877013177176</v>
      </c>
      <c r="D813">
        <v>5.4679355783308887</v>
      </c>
      <c r="E813">
        <f t="shared" si="60"/>
        <v>7.7981688742924105E-3</v>
      </c>
      <c r="F813">
        <f t="shared" si="61"/>
        <v>1.3176216373805507E-2</v>
      </c>
      <c r="G813">
        <f t="shared" si="62"/>
        <v>4.615242803152269E-3</v>
      </c>
      <c r="H813">
        <v>177.90128843338192</v>
      </c>
      <c r="I813">
        <v>162.98770131771641</v>
      </c>
      <c r="J813">
        <v>242.63557833089328</v>
      </c>
      <c r="K813">
        <f t="shared" si="63"/>
        <v>5.2453699841875583</v>
      </c>
      <c r="L813">
        <f t="shared" si="64"/>
        <v>5.391733835437587</v>
      </c>
    </row>
    <row r="814" spans="1:12" x14ac:dyDescent="0.3">
      <c r="A814">
        <v>5.4</v>
      </c>
      <c r="B814">
        <v>5.3</v>
      </c>
      <c r="C814">
        <v>5.3147877013177176</v>
      </c>
      <c r="D814">
        <v>5.4679355783308887</v>
      </c>
      <c r="E814">
        <f t="shared" si="60"/>
        <v>-1.4310176660113597E-2</v>
      </c>
      <c r="F814">
        <f t="shared" si="61"/>
        <v>7.2611358467185661E-3</v>
      </c>
      <c r="G814">
        <f t="shared" si="62"/>
        <v>2.8202358469330124E-2</v>
      </c>
      <c r="H814">
        <v>177.90128843338192</v>
      </c>
      <c r="I814">
        <v>162.98770131771641</v>
      </c>
      <c r="J814">
        <v>242.63557833089328</v>
      </c>
      <c r="K814">
        <f t="shared" si="63"/>
        <v>5.1957098646344058</v>
      </c>
      <c r="L814">
        <f t="shared" si="64"/>
        <v>5.3372205524786747</v>
      </c>
    </row>
    <row r="815" spans="1:12" x14ac:dyDescent="0.3">
      <c r="A815">
        <v>5.5</v>
      </c>
      <c r="B815">
        <v>5.4</v>
      </c>
      <c r="C815">
        <v>5.3147877013177176</v>
      </c>
      <c r="D815">
        <v>5.4679355783308887</v>
      </c>
      <c r="E815">
        <f t="shared" si="60"/>
        <v>-1.2582504624974088E-2</v>
      </c>
      <c r="F815">
        <f t="shared" si="61"/>
        <v>3.4303595583174987E-2</v>
      </c>
      <c r="G815">
        <f t="shared" si="62"/>
        <v>4.615242803152269E-3</v>
      </c>
      <c r="H815">
        <v>177.90128843338192</v>
      </c>
      <c r="I815">
        <v>162.98770131771641</v>
      </c>
      <c r="J815">
        <v>242.63557833089328</v>
      </c>
      <c r="K815">
        <f t="shared" si="63"/>
        <v>5.2880744328872682</v>
      </c>
      <c r="L815">
        <f t="shared" si="64"/>
        <v>5.438611686649363</v>
      </c>
    </row>
    <row r="816" spans="1:12" x14ac:dyDescent="0.3">
      <c r="A816">
        <v>4.9000000000000004</v>
      </c>
      <c r="B816">
        <v>5</v>
      </c>
      <c r="C816">
        <v>5.3147877013177176</v>
      </c>
      <c r="D816">
        <v>5.4679355783308887</v>
      </c>
      <c r="E816">
        <f t="shared" si="60"/>
        <v>0.19409392290064595</v>
      </c>
      <c r="F816">
        <f t="shared" si="61"/>
        <v>0.17204883716443581</v>
      </c>
      <c r="G816">
        <f t="shared" si="62"/>
        <v>0.21896370546786328</v>
      </c>
      <c r="H816">
        <v>177.90128843338192</v>
      </c>
      <c r="I816">
        <v>162.98770131771641</v>
      </c>
      <c r="J816">
        <v>242.63557833089328</v>
      </c>
      <c r="K816">
        <f t="shared" si="63"/>
        <v>4.8901465274093461</v>
      </c>
      <c r="L816">
        <f t="shared" si="64"/>
        <v>5.0017952491587589</v>
      </c>
    </row>
    <row r="817" spans="1:12" x14ac:dyDescent="0.3">
      <c r="A817">
        <v>5.5</v>
      </c>
      <c r="B817">
        <v>5.3</v>
      </c>
      <c r="C817">
        <v>5.3147877013177176</v>
      </c>
      <c r="D817">
        <v>5.4679355783308887</v>
      </c>
      <c r="E817">
        <f t="shared" si="60"/>
        <v>-3.1103734493202428E-2</v>
      </c>
      <c r="F817">
        <f t="shared" si="61"/>
        <v>3.4303595583174987E-2</v>
      </c>
      <c r="G817">
        <f t="shared" si="62"/>
        <v>2.8202358469330124E-2</v>
      </c>
      <c r="H817">
        <v>177.90128843338192</v>
      </c>
      <c r="I817">
        <v>162.98770131771641</v>
      </c>
      <c r="J817">
        <v>242.63557833089328</v>
      </c>
      <c r="K817">
        <f t="shared" si="63"/>
        <v>5.2099446808676424</v>
      </c>
      <c r="L817">
        <f t="shared" si="64"/>
        <v>5.3528465028826</v>
      </c>
    </row>
    <row r="818" spans="1:12" x14ac:dyDescent="0.3">
      <c r="A818">
        <v>6.1</v>
      </c>
      <c r="B818">
        <v>6.9</v>
      </c>
      <c r="C818">
        <v>5.3147877013177176</v>
      </c>
      <c r="D818">
        <v>5.4679355783308887</v>
      </c>
      <c r="E818">
        <f t="shared" si="60"/>
        <v>1.1244745963999159</v>
      </c>
      <c r="F818">
        <f t="shared" si="61"/>
        <v>0.61655835400191328</v>
      </c>
      <c r="G818">
        <f t="shared" si="62"/>
        <v>2.050808507810487</v>
      </c>
      <c r="H818">
        <v>177.90128843338192</v>
      </c>
      <c r="I818">
        <v>162.98770131771641</v>
      </c>
      <c r="J818">
        <v>242.63557833089328</v>
      </c>
      <c r="K818">
        <f t="shared" si="63"/>
        <v>6.545429610581075</v>
      </c>
      <c r="L818">
        <f t="shared" si="64"/>
        <v>6.8188451455743664</v>
      </c>
    </row>
    <row r="819" spans="1:12" x14ac:dyDescent="0.3">
      <c r="A819">
        <v>5.4</v>
      </c>
      <c r="B819">
        <v>5.9</v>
      </c>
      <c r="C819">
        <v>5.3147877013177176</v>
      </c>
      <c r="D819">
        <v>5.4679355783308887</v>
      </c>
      <c r="E819">
        <f t="shared" si="60"/>
        <v>3.6817202549256099E-2</v>
      </c>
      <c r="F819">
        <f t="shared" si="61"/>
        <v>7.2611358467185661E-3</v>
      </c>
      <c r="G819">
        <f t="shared" si="62"/>
        <v>0.18667966447226389</v>
      </c>
      <c r="H819">
        <v>177.90128843338192</v>
      </c>
      <c r="I819">
        <v>162.98770131771641</v>
      </c>
      <c r="J819">
        <v>242.63557833089328</v>
      </c>
      <c r="K819">
        <f t="shared" si="63"/>
        <v>5.6644883767521605</v>
      </c>
      <c r="L819">
        <f t="shared" si="64"/>
        <v>5.8518116550792554</v>
      </c>
    </row>
    <row r="820" spans="1:12" x14ac:dyDescent="0.3">
      <c r="A820">
        <v>5.4</v>
      </c>
      <c r="B820">
        <v>5.5</v>
      </c>
      <c r="C820">
        <v>5.3147877013177176</v>
      </c>
      <c r="D820">
        <v>5.4679355783308887</v>
      </c>
      <c r="E820">
        <f t="shared" si="60"/>
        <v>2.7322830763429691E-3</v>
      </c>
      <c r="F820">
        <f t="shared" si="61"/>
        <v>7.2611358467185661E-3</v>
      </c>
      <c r="G820">
        <f t="shared" si="62"/>
        <v>1.0281271369745727E-3</v>
      </c>
      <c r="H820">
        <v>177.90128843338192</v>
      </c>
      <c r="I820">
        <v>162.98770131771641</v>
      </c>
      <c r="J820">
        <v>242.63557833089328</v>
      </c>
      <c r="K820">
        <f t="shared" si="63"/>
        <v>5.3519693686736574</v>
      </c>
      <c r="L820">
        <f t="shared" si="64"/>
        <v>5.5087509200122016</v>
      </c>
    </row>
    <row r="821" spans="1:12" x14ac:dyDescent="0.3">
      <c r="A821">
        <v>5.3</v>
      </c>
      <c r="B821">
        <v>5.3</v>
      </c>
      <c r="C821">
        <v>5.3147877013177176</v>
      </c>
      <c r="D821">
        <v>5.4679355783308887</v>
      </c>
      <c r="E821">
        <f t="shared" si="60"/>
        <v>2.4833811729753838E-3</v>
      </c>
      <c r="F821">
        <f t="shared" si="61"/>
        <v>2.1867611026203226E-4</v>
      </c>
      <c r="G821">
        <f t="shared" si="62"/>
        <v>2.8202358469330124E-2</v>
      </c>
      <c r="H821">
        <v>177.90128843338192</v>
      </c>
      <c r="I821">
        <v>162.98770131771641</v>
      </c>
      <c r="J821">
        <v>242.63557833089328</v>
      </c>
      <c r="K821">
        <f t="shared" si="63"/>
        <v>5.1814750484011682</v>
      </c>
      <c r="L821">
        <f t="shared" si="64"/>
        <v>5.3215946020747484</v>
      </c>
    </row>
    <row r="822" spans="1:12" x14ac:dyDescent="0.3">
      <c r="A822">
        <v>6</v>
      </c>
      <c r="B822">
        <v>6.4</v>
      </c>
      <c r="C822">
        <v>5.3147877013177176</v>
      </c>
      <c r="D822">
        <v>5.4679355783308887</v>
      </c>
      <c r="E822">
        <f t="shared" si="60"/>
        <v>0.63866200489186409</v>
      </c>
      <c r="F822">
        <f t="shared" si="61"/>
        <v>0.46951589426545737</v>
      </c>
      <c r="G822">
        <f t="shared" si="62"/>
        <v>0.86874408614137555</v>
      </c>
      <c r="H822">
        <v>177.90128843338192</v>
      </c>
      <c r="I822">
        <v>162.98770131771641</v>
      </c>
      <c r="J822">
        <v>242.63557833089328</v>
      </c>
      <c r="K822">
        <f t="shared" si="63"/>
        <v>6.1405460342497094</v>
      </c>
      <c r="L822">
        <f t="shared" si="64"/>
        <v>6.3743932763366233</v>
      </c>
    </row>
    <row r="823" spans="1:12" x14ac:dyDescent="0.3">
      <c r="A823">
        <v>5.0999999999999996</v>
      </c>
      <c r="B823">
        <v>4.9000000000000004</v>
      </c>
      <c r="C823">
        <v>5.3147877013177176</v>
      </c>
      <c r="D823">
        <v>5.4679355783308887</v>
      </c>
      <c r="E823">
        <f t="shared" si="60"/>
        <v>0.12198557736624026</v>
      </c>
      <c r="F823">
        <f t="shared" si="61"/>
        <v>4.613375663734922E-2</v>
      </c>
      <c r="G823">
        <f t="shared" si="62"/>
        <v>0.32255082113404066</v>
      </c>
      <c r="H823">
        <v>177.90128843338192</v>
      </c>
      <c r="I823">
        <v>162.98770131771641</v>
      </c>
      <c r="J823">
        <v>242.63557833089328</v>
      </c>
      <c r="K823">
        <f t="shared" si="63"/>
        <v>4.8404864078561927</v>
      </c>
      <c r="L823">
        <f t="shared" si="64"/>
        <v>4.9472819661998448</v>
      </c>
    </row>
    <row r="824" spans="1:12" x14ac:dyDescent="0.3">
      <c r="A824">
        <v>5.0999999999999996</v>
      </c>
      <c r="B824">
        <v>5</v>
      </c>
      <c r="C824">
        <v>5.3147877013177176</v>
      </c>
      <c r="D824">
        <v>5.4679355783308887</v>
      </c>
      <c r="E824">
        <f t="shared" si="60"/>
        <v>0.10050680723446855</v>
      </c>
      <c r="F824">
        <f t="shared" si="61"/>
        <v>4.613375663734922E-2</v>
      </c>
      <c r="G824">
        <f t="shared" si="62"/>
        <v>0.21896370546786328</v>
      </c>
      <c r="H824">
        <v>177.90128843338192</v>
      </c>
      <c r="I824">
        <v>162.98770131771641</v>
      </c>
      <c r="J824">
        <v>242.63557833089328</v>
      </c>
      <c r="K824">
        <f t="shared" si="63"/>
        <v>4.9186161598758185</v>
      </c>
      <c r="L824">
        <f t="shared" si="64"/>
        <v>5.0330471499666087</v>
      </c>
    </row>
    <row r="825" spans="1:12" x14ac:dyDescent="0.3">
      <c r="A825">
        <v>4.5999999999999996</v>
      </c>
      <c r="B825">
        <v>5.6</v>
      </c>
      <c r="C825">
        <v>5.3147877013177176</v>
      </c>
      <c r="D825">
        <v>5.4679355783308887</v>
      </c>
      <c r="E825">
        <f t="shared" si="60"/>
        <v>-9.4398024390717622E-2</v>
      </c>
      <c r="F825">
        <f t="shared" si="61"/>
        <v>0.51092145795506716</v>
      </c>
      <c r="G825">
        <f t="shared" si="62"/>
        <v>1.7441011470796734E-2</v>
      </c>
      <c r="H825">
        <v>177.90128843338192</v>
      </c>
      <c r="I825">
        <v>162.98770131771641</v>
      </c>
      <c r="J825">
        <v>242.63557833089328</v>
      </c>
      <c r="K825">
        <f t="shared" si="63"/>
        <v>5.3162205908273892</v>
      </c>
      <c r="L825">
        <f t="shared" si="64"/>
        <v>5.4695085005475619</v>
      </c>
    </row>
    <row r="826" spans="1:12" x14ac:dyDescent="0.3">
      <c r="A826">
        <v>5.2</v>
      </c>
      <c r="B826">
        <v>5.5</v>
      </c>
      <c r="C826">
        <v>5.3147877013177176</v>
      </c>
      <c r="D826">
        <v>5.4679355783308887</v>
      </c>
      <c r="E826">
        <f t="shared" si="60"/>
        <v>-3.6806012574792917E-3</v>
      </c>
      <c r="F826">
        <f t="shared" si="61"/>
        <v>1.3176216373805507E-2</v>
      </c>
      <c r="G826">
        <f t="shared" si="62"/>
        <v>1.0281271369745727E-3</v>
      </c>
      <c r="H826">
        <v>177.90128843338192</v>
      </c>
      <c r="I826">
        <v>162.98770131771641</v>
      </c>
      <c r="J826">
        <v>242.63557833089328</v>
      </c>
      <c r="K826">
        <f t="shared" si="63"/>
        <v>5.3234997362071841</v>
      </c>
      <c r="L826">
        <f t="shared" si="64"/>
        <v>5.4774990192043509</v>
      </c>
    </row>
    <row r="827" spans="1:12" x14ac:dyDescent="0.3">
      <c r="A827">
        <v>5.0999999999999996</v>
      </c>
      <c r="B827">
        <v>5.3</v>
      </c>
      <c r="C827">
        <v>5.3147877013177176</v>
      </c>
      <c r="D827">
        <v>5.4679355783308887</v>
      </c>
      <c r="E827">
        <f t="shared" si="60"/>
        <v>3.6070496839153192E-2</v>
      </c>
      <c r="F827">
        <f t="shared" si="61"/>
        <v>4.613375663734922E-2</v>
      </c>
      <c r="G827">
        <f t="shared" si="62"/>
        <v>2.8202358469330124E-2</v>
      </c>
      <c r="H827">
        <v>177.90128843338192</v>
      </c>
      <c r="I827">
        <v>162.98770131771641</v>
      </c>
      <c r="J827">
        <v>242.63557833089328</v>
      </c>
      <c r="K827">
        <f t="shared" si="63"/>
        <v>5.1530054159346959</v>
      </c>
      <c r="L827">
        <f t="shared" si="64"/>
        <v>5.2903427012668987</v>
      </c>
    </row>
    <row r="828" spans="1:12" x14ac:dyDescent="0.3">
      <c r="A828">
        <v>4.5999999999999996</v>
      </c>
      <c r="B828">
        <v>5.4</v>
      </c>
      <c r="C828">
        <v>5.3147877013177176</v>
      </c>
      <c r="D828">
        <v>5.4679355783308887</v>
      </c>
      <c r="E828">
        <f t="shared" si="60"/>
        <v>4.8559515872825469E-2</v>
      </c>
      <c r="F828">
        <f t="shared" si="61"/>
        <v>0.51092145795506716</v>
      </c>
      <c r="G828">
        <f t="shared" si="62"/>
        <v>4.615242803152269E-3</v>
      </c>
      <c r="H828">
        <v>177.90128843338192</v>
      </c>
      <c r="I828">
        <v>162.98770131771641</v>
      </c>
      <c r="J828">
        <v>242.63557833089328</v>
      </c>
      <c r="K828">
        <f t="shared" si="63"/>
        <v>5.1599610867881394</v>
      </c>
      <c r="L828">
        <f t="shared" si="64"/>
        <v>5.2979781330140376</v>
      </c>
    </row>
    <row r="829" spans="1:12" x14ac:dyDescent="0.3">
      <c r="A829">
        <v>5.5</v>
      </c>
      <c r="B829">
        <v>5.6</v>
      </c>
      <c r="C829">
        <v>5.3147877013177176</v>
      </c>
      <c r="D829">
        <v>5.4679355783308887</v>
      </c>
      <c r="E829">
        <f t="shared" si="60"/>
        <v>2.4459955111482259E-2</v>
      </c>
      <c r="F829">
        <f t="shared" si="61"/>
        <v>3.4303595583174987E-2</v>
      </c>
      <c r="G829">
        <f t="shared" si="62"/>
        <v>1.7441011470796734E-2</v>
      </c>
      <c r="H829">
        <v>177.90128843338192</v>
      </c>
      <c r="I829">
        <v>162.98770131771641</v>
      </c>
      <c r="J829">
        <v>242.63557833089328</v>
      </c>
      <c r="K829">
        <f t="shared" si="63"/>
        <v>5.4443339369265189</v>
      </c>
      <c r="L829">
        <f t="shared" si="64"/>
        <v>5.610142054182889</v>
      </c>
    </row>
    <row r="830" spans="1:12" x14ac:dyDescent="0.3">
      <c r="A830">
        <v>5.3</v>
      </c>
      <c r="B830">
        <v>5.4</v>
      </c>
      <c r="C830">
        <v>5.3147877013177176</v>
      </c>
      <c r="D830">
        <v>5.4679355783308887</v>
      </c>
      <c r="E830">
        <f t="shared" si="60"/>
        <v>1.0046110412035977E-3</v>
      </c>
      <c r="F830">
        <f t="shared" si="61"/>
        <v>2.1867611026203226E-4</v>
      </c>
      <c r="G830">
        <f t="shared" si="62"/>
        <v>4.615242803152269E-3</v>
      </c>
      <c r="H830">
        <v>177.90128843338192</v>
      </c>
      <c r="I830">
        <v>162.98770131771641</v>
      </c>
      <c r="J830">
        <v>242.63557833089328</v>
      </c>
      <c r="K830">
        <f t="shared" si="63"/>
        <v>5.2596048004207958</v>
      </c>
      <c r="L830">
        <f t="shared" si="64"/>
        <v>5.4073597858415132</v>
      </c>
    </row>
    <row r="831" spans="1:12" x14ac:dyDescent="0.3">
      <c r="A831">
        <v>5.4</v>
      </c>
      <c r="B831">
        <v>6</v>
      </c>
      <c r="C831">
        <v>5.3147877013177176</v>
      </c>
      <c r="D831">
        <v>5.4679355783308887</v>
      </c>
      <c r="E831">
        <f t="shared" si="60"/>
        <v>4.5338432417484344E-2</v>
      </c>
      <c r="F831">
        <f t="shared" si="61"/>
        <v>7.2611358467185661E-3</v>
      </c>
      <c r="G831">
        <f t="shared" si="62"/>
        <v>0.28309254880608586</v>
      </c>
      <c r="H831">
        <v>177.90128843338192</v>
      </c>
      <c r="I831">
        <v>162.98770131771641</v>
      </c>
      <c r="J831">
        <v>242.63557833089328</v>
      </c>
      <c r="K831">
        <f t="shared" si="63"/>
        <v>5.7426181287717872</v>
      </c>
      <c r="L831">
        <f t="shared" si="64"/>
        <v>5.9375768388460193</v>
      </c>
    </row>
    <row r="832" spans="1:12" x14ac:dyDescent="0.3">
      <c r="A832">
        <v>6.2</v>
      </c>
      <c r="B832">
        <v>6.6</v>
      </c>
      <c r="C832">
        <v>5.3147877013177176</v>
      </c>
      <c r="D832">
        <v>5.4679355783308887</v>
      </c>
      <c r="E832">
        <f t="shared" si="60"/>
        <v>1.0021173489621424</v>
      </c>
      <c r="F832">
        <f t="shared" si="61"/>
        <v>0.78360081373837065</v>
      </c>
      <c r="G832">
        <f t="shared" si="62"/>
        <v>1.2815698548090186</v>
      </c>
      <c r="H832">
        <v>177.90128843338192</v>
      </c>
      <c r="I832">
        <v>162.98770131771641</v>
      </c>
      <c r="J832">
        <v>242.63557833089328</v>
      </c>
      <c r="K832">
        <f t="shared" si="63"/>
        <v>6.3252751707554324</v>
      </c>
      <c r="L832">
        <f t="shared" si="64"/>
        <v>6.5771755446779991</v>
      </c>
    </row>
    <row r="833" spans="1:12" x14ac:dyDescent="0.3">
      <c r="A833">
        <v>5.9</v>
      </c>
      <c r="B833">
        <v>6.4</v>
      </c>
      <c r="C833">
        <v>5.3147877013177176</v>
      </c>
      <c r="D833">
        <v>5.4679355783308887</v>
      </c>
      <c r="E833">
        <f t="shared" si="60"/>
        <v>0.54545556272495332</v>
      </c>
      <c r="F833">
        <f t="shared" si="61"/>
        <v>0.34247343452900131</v>
      </c>
      <c r="G833">
        <f t="shared" si="62"/>
        <v>0.86874408614137555</v>
      </c>
      <c r="H833">
        <v>177.90128843338192</v>
      </c>
      <c r="I833">
        <v>162.98770131771641</v>
      </c>
      <c r="J833">
        <v>242.63557833089328</v>
      </c>
      <c r="K833">
        <f t="shared" si="63"/>
        <v>6.1263112180164727</v>
      </c>
      <c r="L833">
        <f t="shared" si="64"/>
        <v>6.358767325932698</v>
      </c>
    </row>
    <row r="834" spans="1:12" x14ac:dyDescent="0.3">
      <c r="A834">
        <v>4.8</v>
      </c>
      <c r="B834">
        <v>5.0999999999999996</v>
      </c>
      <c r="C834">
        <v>5.3147877013177176</v>
      </c>
      <c r="D834">
        <v>5.4679355783308887</v>
      </c>
      <c r="E834">
        <f t="shared" si="60"/>
        <v>0.18940871060196349</v>
      </c>
      <c r="F834">
        <f t="shared" si="61"/>
        <v>0.26500637742797983</v>
      </c>
      <c r="G834">
        <f t="shared" si="62"/>
        <v>0.13537658980168582</v>
      </c>
      <c r="H834">
        <v>177.90128843338192</v>
      </c>
      <c r="I834">
        <v>162.98770131771641</v>
      </c>
      <c r="J834">
        <v>242.63557833089328</v>
      </c>
      <c r="K834">
        <f t="shared" si="63"/>
        <v>4.9540414631957344</v>
      </c>
      <c r="L834">
        <f t="shared" si="64"/>
        <v>5.0719344825215966</v>
      </c>
    </row>
    <row r="835" spans="1:12" x14ac:dyDescent="0.3">
      <c r="A835">
        <v>5.3</v>
      </c>
      <c r="B835">
        <v>5.6</v>
      </c>
      <c r="C835">
        <v>5.3147877013177176</v>
      </c>
      <c r="D835">
        <v>5.4679355783308887</v>
      </c>
      <c r="E835">
        <f t="shared" ref="E835:E898" si="65">(A835-C835)*(B835-D835)</f>
        <v>-1.9529292223399485E-3</v>
      </c>
      <c r="F835">
        <f t="shared" ref="F835:F898" si="66">(A835-C835)^2</f>
        <v>2.1867611026203226E-4</v>
      </c>
      <c r="G835">
        <f t="shared" ref="G835:G898" si="67">(B835-D835)^2</f>
        <v>1.7441011470796734E-2</v>
      </c>
      <c r="H835">
        <v>177.90128843338192</v>
      </c>
      <c r="I835">
        <v>162.98770131771641</v>
      </c>
      <c r="J835">
        <v>242.63557833089328</v>
      </c>
      <c r="K835">
        <f t="shared" ref="K835:K898" si="68">(1.097727582*(B835+0.366253474)+0.2*A835)/(0.2+1.097727582^2)</f>
        <v>5.4158643044600456</v>
      </c>
      <c r="L835">
        <f t="shared" ref="L835:L898" si="69">1.097727582*K835-0.366253474</f>
        <v>5.5788901533750384</v>
      </c>
    </row>
    <row r="836" spans="1:12" x14ac:dyDescent="0.3">
      <c r="A836">
        <v>5.7</v>
      </c>
      <c r="B836">
        <v>5.7</v>
      </c>
      <c r="C836">
        <v>5.3147877013177176</v>
      </c>
      <c r="D836">
        <v>5.4679355783308887</v>
      </c>
      <c r="E836">
        <f t="shared" si="65"/>
        <v>8.9394069313532928E-2</v>
      </c>
      <c r="F836">
        <f t="shared" si="66"/>
        <v>0.14838851505608808</v>
      </c>
      <c r="G836">
        <f t="shared" si="67"/>
        <v>5.3853895804619169E-2</v>
      </c>
      <c r="H836">
        <v>177.90128843338192</v>
      </c>
      <c r="I836">
        <v>162.98770131771641</v>
      </c>
      <c r="J836">
        <v>242.63557833089328</v>
      </c>
      <c r="K836">
        <f t="shared" si="68"/>
        <v>5.550933321412618</v>
      </c>
      <c r="L836">
        <f t="shared" si="69"/>
        <v>5.7271591387575027</v>
      </c>
    </row>
    <row r="837" spans="1:12" x14ac:dyDescent="0.3">
      <c r="A837">
        <v>5.0999999999999996</v>
      </c>
      <c r="B837">
        <v>5.0999999999999996</v>
      </c>
      <c r="C837">
        <v>5.3147877013177176</v>
      </c>
      <c r="D837">
        <v>5.4679355783308887</v>
      </c>
      <c r="E837">
        <f t="shared" si="65"/>
        <v>7.9028037102696819E-2</v>
      </c>
      <c r="F837">
        <f t="shared" si="66"/>
        <v>4.613375663734922E-2</v>
      </c>
      <c r="G837">
        <f t="shared" si="67"/>
        <v>0.13537658980168582</v>
      </c>
      <c r="H837">
        <v>177.90128843338192</v>
      </c>
      <c r="I837">
        <v>162.98770131771641</v>
      </c>
      <c r="J837">
        <v>242.63557833089328</v>
      </c>
      <c r="K837">
        <f t="shared" si="68"/>
        <v>4.9967459118954443</v>
      </c>
      <c r="L837">
        <f t="shared" si="69"/>
        <v>5.1188123337333717</v>
      </c>
    </row>
    <row r="838" spans="1:12" x14ac:dyDescent="0.3">
      <c r="A838">
        <v>5.6</v>
      </c>
      <c r="B838">
        <v>5.4</v>
      </c>
      <c r="C838">
        <v>5.3147877013177176</v>
      </c>
      <c r="D838">
        <v>5.4679355783308887</v>
      </c>
      <c r="E838">
        <f t="shared" si="65"/>
        <v>-1.93760624580629E-2</v>
      </c>
      <c r="F838">
        <f t="shared" si="66"/>
        <v>8.1346055319631266E-2</v>
      </c>
      <c r="G838">
        <f t="shared" si="67"/>
        <v>4.615242803152269E-3</v>
      </c>
      <c r="H838">
        <v>177.90128843338192</v>
      </c>
      <c r="I838">
        <v>162.98770131771641</v>
      </c>
      <c r="J838">
        <v>242.63557833089328</v>
      </c>
      <c r="K838">
        <f t="shared" si="68"/>
        <v>5.3023092491205048</v>
      </c>
      <c r="L838">
        <f t="shared" si="69"/>
        <v>5.4542376370532883</v>
      </c>
    </row>
    <row r="839" spans="1:12" x14ac:dyDescent="0.3">
      <c r="A839">
        <v>5.6</v>
      </c>
      <c r="B839">
        <v>5.5</v>
      </c>
      <c r="C839">
        <v>5.3147877013177176</v>
      </c>
      <c r="D839">
        <v>5.4679355783308887</v>
      </c>
      <c r="E839">
        <f t="shared" si="65"/>
        <v>9.1451674101652013E-3</v>
      </c>
      <c r="F839">
        <f t="shared" si="66"/>
        <v>8.1346055319631266E-2</v>
      </c>
      <c r="G839">
        <f t="shared" si="67"/>
        <v>1.0281271369745727E-3</v>
      </c>
      <c r="H839">
        <v>177.90128843338192</v>
      </c>
      <c r="I839">
        <v>162.98770131771641</v>
      </c>
      <c r="J839">
        <v>242.63557833089328</v>
      </c>
      <c r="K839">
        <f t="shared" si="68"/>
        <v>5.3804390011401306</v>
      </c>
      <c r="L839">
        <f t="shared" si="69"/>
        <v>5.5400028208200514</v>
      </c>
    </row>
    <row r="840" spans="1:12" x14ac:dyDescent="0.3">
      <c r="A840">
        <v>4.9000000000000004</v>
      </c>
      <c r="B840">
        <v>5.0999999999999996</v>
      </c>
      <c r="C840">
        <v>5.3147877013177176</v>
      </c>
      <c r="D840">
        <v>5.4679355783308887</v>
      </c>
      <c r="E840">
        <f t="shared" si="65"/>
        <v>0.15261515276887438</v>
      </c>
      <c r="F840">
        <f t="shared" si="66"/>
        <v>0.17204883716443581</v>
      </c>
      <c r="G840">
        <f t="shared" si="67"/>
        <v>0.13537658980168582</v>
      </c>
      <c r="H840">
        <v>177.90128843338192</v>
      </c>
      <c r="I840">
        <v>162.98770131771641</v>
      </c>
      <c r="J840">
        <v>242.63557833089328</v>
      </c>
      <c r="K840">
        <f t="shared" si="68"/>
        <v>4.968276279428971</v>
      </c>
      <c r="L840">
        <f t="shared" si="69"/>
        <v>5.0875604329255211</v>
      </c>
    </row>
    <row r="841" spans="1:12" x14ac:dyDescent="0.3">
      <c r="A841">
        <v>5.4</v>
      </c>
      <c r="B841">
        <v>5.3</v>
      </c>
      <c r="C841">
        <v>5.3147877013177176</v>
      </c>
      <c r="D841">
        <v>5.4679355783308887</v>
      </c>
      <c r="E841">
        <f t="shared" si="65"/>
        <v>-1.4310176660113597E-2</v>
      </c>
      <c r="F841">
        <f t="shared" si="66"/>
        <v>7.2611358467185661E-3</v>
      </c>
      <c r="G841">
        <f t="shared" si="67"/>
        <v>2.8202358469330124E-2</v>
      </c>
      <c r="H841">
        <v>177.90128843338192</v>
      </c>
      <c r="I841">
        <v>162.98770131771641</v>
      </c>
      <c r="J841">
        <v>242.63557833089328</v>
      </c>
      <c r="K841">
        <f t="shared" si="68"/>
        <v>5.1957098646344058</v>
      </c>
      <c r="L841">
        <f t="shared" si="69"/>
        <v>5.3372205524786747</v>
      </c>
    </row>
    <row r="842" spans="1:12" x14ac:dyDescent="0.3">
      <c r="A842">
        <v>5.3</v>
      </c>
      <c r="B842">
        <v>5.3</v>
      </c>
      <c r="C842">
        <v>5.3147877013177176</v>
      </c>
      <c r="D842">
        <v>5.4679355783308887</v>
      </c>
      <c r="E842">
        <f t="shared" si="65"/>
        <v>2.4833811729753838E-3</v>
      </c>
      <c r="F842">
        <f t="shared" si="66"/>
        <v>2.1867611026203226E-4</v>
      </c>
      <c r="G842">
        <f t="shared" si="67"/>
        <v>2.8202358469330124E-2</v>
      </c>
      <c r="H842">
        <v>177.90128843338192</v>
      </c>
      <c r="I842">
        <v>162.98770131771641</v>
      </c>
      <c r="J842">
        <v>242.63557833089328</v>
      </c>
      <c r="K842">
        <f t="shared" si="68"/>
        <v>5.1814750484011682</v>
      </c>
      <c r="L842">
        <f t="shared" si="69"/>
        <v>5.3215946020747484</v>
      </c>
    </row>
    <row r="843" spans="1:12" x14ac:dyDescent="0.3">
      <c r="A843">
        <v>5.2</v>
      </c>
      <c r="B843">
        <v>5.6</v>
      </c>
      <c r="C843">
        <v>5.3147877013177176</v>
      </c>
      <c r="D843">
        <v>5.4679355783308887</v>
      </c>
      <c r="E843">
        <f t="shared" si="65"/>
        <v>-1.5159371389250994E-2</v>
      </c>
      <c r="F843">
        <f t="shared" si="66"/>
        <v>1.3176216373805507E-2</v>
      </c>
      <c r="G843">
        <f t="shared" si="67"/>
        <v>1.7441011470796734E-2</v>
      </c>
      <c r="H843">
        <v>177.90128843338192</v>
      </c>
      <c r="I843">
        <v>162.98770131771641</v>
      </c>
      <c r="J843">
        <v>242.63557833089328</v>
      </c>
      <c r="K843">
        <f t="shared" si="68"/>
        <v>5.401629488226809</v>
      </c>
      <c r="L843">
        <f t="shared" si="69"/>
        <v>5.563264202971113</v>
      </c>
    </row>
    <row r="844" spans="1:12" x14ac:dyDescent="0.3">
      <c r="A844">
        <v>5.0999999999999996</v>
      </c>
      <c r="B844">
        <v>5</v>
      </c>
      <c r="C844">
        <v>5.3147877013177176</v>
      </c>
      <c r="D844">
        <v>5.4679355783308887</v>
      </c>
      <c r="E844">
        <f t="shared" si="65"/>
        <v>0.10050680723446855</v>
      </c>
      <c r="F844">
        <f t="shared" si="66"/>
        <v>4.613375663734922E-2</v>
      </c>
      <c r="G844">
        <f t="shared" si="67"/>
        <v>0.21896370546786328</v>
      </c>
      <c r="H844">
        <v>177.90128843338192</v>
      </c>
      <c r="I844">
        <v>162.98770131771641</v>
      </c>
      <c r="J844">
        <v>242.63557833089328</v>
      </c>
      <c r="K844">
        <f t="shared" si="68"/>
        <v>4.9186161598758185</v>
      </c>
      <c r="L844">
        <f t="shared" si="69"/>
        <v>5.0330471499666087</v>
      </c>
    </row>
    <row r="845" spans="1:12" x14ac:dyDescent="0.3">
      <c r="A845">
        <v>5.6</v>
      </c>
      <c r="B845">
        <v>5.7</v>
      </c>
      <c r="C845">
        <v>5.3147877013177176</v>
      </c>
      <c r="D845">
        <v>5.4679355783308887</v>
      </c>
      <c r="E845">
        <f t="shared" si="65"/>
        <v>6.6187627146621658E-2</v>
      </c>
      <c r="F845">
        <f t="shared" si="66"/>
        <v>8.1346055319631266E-2</v>
      </c>
      <c r="G845">
        <f t="shared" si="67"/>
        <v>5.3853895804619169E-2</v>
      </c>
      <c r="H845">
        <v>177.90128843338192</v>
      </c>
      <c r="I845">
        <v>162.98770131771641</v>
      </c>
      <c r="J845">
        <v>242.63557833089328</v>
      </c>
      <c r="K845">
        <f t="shared" si="68"/>
        <v>5.5366985051793822</v>
      </c>
      <c r="L845">
        <f t="shared" si="69"/>
        <v>5.7115331883535783</v>
      </c>
    </row>
    <row r="846" spans="1:12" x14ac:dyDescent="0.3">
      <c r="A846">
        <v>5.8</v>
      </c>
      <c r="B846">
        <v>6.3</v>
      </c>
      <c r="C846">
        <v>5.3147877013177176</v>
      </c>
      <c r="D846">
        <v>5.4679355783308887</v>
      </c>
      <c r="E846">
        <f t="shared" si="65"/>
        <v>0.40372789068981313</v>
      </c>
      <c r="F846">
        <f t="shared" si="66"/>
        <v>0.23543097479254424</v>
      </c>
      <c r="G846">
        <f t="shared" si="67"/>
        <v>0.69233120180755237</v>
      </c>
      <c r="H846">
        <v>177.90128843338192</v>
      </c>
      <c r="I846">
        <v>162.98770131771641</v>
      </c>
      <c r="J846">
        <v>242.63557833089328</v>
      </c>
      <c r="K846">
        <f t="shared" si="68"/>
        <v>6.0339466497636094</v>
      </c>
      <c r="L846">
        <f t="shared" si="69"/>
        <v>6.2573761917620088</v>
      </c>
    </row>
    <row r="847" spans="1:12" x14ac:dyDescent="0.3">
      <c r="A847">
        <v>5.2</v>
      </c>
      <c r="B847">
        <v>5.4</v>
      </c>
      <c r="C847">
        <v>5.3147877013177176</v>
      </c>
      <c r="D847">
        <v>5.4679355783308887</v>
      </c>
      <c r="E847">
        <f t="shared" si="65"/>
        <v>7.7981688742924105E-3</v>
      </c>
      <c r="F847">
        <f t="shared" si="66"/>
        <v>1.3176216373805507E-2</v>
      </c>
      <c r="G847">
        <f t="shared" si="67"/>
        <v>4.615242803152269E-3</v>
      </c>
      <c r="H847">
        <v>177.90128843338192</v>
      </c>
      <c r="I847">
        <v>162.98770131771641</v>
      </c>
      <c r="J847">
        <v>242.63557833089328</v>
      </c>
      <c r="K847">
        <f t="shared" si="68"/>
        <v>5.2453699841875583</v>
      </c>
      <c r="L847">
        <f t="shared" si="69"/>
        <v>5.391733835437587</v>
      </c>
    </row>
    <row r="848" spans="1:12" x14ac:dyDescent="0.3">
      <c r="A848">
        <v>5.8</v>
      </c>
      <c r="B848">
        <v>5.8</v>
      </c>
      <c r="C848">
        <v>5.3147877013177176</v>
      </c>
      <c r="D848">
        <v>5.4679355783308887</v>
      </c>
      <c r="E848">
        <f t="shared" si="65"/>
        <v>0.16112174134867205</v>
      </c>
      <c r="F848">
        <f t="shared" si="66"/>
        <v>0.23543097479254424</v>
      </c>
      <c r="G848">
        <f t="shared" si="67"/>
        <v>0.11026678013844123</v>
      </c>
      <c r="H848">
        <v>177.90128843338192</v>
      </c>
      <c r="I848">
        <v>162.98770131771641</v>
      </c>
      <c r="J848">
        <v>242.63557833089328</v>
      </c>
      <c r="K848">
        <f t="shared" si="68"/>
        <v>5.6432978896654804</v>
      </c>
      <c r="L848">
        <f t="shared" si="69"/>
        <v>5.8285502729281911</v>
      </c>
    </row>
    <row r="849" spans="1:12" x14ac:dyDescent="0.3">
      <c r="A849">
        <v>5.5</v>
      </c>
      <c r="B849">
        <v>5.7</v>
      </c>
      <c r="C849">
        <v>5.3147877013177176</v>
      </c>
      <c r="D849">
        <v>5.4679355783308887</v>
      </c>
      <c r="E849">
        <f t="shared" si="65"/>
        <v>4.2981184979710596E-2</v>
      </c>
      <c r="F849">
        <f t="shared" si="66"/>
        <v>3.4303595583174987E-2</v>
      </c>
      <c r="G849">
        <f t="shared" si="67"/>
        <v>5.3853895804619169E-2</v>
      </c>
      <c r="H849">
        <v>177.90128843338192</v>
      </c>
      <c r="I849">
        <v>162.98770131771641</v>
      </c>
      <c r="J849">
        <v>242.63557833089328</v>
      </c>
      <c r="K849">
        <f t="shared" si="68"/>
        <v>5.5224636889461456</v>
      </c>
      <c r="L849">
        <f t="shared" si="69"/>
        <v>5.6959072379496538</v>
      </c>
    </row>
    <row r="850" spans="1:12" x14ac:dyDescent="0.3">
      <c r="A850">
        <v>6</v>
      </c>
      <c r="B850">
        <v>6</v>
      </c>
      <c r="C850">
        <v>5.3147877013177176</v>
      </c>
      <c r="D850">
        <v>5.4679355783308887</v>
      </c>
      <c r="E850">
        <f t="shared" si="65"/>
        <v>0.3645770854189509</v>
      </c>
      <c r="F850">
        <f t="shared" si="66"/>
        <v>0.46951589426545737</v>
      </c>
      <c r="G850">
        <f t="shared" si="67"/>
        <v>0.28309254880608586</v>
      </c>
      <c r="H850">
        <v>177.90128843338192</v>
      </c>
      <c r="I850">
        <v>162.98770131771641</v>
      </c>
      <c r="J850">
        <v>242.63557833089328</v>
      </c>
      <c r="K850">
        <f t="shared" si="68"/>
        <v>5.8280270261712062</v>
      </c>
      <c r="L850">
        <f t="shared" si="69"/>
        <v>6.0313325412695695</v>
      </c>
    </row>
    <row r="851" spans="1:12" x14ac:dyDescent="0.3">
      <c r="A851">
        <v>5.0999999999999996</v>
      </c>
      <c r="B851">
        <v>5.0999999999999996</v>
      </c>
      <c r="C851">
        <v>5.3147877013177176</v>
      </c>
      <c r="D851">
        <v>5.4679355783308887</v>
      </c>
      <c r="E851">
        <f t="shared" si="65"/>
        <v>7.9028037102696819E-2</v>
      </c>
      <c r="F851">
        <f t="shared" si="66"/>
        <v>4.613375663734922E-2</v>
      </c>
      <c r="G851">
        <f t="shared" si="67"/>
        <v>0.13537658980168582</v>
      </c>
      <c r="H851">
        <v>177.90128843338192</v>
      </c>
      <c r="I851">
        <v>162.98770131771641</v>
      </c>
      <c r="J851">
        <v>242.63557833089328</v>
      </c>
      <c r="K851">
        <f t="shared" si="68"/>
        <v>4.9967459118954443</v>
      </c>
      <c r="L851">
        <f t="shared" si="69"/>
        <v>5.1188123337333717</v>
      </c>
    </row>
    <row r="852" spans="1:12" x14ac:dyDescent="0.3">
      <c r="A852">
        <v>5.0999999999999996</v>
      </c>
      <c r="B852">
        <v>5.2</v>
      </c>
      <c r="C852">
        <v>5.3147877013177176</v>
      </c>
      <c r="D852">
        <v>5.4679355783308887</v>
      </c>
      <c r="E852">
        <f t="shared" si="65"/>
        <v>5.7549266970924912E-2</v>
      </c>
      <c r="F852">
        <f t="shared" si="66"/>
        <v>4.613375663734922E-2</v>
      </c>
      <c r="G852">
        <f t="shared" si="67"/>
        <v>7.1789474135507708E-2</v>
      </c>
      <c r="H852">
        <v>177.90128843338192</v>
      </c>
      <c r="I852">
        <v>162.98770131771641</v>
      </c>
      <c r="J852">
        <v>242.63557833089328</v>
      </c>
      <c r="K852">
        <f t="shared" si="68"/>
        <v>5.0748756639150701</v>
      </c>
      <c r="L852">
        <f t="shared" si="69"/>
        <v>5.2045775175001356</v>
      </c>
    </row>
    <row r="853" spans="1:12" x14ac:dyDescent="0.3">
      <c r="A853">
        <v>5.5</v>
      </c>
      <c r="B853">
        <v>6</v>
      </c>
      <c r="C853">
        <v>5.3147877013177176</v>
      </c>
      <c r="D853">
        <v>5.4679355783308887</v>
      </c>
      <c r="E853">
        <f t="shared" si="65"/>
        <v>9.8544874584395287E-2</v>
      </c>
      <c r="F853">
        <f t="shared" si="66"/>
        <v>3.4303595583174987E-2</v>
      </c>
      <c r="G853">
        <f t="shared" si="67"/>
        <v>0.28309254880608586</v>
      </c>
      <c r="H853">
        <v>177.90128843338192</v>
      </c>
      <c r="I853">
        <v>162.98770131771641</v>
      </c>
      <c r="J853">
        <v>242.63557833089328</v>
      </c>
      <c r="K853">
        <f t="shared" si="68"/>
        <v>5.756852945005023</v>
      </c>
      <c r="L853">
        <f t="shared" si="69"/>
        <v>5.9532027892499437</v>
      </c>
    </row>
    <row r="854" spans="1:12" x14ac:dyDescent="0.3">
      <c r="A854">
        <v>5</v>
      </c>
      <c r="B854">
        <v>5.0999999999999996</v>
      </c>
      <c r="C854">
        <v>5.3147877013177176</v>
      </c>
      <c r="D854">
        <v>5.4679355783308887</v>
      </c>
      <c r="E854">
        <f t="shared" si="65"/>
        <v>0.1158215949357856</v>
      </c>
      <c r="F854">
        <f t="shared" si="66"/>
        <v>9.9091296900892592E-2</v>
      </c>
      <c r="G854">
        <f t="shared" si="67"/>
        <v>0.13537658980168582</v>
      </c>
      <c r="H854">
        <v>177.90128843338192</v>
      </c>
      <c r="I854">
        <v>162.98770131771641</v>
      </c>
      <c r="J854">
        <v>242.63557833089328</v>
      </c>
      <c r="K854">
        <f t="shared" si="68"/>
        <v>4.9825110956622076</v>
      </c>
      <c r="L854">
        <f t="shared" si="69"/>
        <v>5.1031863833294464</v>
      </c>
    </row>
    <row r="855" spans="1:12" x14ac:dyDescent="0.3">
      <c r="A855">
        <v>5.7</v>
      </c>
      <c r="B855">
        <v>5.6</v>
      </c>
      <c r="C855">
        <v>5.3147877013177176</v>
      </c>
      <c r="D855">
        <v>5.4679355783308887</v>
      </c>
      <c r="E855">
        <f t="shared" si="65"/>
        <v>5.087283944530447E-2</v>
      </c>
      <c r="F855">
        <f t="shared" si="66"/>
        <v>0.14838851505608808</v>
      </c>
      <c r="G855">
        <f t="shared" si="67"/>
        <v>1.7441011470796734E-2</v>
      </c>
      <c r="H855">
        <v>177.90128843338192</v>
      </c>
      <c r="I855">
        <v>162.98770131771641</v>
      </c>
      <c r="J855">
        <v>242.63557833089328</v>
      </c>
      <c r="K855">
        <f t="shared" si="68"/>
        <v>5.4728035693929922</v>
      </c>
      <c r="L855">
        <f t="shared" si="69"/>
        <v>5.6413939549907397</v>
      </c>
    </row>
    <row r="856" spans="1:12" x14ac:dyDescent="0.3">
      <c r="A856">
        <v>5</v>
      </c>
      <c r="B856">
        <v>5</v>
      </c>
      <c r="C856">
        <v>5.3147877013177176</v>
      </c>
      <c r="D856">
        <v>5.4679355783308887</v>
      </c>
      <c r="E856">
        <f t="shared" si="65"/>
        <v>0.14730036506755725</v>
      </c>
      <c r="F856">
        <f t="shared" si="66"/>
        <v>9.9091296900892592E-2</v>
      </c>
      <c r="G856">
        <f t="shared" si="67"/>
        <v>0.21896370546786328</v>
      </c>
      <c r="H856">
        <v>177.90128843338192</v>
      </c>
      <c r="I856">
        <v>162.98770131771641</v>
      </c>
      <c r="J856">
        <v>242.63557833089328</v>
      </c>
      <c r="K856">
        <f t="shared" si="68"/>
        <v>4.9043813436425818</v>
      </c>
      <c r="L856">
        <f t="shared" si="69"/>
        <v>5.0174211995626834</v>
      </c>
    </row>
    <row r="857" spans="1:12" x14ac:dyDescent="0.3">
      <c r="A857">
        <v>5.2</v>
      </c>
      <c r="B857">
        <v>4.9000000000000004</v>
      </c>
      <c r="C857">
        <v>5.3147877013177176</v>
      </c>
      <c r="D857">
        <v>5.4679355783308887</v>
      </c>
      <c r="E857">
        <f t="shared" si="65"/>
        <v>6.5192019533151124E-2</v>
      </c>
      <c r="F857">
        <f t="shared" si="66"/>
        <v>1.3176216373805507E-2</v>
      </c>
      <c r="G857">
        <f t="shared" si="67"/>
        <v>0.32255082113404066</v>
      </c>
      <c r="H857">
        <v>177.90128843338192</v>
      </c>
      <c r="I857">
        <v>162.98770131771641</v>
      </c>
      <c r="J857">
        <v>242.63557833089328</v>
      </c>
      <c r="K857">
        <f t="shared" si="68"/>
        <v>4.8547212240894293</v>
      </c>
      <c r="L857">
        <f t="shared" si="69"/>
        <v>4.9629079166037702</v>
      </c>
    </row>
    <row r="858" spans="1:12" x14ac:dyDescent="0.3">
      <c r="A858">
        <v>5.4</v>
      </c>
      <c r="B858">
        <v>5.3</v>
      </c>
      <c r="C858">
        <v>5.3147877013177176</v>
      </c>
      <c r="D858">
        <v>5.4679355783308887</v>
      </c>
      <c r="E858">
        <f t="shared" si="65"/>
        <v>-1.4310176660113597E-2</v>
      </c>
      <c r="F858">
        <f t="shared" si="66"/>
        <v>7.2611358467185661E-3</v>
      </c>
      <c r="G858">
        <f t="shared" si="67"/>
        <v>2.8202358469330124E-2</v>
      </c>
      <c r="H858">
        <v>177.90128843338192</v>
      </c>
      <c r="I858">
        <v>162.98770131771641</v>
      </c>
      <c r="J858">
        <v>242.63557833089328</v>
      </c>
      <c r="K858">
        <f t="shared" si="68"/>
        <v>5.1957098646344058</v>
      </c>
      <c r="L858">
        <f t="shared" si="69"/>
        <v>5.3372205524786747</v>
      </c>
    </row>
    <row r="859" spans="1:12" x14ac:dyDescent="0.3">
      <c r="A859">
        <v>5.2</v>
      </c>
      <c r="B859">
        <v>5.4</v>
      </c>
      <c r="C859">
        <v>5.3147877013177176</v>
      </c>
      <c r="D859">
        <v>5.4679355783308887</v>
      </c>
      <c r="E859">
        <f t="shared" si="65"/>
        <v>7.7981688742924105E-3</v>
      </c>
      <c r="F859">
        <f t="shared" si="66"/>
        <v>1.3176216373805507E-2</v>
      </c>
      <c r="G859">
        <f t="shared" si="67"/>
        <v>4.615242803152269E-3</v>
      </c>
      <c r="H859">
        <v>177.90128843338192</v>
      </c>
      <c r="I859">
        <v>162.98770131771641</v>
      </c>
      <c r="J859">
        <v>242.63557833089328</v>
      </c>
      <c r="K859">
        <f t="shared" si="68"/>
        <v>5.2453699841875583</v>
      </c>
      <c r="L859">
        <f t="shared" si="69"/>
        <v>5.391733835437587</v>
      </c>
    </row>
    <row r="860" spans="1:12" x14ac:dyDescent="0.3">
      <c r="A860">
        <v>5.6</v>
      </c>
      <c r="B860">
        <v>5.9</v>
      </c>
      <c r="C860">
        <v>5.3147877013177176</v>
      </c>
      <c r="D860">
        <v>5.4679355783308887</v>
      </c>
      <c r="E860">
        <f t="shared" si="65"/>
        <v>0.12323008688307811</v>
      </c>
      <c r="F860">
        <f t="shared" si="66"/>
        <v>8.1346055319631266E-2</v>
      </c>
      <c r="G860">
        <f t="shared" si="67"/>
        <v>0.18667966447226389</v>
      </c>
      <c r="H860">
        <v>177.90128843338192</v>
      </c>
      <c r="I860">
        <v>162.98770131771641</v>
      </c>
      <c r="J860">
        <v>242.63557833089328</v>
      </c>
      <c r="K860">
        <f t="shared" si="68"/>
        <v>5.6929580092186338</v>
      </c>
      <c r="L860">
        <f t="shared" si="69"/>
        <v>5.8830635558871052</v>
      </c>
    </row>
    <row r="861" spans="1:12" x14ac:dyDescent="0.3">
      <c r="A861">
        <v>5.0999999999999996</v>
      </c>
      <c r="B861">
        <v>5.3</v>
      </c>
      <c r="C861">
        <v>5.3147877013177176</v>
      </c>
      <c r="D861">
        <v>5.4679355783308887</v>
      </c>
      <c r="E861">
        <f t="shared" si="65"/>
        <v>3.6070496839153192E-2</v>
      </c>
      <c r="F861">
        <f t="shared" si="66"/>
        <v>4.613375663734922E-2</v>
      </c>
      <c r="G861">
        <f t="shared" si="67"/>
        <v>2.8202358469330124E-2</v>
      </c>
      <c r="H861">
        <v>177.90128843338192</v>
      </c>
      <c r="I861">
        <v>162.98770131771641</v>
      </c>
      <c r="J861">
        <v>242.63557833089328</v>
      </c>
      <c r="K861">
        <f t="shared" si="68"/>
        <v>5.1530054159346959</v>
      </c>
      <c r="L861">
        <f t="shared" si="69"/>
        <v>5.2903427012668987</v>
      </c>
    </row>
    <row r="862" spans="1:12" x14ac:dyDescent="0.3">
      <c r="A862">
        <v>4.8</v>
      </c>
      <c r="B862">
        <v>5.2</v>
      </c>
      <c r="C862">
        <v>5.3147877013177176</v>
      </c>
      <c r="D862">
        <v>5.4679355783308887</v>
      </c>
      <c r="E862">
        <f t="shared" si="65"/>
        <v>0.13792994047019144</v>
      </c>
      <c r="F862">
        <f t="shared" si="66"/>
        <v>0.26500637742797983</v>
      </c>
      <c r="G862">
        <f t="shared" si="67"/>
        <v>7.1789474135507708E-2</v>
      </c>
      <c r="H862">
        <v>177.90128843338192</v>
      </c>
      <c r="I862">
        <v>162.98770131771641</v>
      </c>
      <c r="J862">
        <v>242.63557833089328</v>
      </c>
      <c r="K862">
        <f t="shared" si="68"/>
        <v>5.032171215215361</v>
      </c>
      <c r="L862">
        <f t="shared" si="69"/>
        <v>5.1576996662883605</v>
      </c>
    </row>
    <row r="863" spans="1:12" x14ac:dyDescent="0.3">
      <c r="A863">
        <v>5.3</v>
      </c>
      <c r="B863">
        <v>5.5</v>
      </c>
      <c r="C863">
        <v>5.3147877013177176</v>
      </c>
      <c r="D863">
        <v>5.4679355783308887</v>
      </c>
      <c r="E863">
        <f t="shared" si="65"/>
        <v>-4.7415909056817545E-4</v>
      </c>
      <c r="F863">
        <f t="shared" si="66"/>
        <v>2.1867611026203226E-4</v>
      </c>
      <c r="G863">
        <f t="shared" si="67"/>
        <v>1.0281271369745727E-3</v>
      </c>
      <c r="H863">
        <v>177.90128843338192</v>
      </c>
      <c r="I863">
        <v>162.98770131771641</v>
      </c>
      <c r="J863">
        <v>242.63557833089328</v>
      </c>
      <c r="K863">
        <f t="shared" si="68"/>
        <v>5.3377345524404198</v>
      </c>
      <c r="L863">
        <f t="shared" si="69"/>
        <v>5.4931249696082753</v>
      </c>
    </row>
    <row r="864" spans="1:12" x14ac:dyDescent="0.3">
      <c r="A864">
        <v>5.0999999999999996</v>
      </c>
      <c r="B864">
        <v>5.2</v>
      </c>
      <c r="C864">
        <v>5.3147877013177176</v>
      </c>
      <c r="D864">
        <v>5.4679355783308887</v>
      </c>
      <c r="E864">
        <f t="shared" si="65"/>
        <v>5.7549266970924912E-2</v>
      </c>
      <c r="F864">
        <f t="shared" si="66"/>
        <v>4.613375663734922E-2</v>
      </c>
      <c r="G864">
        <f t="shared" si="67"/>
        <v>7.1789474135507708E-2</v>
      </c>
      <c r="H864">
        <v>177.90128843338192</v>
      </c>
      <c r="I864">
        <v>162.98770131771641</v>
      </c>
      <c r="J864">
        <v>242.63557833089328</v>
      </c>
      <c r="K864">
        <f t="shared" si="68"/>
        <v>5.0748756639150701</v>
      </c>
      <c r="L864">
        <f t="shared" si="69"/>
        <v>5.2045775175001356</v>
      </c>
    </row>
    <row r="865" spans="1:12" x14ac:dyDescent="0.3">
      <c r="A865">
        <v>5</v>
      </c>
      <c r="B865">
        <v>5.0999999999999996</v>
      </c>
      <c r="C865">
        <v>5.3147877013177176</v>
      </c>
      <c r="D865">
        <v>5.4679355783308887</v>
      </c>
      <c r="E865">
        <f t="shared" si="65"/>
        <v>0.1158215949357856</v>
      </c>
      <c r="F865">
        <f t="shared" si="66"/>
        <v>9.9091296900892592E-2</v>
      </c>
      <c r="G865">
        <f t="shared" si="67"/>
        <v>0.13537658980168582</v>
      </c>
      <c r="H865">
        <v>177.90128843338192</v>
      </c>
      <c r="I865">
        <v>162.98770131771641</v>
      </c>
      <c r="J865">
        <v>242.63557833089328</v>
      </c>
      <c r="K865">
        <f t="shared" si="68"/>
        <v>4.9825110956622076</v>
      </c>
      <c r="L865">
        <f t="shared" si="69"/>
        <v>5.1031863833294464</v>
      </c>
    </row>
    <row r="866" spans="1:12" x14ac:dyDescent="0.3">
      <c r="A866">
        <v>5.8</v>
      </c>
      <c r="B866">
        <v>6</v>
      </c>
      <c r="C866">
        <v>5.3147877013177176</v>
      </c>
      <c r="D866">
        <v>5.4679355783308887</v>
      </c>
      <c r="E866">
        <f t="shared" si="65"/>
        <v>0.25816420108512855</v>
      </c>
      <c r="F866">
        <f t="shared" si="66"/>
        <v>0.23543097479254424</v>
      </c>
      <c r="G866">
        <f t="shared" si="67"/>
        <v>0.28309254880608586</v>
      </c>
      <c r="H866">
        <v>177.90128843338192</v>
      </c>
      <c r="I866">
        <v>162.98770131771641</v>
      </c>
      <c r="J866">
        <v>242.63557833089328</v>
      </c>
      <c r="K866">
        <f t="shared" si="68"/>
        <v>5.799557393704732</v>
      </c>
      <c r="L866">
        <f t="shared" si="69"/>
        <v>6.000080640461718</v>
      </c>
    </row>
    <row r="867" spans="1:12" x14ac:dyDescent="0.3">
      <c r="A867">
        <v>5.8</v>
      </c>
      <c r="B867">
        <v>5.6</v>
      </c>
      <c r="C867">
        <v>5.3147877013177176</v>
      </c>
      <c r="D867">
        <v>5.4679355783308887</v>
      </c>
      <c r="E867">
        <f t="shared" si="65"/>
        <v>6.4079281612215516E-2</v>
      </c>
      <c r="F867">
        <f t="shared" si="66"/>
        <v>0.23543097479254424</v>
      </c>
      <c r="G867">
        <f t="shared" si="67"/>
        <v>1.7441011470796734E-2</v>
      </c>
      <c r="H867">
        <v>177.90128843338192</v>
      </c>
      <c r="I867">
        <v>162.98770131771641</v>
      </c>
      <c r="J867">
        <v>242.63557833089328</v>
      </c>
      <c r="K867">
        <f t="shared" si="68"/>
        <v>5.4870383856262288</v>
      </c>
      <c r="L867">
        <f t="shared" si="69"/>
        <v>5.6570199053946641</v>
      </c>
    </row>
    <row r="868" spans="1:12" x14ac:dyDescent="0.3">
      <c r="A868">
        <v>5.4</v>
      </c>
      <c r="B868">
        <v>5.8</v>
      </c>
      <c r="C868">
        <v>5.3147877013177176</v>
      </c>
      <c r="D868">
        <v>5.4679355783308887</v>
      </c>
      <c r="E868">
        <f t="shared" si="65"/>
        <v>2.8295972681027778E-2</v>
      </c>
      <c r="F868">
        <f t="shared" si="66"/>
        <v>7.2611358467185661E-3</v>
      </c>
      <c r="G868">
        <f t="shared" si="67"/>
        <v>0.11026678013844123</v>
      </c>
      <c r="H868">
        <v>177.90128843338192</v>
      </c>
      <c r="I868">
        <v>162.98770131771641</v>
      </c>
      <c r="J868">
        <v>242.63557833089328</v>
      </c>
      <c r="K868">
        <f t="shared" si="68"/>
        <v>5.5863586247325339</v>
      </c>
      <c r="L868">
        <f t="shared" si="69"/>
        <v>5.7660464713124906</v>
      </c>
    </row>
    <row r="869" spans="1:12" x14ac:dyDescent="0.3">
      <c r="A869">
        <v>5.8</v>
      </c>
      <c r="B869">
        <v>5.8</v>
      </c>
      <c r="C869">
        <v>5.3147877013177176</v>
      </c>
      <c r="D869">
        <v>5.4679355783308887</v>
      </c>
      <c r="E869">
        <f t="shared" si="65"/>
        <v>0.16112174134867205</v>
      </c>
      <c r="F869">
        <f t="shared" si="66"/>
        <v>0.23543097479254424</v>
      </c>
      <c r="G869">
        <f t="shared" si="67"/>
        <v>0.11026678013844123</v>
      </c>
      <c r="H869">
        <v>177.90128843338192</v>
      </c>
      <c r="I869">
        <v>162.98770131771641</v>
      </c>
      <c r="J869">
        <v>242.63557833089328</v>
      </c>
      <c r="K869">
        <f t="shared" si="68"/>
        <v>5.6432978896654804</v>
      </c>
      <c r="L869">
        <f t="shared" si="69"/>
        <v>5.8285502729281911</v>
      </c>
    </row>
    <row r="870" spans="1:12" x14ac:dyDescent="0.3">
      <c r="A870">
        <v>5.3</v>
      </c>
      <c r="B870">
        <v>5.0999999999999996</v>
      </c>
      <c r="C870">
        <v>5.3147877013177176</v>
      </c>
      <c r="D870">
        <v>5.4679355783308887</v>
      </c>
      <c r="E870">
        <f t="shared" si="65"/>
        <v>5.440921436518943E-3</v>
      </c>
      <c r="F870">
        <f t="shared" si="66"/>
        <v>2.1867611026203226E-4</v>
      </c>
      <c r="G870">
        <f t="shared" si="67"/>
        <v>0.13537658980168582</v>
      </c>
      <c r="H870">
        <v>177.90128843338192</v>
      </c>
      <c r="I870">
        <v>162.98770131771641</v>
      </c>
      <c r="J870">
        <v>242.63557833089328</v>
      </c>
      <c r="K870">
        <f t="shared" si="68"/>
        <v>5.0252155443619166</v>
      </c>
      <c r="L870">
        <f t="shared" si="69"/>
        <v>5.1500642345412215</v>
      </c>
    </row>
    <row r="871" spans="1:12" x14ac:dyDescent="0.3">
      <c r="A871">
        <v>5.0999999999999996</v>
      </c>
      <c r="B871">
        <v>5.0999999999999996</v>
      </c>
      <c r="C871">
        <v>5.3147877013177176</v>
      </c>
      <c r="D871">
        <v>5.4679355783308887</v>
      </c>
      <c r="E871">
        <f t="shared" si="65"/>
        <v>7.9028037102696819E-2</v>
      </c>
      <c r="F871">
        <f t="shared" si="66"/>
        <v>4.613375663734922E-2</v>
      </c>
      <c r="G871">
        <f t="shared" si="67"/>
        <v>0.13537658980168582</v>
      </c>
      <c r="H871">
        <v>177.90128843338192</v>
      </c>
      <c r="I871">
        <v>162.98770131771641</v>
      </c>
      <c r="J871">
        <v>242.63557833089328</v>
      </c>
      <c r="K871">
        <f t="shared" si="68"/>
        <v>4.9967459118954443</v>
      </c>
      <c r="L871">
        <f t="shared" si="69"/>
        <v>5.1188123337333717</v>
      </c>
    </row>
    <row r="872" spans="1:12" x14ac:dyDescent="0.3">
      <c r="A872">
        <v>5.2</v>
      </c>
      <c r="B872">
        <v>5.3</v>
      </c>
      <c r="C872">
        <v>5.3147877013177176</v>
      </c>
      <c r="D872">
        <v>5.4679355783308887</v>
      </c>
      <c r="E872">
        <f t="shared" si="65"/>
        <v>1.9276939006064215E-2</v>
      </c>
      <c r="F872">
        <f t="shared" si="66"/>
        <v>1.3176216373805507E-2</v>
      </c>
      <c r="G872">
        <f t="shared" si="67"/>
        <v>2.8202358469330124E-2</v>
      </c>
      <c r="H872">
        <v>177.90128843338192</v>
      </c>
      <c r="I872">
        <v>162.98770131771641</v>
      </c>
      <c r="J872">
        <v>242.63557833089328</v>
      </c>
      <c r="K872">
        <f t="shared" si="68"/>
        <v>5.1672402321679325</v>
      </c>
      <c r="L872">
        <f t="shared" si="69"/>
        <v>5.305968651670824</v>
      </c>
    </row>
    <row r="873" spans="1:12" x14ac:dyDescent="0.3">
      <c r="A873">
        <v>5.3</v>
      </c>
      <c r="B873">
        <v>5.4</v>
      </c>
      <c r="C873">
        <v>5.3147877013177176</v>
      </c>
      <c r="D873">
        <v>5.4679355783308887</v>
      </c>
      <c r="E873">
        <f t="shared" si="65"/>
        <v>1.0046110412035977E-3</v>
      </c>
      <c r="F873">
        <f t="shared" si="66"/>
        <v>2.1867611026203226E-4</v>
      </c>
      <c r="G873">
        <f t="shared" si="67"/>
        <v>4.615242803152269E-3</v>
      </c>
      <c r="H873">
        <v>177.90128843338192</v>
      </c>
      <c r="I873">
        <v>162.98770131771641</v>
      </c>
      <c r="J873">
        <v>242.63557833089328</v>
      </c>
      <c r="K873">
        <f t="shared" si="68"/>
        <v>5.2596048004207958</v>
      </c>
      <c r="L873">
        <f t="shared" si="69"/>
        <v>5.4073597858415132</v>
      </c>
    </row>
    <row r="874" spans="1:12" x14ac:dyDescent="0.3">
      <c r="A874">
        <v>5.2</v>
      </c>
      <c r="B874">
        <v>5.2</v>
      </c>
      <c r="C874">
        <v>5.3147877013177176</v>
      </c>
      <c r="D874">
        <v>5.4679355783308887</v>
      </c>
      <c r="E874">
        <f t="shared" si="65"/>
        <v>3.0755709137835915E-2</v>
      </c>
      <c r="F874">
        <f t="shared" si="66"/>
        <v>1.3176216373805507E-2</v>
      </c>
      <c r="G874">
        <f t="shared" si="67"/>
        <v>7.1789474135507708E-2</v>
      </c>
      <c r="H874">
        <v>177.90128843338192</v>
      </c>
      <c r="I874">
        <v>162.98770131771641</v>
      </c>
      <c r="J874">
        <v>242.63557833089328</v>
      </c>
      <c r="K874">
        <f t="shared" si="68"/>
        <v>5.0891104801483067</v>
      </c>
      <c r="L874">
        <f t="shared" si="69"/>
        <v>5.2202034679040601</v>
      </c>
    </row>
    <row r="875" spans="1:12" x14ac:dyDescent="0.3">
      <c r="A875">
        <v>5.5</v>
      </c>
      <c r="B875">
        <v>5.6</v>
      </c>
      <c r="C875">
        <v>5.3147877013177176</v>
      </c>
      <c r="D875">
        <v>5.4679355783308887</v>
      </c>
      <c r="E875">
        <f t="shared" si="65"/>
        <v>2.4459955111482259E-2</v>
      </c>
      <c r="F875">
        <f t="shared" si="66"/>
        <v>3.4303595583174987E-2</v>
      </c>
      <c r="G875">
        <f t="shared" si="67"/>
        <v>1.7441011470796734E-2</v>
      </c>
      <c r="H875">
        <v>177.90128843338192</v>
      </c>
      <c r="I875">
        <v>162.98770131771641</v>
      </c>
      <c r="J875">
        <v>242.63557833089328</v>
      </c>
      <c r="K875">
        <f t="shared" si="68"/>
        <v>5.4443339369265189</v>
      </c>
      <c r="L875">
        <f t="shared" si="69"/>
        <v>5.610142054182889</v>
      </c>
    </row>
    <row r="876" spans="1:12" x14ac:dyDescent="0.3">
      <c r="A876">
        <v>5.4</v>
      </c>
      <c r="B876">
        <v>5.3</v>
      </c>
      <c r="C876">
        <v>5.3147877013177176</v>
      </c>
      <c r="D876">
        <v>5.4679355783308887</v>
      </c>
      <c r="E876">
        <f t="shared" si="65"/>
        <v>-1.4310176660113597E-2</v>
      </c>
      <c r="F876">
        <f t="shared" si="66"/>
        <v>7.2611358467185661E-3</v>
      </c>
      <c r="G876">
        <f t="shared" si="67"/>
        <v>2.8202358469330124E-2</v>
      </c>
      <c r="H876">
        <v>177.90128843338192</v>
      </c>
      <c r="I876">
        <v>162.98770131771641</v>
      </c>
      <c r="J876">
        <v>242.63557833089328</v>
      </c>
      <c r="K876">
        <f t="shared" si="68"/>
        <v>5.1957098646344058</v>
      </c>
      <c r="L876">
        <f t="shared" si="69"/>
        <v>5.3372205524786747</v>
      </c>
    </row>
    <row r="877" spans="1:12" x14ac:dyDescent="0.3">
      <c r="A877">
        <v>5.7</v>
      </c>
      <c r="B877">
        <v>6.1</v>
      </c>
      <c r="C877">
        <v>5.3147877013177176</v>
      </c>
      <c r="D877">
        <v>5.4679355783308887</v>
      </c>
      <c r="E877">
        <f t="shared" si="65"/>
        <v>0.24347898878644575</v>
      </c>
      <c r="F877">
        <f t="shared" si="66"/>
        <v>0.14838851505608808</v>
      </c>
      <c r="G877">
        <f t="shared" si="67"/>
        <v>0.39950543313990766</v>
      </c>
      <c r="H877">
        <v>177.90128843338192</v>
      </c>
      <c r="I877">
        <v>162.98770131771641</v>
      </c>
      <c r="J877">
        <v>242.63557833089328</v>
      </c>
      <c r="K877">
        <f t="shared" si="68"/>
        <v>5.8634523294911212</v>
      </c>
      <c r="L877">
        <f t="shared" si="69"/>
        <v>6.0702198738245565</v>
      </c>
    </row>
    <row r="878" spans="1:12" x14ac:dyDescent="0.3">
      <c r="A878">
        <v>4.9000000000000004</v>
      </c>
      <c r="B878">
        <v>4.9000000000000004</v>
      </c>
      <c r="C878">
        <v>5.3147877013177176</v>
      </c>
      <c r="D878">
        <v>5.4679355783308887</v>
      </c>
      <c r="E878">
        <f t="shared" si="65"/>
        <v>0.23557269303241754</v>
      </c>
      <c r="F878">
        <f t="shared" si="66"/>
        <v>0.17204883716443581</v>
      </c>
      <c r="G878">
        <f t="shared" si="67"/>
        <v>0.32255082113404066</v>
      </c>
      <c r="H878">
        <v>177.90128843338192</v>
      </c>
      <c r="I878">
        <v>162.98770131771641</v>
      </c>
      <c r="J878">
        <v>242.63557833089328</v>
      </c>
      <c r="K878">
        <f t="shared" si="68"/>
        <v>4.8120167753897203</v>
      </c>
      <c r="L878">
        <f t="shared" si="69"/>
        <v>4.9160300653919959</v>
      </c>
    </row>
    <row r="879" spans="1:12" x14ac:dyDescent="0.3">
      <c r="A879">
        <v>5.8</v>
      </c>
      <c r="B879">
        <v>6</v>
      </c>
      <c r="C879">
        <v>5.3147877013177176</v>
      </c>
      <c r="D879">
        <v>5.4679355783308887</v>
      </c>
      <c r="E879">
        <f t="shared" si="65"/>
        <v>0.25816420108512855</v>
      </c>
      <c r="F879">
        <f t="shared" si="66"/>
        <v>0.23543097479254424</v>
      </c>
      <c r="G879">
        <f t="shared" si="67"/>
        <v>0.28309254880608586</v>
      </c>
      <c r="H879">
        <v>177.90128843338192</v>
      </c>
      <c r="I879">
        <v>162.98770131771641</v>
      </c>
      <c r="J879">
        <v>242.63557833089328</v>
      </c>
      <c r="K879">
        <f t="shared" si="68"/>
        <v>5.799557393704732</v>
      </c>
      <c r="L879">
        <f t="shared" si="69"/>
        <v>6.000080640461718</v>
      </c>
    </row>
    <row r="880" spans="1:12" x14ac:dyDescent="0.3">
      <c r="A880">
        <v>5.5</v>
      </c>
      <c r="B880">
        <v>5.4</v>
      </c>
      <c r="C880">
        <v>5.3147877013177176</v>
      </c>
      <c r="D880">
        <v>5.4679355783308887</v>
      </c>
      <c r="E880">
        <f t="shared" si="65"/>
        <v>-1.2582504624974088E-2</v>
      </c>
      <c r="F880">
        <f t="shared" si="66"/>
        <v>3.4303595583174987E-2</v>
      </c>
      <c r="G880">
        <f t="shared" si="67"/>
        <v>4.615242803152269E-3</v>
      </c>
      <c r="H880">
        <v>177.90128843338192</v>
      </c>
      <c r="I880">
        <v>162.98770131771641</v>
      </c>
      <c r="J880">
        <v>242.63557833089328</v>
      </c>
      <c r="K880">
        <f t="shared" si="68"/>
        <v>5.2880744328872682</v>
      </c>
      <c r="L880">
        <f t="shared" si="69"/>
        <v>5.438611686649363</v>
      </c>
    </row>
    <row r="881" spans="1:12" x14ac:dyDescent="0.3">
      <c r="A881">
        <v>5.6</v>
      </c>
      <c r="B881">
        <v>6.1</v>
      </c>
      <c r="C881">
        <v>5.3147877013177176</v>
      </c>
      <c r="D881">
        <v>5.4679355783308887</v>
      </c>
      <c r="E881">
        <f t="shared" si="65"/>
        <v>0.18027254661953432</v>
      </c>
      <c r="F881">
        <f t="shared" si="66"/>
        <v>8.1346055319631266E-2</v>
      </c>
      <c r="G881">
        <f t="shared" si="67"/>
        <v>0.39950543313990766</v>
      </c>
      <c r="H881">
        <v>177.90128843338192</v>
      </c>
      <c r="I881">
        <v>162.98770131771641</v>
      </c>
      <c r="J881">
        <v>242.63557833089328</v>
      </c>
      <c r="K881">
        <f t="shared" si="68"/>
        <v>5.8492175132578836</v>
      </c>
      <c r="L881">
        <f t="shared" si="69"/>
        <v>6.0545939234206303</v>
      </c>
    </row>
    <row r="882" spans="1:12" x14ac:dyDescent="0.3">
      <c r="A882">
        <v>6.2</v>
      </c>
      <c r="B882">
        <v>6</v>
      </c>
      <c r="C882">
        <v>5.3147877013177176</v>
      </c>
      <c r="D882">
        <v>5.4679355783308887</v>
      </c>
      <c r="E882">
        <f t="shared" si="65"/>
        <v>0.4709899697527733</v>
      </c>
      <c r="F882">
        <f t="shared" si="66"/>
        <v>0.78360081373837065</v>
      </c>
      <c r="G882">
        <f t="shared" si="67"/>
        <v>0.28309254880608586</v>
      </c>
      <c r="H882">
        <v>177.90128843338192</v>
      </c>
      <c r="I882">
        <v>162.98770131771641</v>
      </c>
      <c r="J882">
        <v>242.63557833089328</v>
      </c>
      <c r="K882">
        <f t="shared" si="68"/>
        <v>5.8564966586376794</v>
      </c>
      <c r="L882">
        <f t="shared" si="69"/>
        <v>6.0625844420774202</v>
      </c>
    </row>
    <row r="883" spans="1:12" x14ac:dyDescent="0.3">
      <c r="A883">
        <v>5.0999999999999996</v>
      </c>
      <c r="B883">
        <v>5.0999999999999996</v>
      </c>
      <c r="C883">
        <v>5.3147877013177176</v>
      </c>
      <c r="D883">
        <v>5.4679355783308887</v>
      </c>
      <c r="E883">
        <f t="shared" si="65"/>
        <v>7.9028037102696819E-2</v>
      </c>
      <c r="F883">
        <f t="shared" si="66"/>
        <v>4.613375663734922E-2</v>
      </c>
      <c r="G883">
        <f t="shared" si="67"/>
        <v>0.13537658980168582</v>
      </c>
      <c r="H883">
        <v>177.90128843338192</v>
      </c>
      <c r="I883">
        <v>162.98770131771641</v>
      </c>
      <c r="J883">
        <v>242.63557833089328</v>
      </c>
      <c r="K883">
        <f t="shared" si="68"/>
        <v>4.9967459118954443</v>
      </c>
      <c r="L883">
        <f t="shared" si="69"/>
        <v>5.1188123337333717</v>
      </c>
    </row>
    <row r="884" spans="1:12" x14ac:dyDescent="0.3">
      <c r="A884">
        <v>4.9000000000000004</v>
      </c>
      <c r="B884">
        <v>5.2</v>
      </c>
      <c r="C884">
        <v>5.3147877013177176</v>
      </c>
      <c r="D884">
        <v>5.4679355783308887</v>
      </c>
      <c r="E884">
        <f t="shared" si="65"/>
        <v>0.11113638263710243</v>
      </c>
      <c r="F884">
        <f t="shared" si="66"/>
        <v>0.17204883716443581</v>
      </c>
      <c r="G884">
        <f t="shared" si="67"/>
        <v>7.1789474135507708E-2</v>
      </c>
      <c r="H884">
        <v>177.90128843338192</v>
      </c>
      <c r="I884">
        <v>162.98770131771641</v>
      </c>
      <c r="J884">
        <v>242.63557833089328</v>
      </c>
      <c r="K884">
        <f t="shared" si="68"/>
        <v>5.0464060314485977</v>
      </c>
      <c r="L884">
        <f t="shared" si="69"/>
        <v>5.1733256166922859</v>
      </c>
    </row>
    <row r="885" spans="1:12" x14ac:dyDescent="0.3">
      <c r="A885">
        <v>5.8</v>
      </c>
      <c r="B885">
        <v>5.9</v>
      </c>
      <c r="C885">
        <v>5.3147877013177176</v>
      </c>
      <c r="D885">
        <v>5.4679355783308887</v>
      </c>
      <c r="E885">
        <f t="shared" si="65"/>
        <v>0.20964297121690051</v>
      </c>
      <c r="F885">
        <f t="shared" si="66"/>
        <v>0.23543097479254424</v>
      </c>
      <c r="G885">
        <f t="shared" si="67"/>
        <v>0.18667966447226389</v>
      </c>
      <c r="H885">
        <v>177.90128843338192</v>
      </c>
      <c r="I885">
        <v>162.98770131771641</v>
      </c>
      <c r="J885">
        <v>242.63557833089328</v>
      </c>
      <c r="K885">
        <f t="shared" si="68"/>
        <v>5.7214276416851062</v>
      </c>
      <c r="L885">
        <f t="shared" si="69"/>
        <v>5.914315456694955</v>
      </c>
    </row>
    <row r="886" spans="1:12" x14ac:dyDescent="0.3">
      <c r="A886">
        <v>5.8</v>
      </c>
      <c r="B886">
        <v>5.5</v>
      </c>
      <c r="C886">
        <v>5.3147877013177176</v>
      </c>
      <c r="D886">
        <v>5.4679355783308887</v>
      </c>
      <c r="E886">
        <f t="shared" si="65"/>
        <v>1.5558051743987462E-2</v>
      </c>
      <c r="F886">
        <f t="shared" si="66"/>
        <v>0.23543097479254424</v>
      </c>
      <c r="G886">
        <f t="shared" si="67"/>
        <v>1.0281271369745727E-3</v>
      </c>
      <c r="H886">
        <v>177.90128843338192</v>
      </c>
      <c r="I886">
        <v>162.98770131771641</v>
      </c>
      <c r="J886">
        <v>242.63557833089328</v>
      </c>
      <c r="K886">
        <f t="shared" si="68"/>
        <v>5.4089086336066039</v>
      </c>
      <c r="L886">
        <f t="shared" si="69"/>
        <v>5.571254721627902</v>
      </c>
    </row>
    <row r="887" spans="1:12" x14ac:dyDescent="0.3">
      <c r="A887">
        <v>5</v>
      </c>
      <c r="B887">
        <v>5.5</v>
      </c>
      <c r="C887">
        <v>5.3147877013177176</v>
      </c>
      <c r="D887">
        <v>5.4679355783308887</v>
      </c>
      <c r="E887">
        <f t="shared" si="65"/>
        <v>-1.0093485591301552E-2</v>
      </c>
      <c r="F887">
        <f t="shared" si="66"/>
        <v>9.9091296900892592E-2</v>
      </c>
      <c r="G887">
        <f t="shared" si="67"/>
        <v>1.0281271369745727E-3</v>
      </c>
      <c r="H887">
        <v>177.90128843338192</v>
      </c>
      <c r="I887">
        <v>162.98770131771641</v>
      </c>
      <c r="J887">
        <v>242.63557833089328</v>
      </c>
      <c r="K887">
        <f t="shared" si="68"/>
        <v>5.2950301037407108</v>
      </c>
      <c r="L887">
        <f t="shared" si="69"/>
        <v>5.4462471183965002</v>
      </c>
    </row>
    <row r="888" spans="1:12" x14ac:dyDescent="0.3">
      <c r="A888">
        <v>5.2</v>
      </c>
      <c r="B888">
        <v>5.2</v>
      </c>
      <c r="C888">
        <v>5.3147877013177176</v>
      </c>
      <c r="D888">
        <v>5.4679355783308887</v>
      </c>
      <c r="E888">
        <f t="shared" si="65"/>
        <v>3.0755709137835915E-2</v>
      </c>
      <c r="F888">
        <f t="shared" si="66"/>
        <v>1.3176216373805507E-2</v>
      </c>
      <c r="G888">
        <f t="shared" si="67"/>
        <v>7.1789474135507708E-2</v>
      </c>
      <c r="H888">
        <v>177.90128843338192</v>
      </c>
      <c r="I888">
        <v>162.98770131771641</v>
      </c>
      <c r="J888">
        <v>242.63557833089328</v>
      </c>
      <c r="K888">
        <f t="shared" si="68"/>
        <v>5.0891104801483067</v>
      </c>
      <c r="L888">
        <f t="shared" si="69"/>
        <v>5.2202034679040601</v>
      </c>
    </row>
    <row r="889" spans="1:12" x14ac:dyDescent="0.3">
      <c r="A889">
        <v>5.4</v>
      </c>
      <c r="B889">
        <v>5.8</v>
      </c>
      <c r="C889">
        <v>5.3147877013177176</v>
      </c>
      <c r="D889">
        <v>5.4679355783308887</v>
      </c>
      <c r="E889">
        <f t="shared" si="65"/>
        <v>2.8295972681027778E-2</v>
      </c>
      <c r="F889">
        <f t="shared" si="66"/>
        <v>7.2611358467185661E-3</v>
      </c>
      <c r="G889">
        <f t="shared" si="67"/>
        <v>0.11026678013844123</v>
      </c>
      <c r="H889">
        <v>177.90128843338192</v>
      </c>
      <c r="I889">
        <v>162.98770131771641</v>
      </c>
      <c r="J889">
        <v>242.63557833089328</v>
      </c>
      <c r="K889">
        <f t="shared" si="68"/>
        <v>5.5863586247325339</v>
      </c>
      <c r="L889">
        <f t="shared" si="69"/>
        <v>5.7660464713124906</v>
      </c>
    </row>
    <row r="890" spans="1:12" x14ac:dyDescent="0.3">
      <c r="A890">
        <v>4.9000000000000004</v>
      </c>
      <c r="B890">
        <v>5.0999999999999996</v>
      </c>
      <c r="C890">
        <v>5.3147877013177176</v>
      </c>
      <c r="D890">
        <v>5.4679355783308887</v>
      </c>
      <c r="E890">
        <f t="shared" si="65"/>
        <v>0.15261515276887438</v>
      </c>
      <c r="F890">
        <f t="shared" si="66"/>
        <v>0.17204883716443581</v>
      </c>
      <c r="G890">
        <f t="shared" si="67"/>
        <v>0.13537658980168582</v>
      </c>
      <c r="H890">
        <v>177.90128843338192</v>
      </c>
      <c r="I890">
        <v>162.98770131771641</v>
      </c>
      <c r="J890">
        <v>242.63557833089328</v>
      </c>
      <c r="K890">
        <f t="shared" si="68"/>
        <v>4.968276279428971</v>
      </c>
      <c r="L890">
        <f t="shared" si="69"/>
        <v>5.0875604329255211</v>
      </c>
    </row>
    <row r="891" spans="1:12" x14ac:dyDescent="0.3">
      <c r="A891">
        <v>5.3</v>
      </c>
      <c r="B891">
        <v>5.0999999999999996</v>
      </c>
      <c r="C891">
        <v>5.3147877013177176</v>
      </c>
      <c r="D891">
        <v>5.4679355783308887</v>
      </c>
      <c r="E891">
        <f t="shared" si="65"/>
        <v>5.440921436518943E-3</v>
      </c>
      <c r="F891">
        <f t="shared" si="66"/>
        <v>2.1867611026203226E-4</v>
      </c>
      <c r="G891">
        <f t="shared" si="67"/>
        <v>0.13537658980168582</v>
      </c>
      <c r="H891">
        <v>177.90128843338192</v>
      </c>
      <c r="I891">
        <v>162.98770131771641</v>
      </c>
      <c r="J891">
        <v>242.63557833089328</v>
      </c>
      <c r="K891">
        <f t="shared" si="68"/>
        <v>5.0252155443619166</v>
      </c>
      <c r="L891">
        <f t="shared" si="69"/>
        <v>5.1500642345412215</v>
      </c>
    </row>
    <row r="892" spans="1:12" x14ac:dyDescent="0.3">
      <c r="A892">
        <v>5</v>
      </c>
      <c r="B892">
        <v>5.2</v>
      </c>
      <c r="C892">
        <v>5.3147877013177176</v>
      </c>
      <c r="D892">
        <v>5.4679355783308887</v>
      </c>
      <c r="E892">
        <f t="shared" si="65"/>
        <v>8.4342824804013672E-2</v>
      </c>
      <c r="F892">
        <f t="shared" si="66"/>
        <v>9.9091296900892592E-2</v>
      </c>
      <c r="G892">
        <f t="shared" si="67"/>
        <v>7.1789474135507708E-2</v>
      </c>
      <c r="H892">
        <v>177.90128843338192</v>
      </c>
      <c r="I892">
        <v>162.98770131771641</v>
      </c>
      <c r="J892">
        <v>242.63557833089328</v>
      </c>
      <c r="K892">
        <f t="shared" si="68"/>
        <v>5.0606408476818334</v>
      </c>
      <c r="L892">
        <f t="shared" si="69"/>
        <v>5.1889515670962103</v>
      </c>
    </row>
    <row r="893" spans="1:12" x14ac:dyDescent="0.3">
      <c r="A893">
        <v>5.0999999999999996</v>
      </c>
      <c r="B893">
        <v>5.0999999999999996</v>
      </c>
      <c r="C893">
        <v>5.3147877013177176</v>
      </c>
      <c r="D893">
        <v>5.4679355783308887</v>
      </c>
      <c r="E893">
        <f t="shared" si="65"/>
        <v>7.9028037102696819E-2</v>
      </c>
      <c r="F893">
        <f t="shared" si="66"/>
        <v>4.613375663734922E-2</v>
      </c>
      <c r="G893">
        <f t="shared" si="67"/>
        <v>0.13537658980168582</v>
      </c>
      <c r="H893">
        <v>177.90128843338192</v>
      </c>
      <c r="I893">
        <v>162.98770131771641</v>
      </c>
      <c r="J893">
        <v>242.63557833089328</v>
      </c>
      <c r="K893">
        <f t="shared" si="68"/>
        <v>4.9967459118954443</v>
      </c>
      <c r="L893">
        <f t="shared" si="69"/>
        <v>5.1188123337333717</v>
      </c>
    </row>
    <row r="894" spans="1:12" x14ac:dyDescent="0.3">
      <c r="A894">
        <v>6</v>
      </c>
      <c r="B894">
        <v>6.4</v>
      </c>
      <c r="C894">
        <v>5.3147877013177176</v>
      </c>
      <c r="D894">
        <v>5.4679355783308887</v>
      </c>
      <c r="E894">
        <f t="shared" si="65"/>
        <v>0.63866200489186409</v>
      </c>
      <c r="F894">
        <f t="shared" si="66"/>
        <v>0.46951589426545737</v>
      </c>
      <c r="G894">
        <f t="shared" si="67"/>
        <v>0.86874408614137555</v>
      </c>
      <c r="H894">
        <v>177.90128843338192</v>
      </c>
      <c r="I894">
        <v>162.98770131771641</v>
      </c>
      <c r="J894">
        <v>242.63557833089328</v>
      </c>
      <c r="K894">
        <f t="shared" si="68"/>
        <v>6.1405460342497094</v>
      </c>
      <c r="L894">
        <f t="shared" si="69"/>
        <v>6.3743932763366233</v>
      </c>
    </row>
    <row r="895" spans="1:12" x14ac:dyDescent="0.3">
      <c r="A895">
        <v>5.4</v>
      </c>
      <c r="B895">
        <v>5.4</v>
      </c>
      <c r="C895">
        <v>5.3147877013177176</v>
      </c>
      <c r="D895">
        <v>5.4679355783308887</v>
      </c>
      <c r="E895">
        <f t="shared" si="65"/>
        <v>-5.7889467918852758E-3</v>
      </c>
      <c r="F895">
        <f t="shared" si="66"/>
        <v>7.2611358467185661E-3</v>
      </c>
      <c r="G895">
        <f t="shared" si="67"/>
        <v>4.615242803152269E-3</v>
      </c>
      <c r="H895">
        <v>177.90128843338192</v>
      </c>
      <c r="I895">
        <v>162.98770131771641</v>
      </c>
      <c r="J895">
        <v>242.63557833089328</v>
      </c>
      <c r="K895">
        <f t="shared" si="68"/>
        <v>5.2738396166540316</v>
      </c>
      <c r="L895">
        <f t="shared" si="69"/>
        <v>5.4229857362454377</v>
      </c>
    </row>
    <row r="896" spans="1:12" x14ac:dyDescent="0.3">
      <c r="A896">
        <v>5</v>
      </c>
      <c r="B896">
        <v>5.3</v>
      </c>
      <c r="C896">
        <v>5.3147877013177176</v>
      </c>
      <c r="D896">
        <v>5.4679355783308887</v>
      </c>
      <c r="E896">
        <f t="shared" si="65"/>
        <v>5.2864054672242027E-2</v>
      </c>
      <c r="F896">
        <f t="shared" si="66"/>
        <v>9.9091296900892592E-2</v>
      </c>
      <c r="G896">
        <f t="shared" si="67"/>
        <v>2.8202358469330124E-2</v>
      </c>
      <c r="H896">
        <v>177.90128843338192</v>
      </c>
      <c r="I896">
        <v>162.98770131771641</v>
      </c>
      <c r="J896">
        <v>242.63557833089328</v>
      </c>
      <c r="K896">
        <f t="shared" si="68"/>
        <v>5.1387705997014592</v>
      </c>
      <c r="L896">
        <f t="shared" si="69"/>
        <v>5.2747167508629733</v>
      </c>
    </row>
    <row r="897" spans="1:12" x14ac:dyDescent="0.3">
      <c r="A897">
        <v>6.1</v>
      </c>
      <c r="B897">
        <v>6.6</v>
      </c>
      <c r="C897">
        <v>5.3147877013177176</v>
      </c>
      <c r="D897">
        <v>5.4679355783308887</v>
      </c>
      <c r="E897">
        <f t="shared" si="65"/>
        <v>0.88891090679523077</v>
      </c>
      <c r="F897">
        <f t="shared" si="66"/>
        <v>0.61655835400191328</v>
      </c>
      <c r="G897">
        <f t="shared" si="67"/>
        <v>1.2815698548090186</v>
      </c>
      <c r="H897">
        <v>177.90128843338192</v>
      </c>
      <c r="I897">
        <v>162.98770131771641</v>
      </c>
      <c r="J897">
        <v>242.63557833089328</v>
      </c>
      <c r="K897">
        <f t="shared" si="68"/>
        <v>6.3110403545221958</v>
      </c>
      <c r="L897">
        <f t="shared" si="69"/>
        <v>6.5615495942740738</v>
      </c>
    </row>
    <row r="898" spans="1:12" x14ac:dyDescent="0.3">
      <c r="A898">
        <v>5</v>
      </c>
      <c r="B898">
        <v>5.5</v>
      </c>
      <c r="C898">
        <v>5.3147877013177176</v>
      </c>
      <c r="D898">
        <v>5.4679355783308887</v>
      </c>
      <c r="E898">
        <f t="shared" si="65"/>
        <v>-1.0093485591301552E-2</v>
      </c>
      <c r="F898">
        <f t="shared" si="66"/>
        <v>9.9091296900892592E-2</v>
      </c>
      <c r="G898">
        <f t="shared" si="67"/>
        <v>1.0281271369745727E-3</v>
      </c>
      <c r="H898">
        <v>177.90128843338192</v>
      </c>
      <c r="I898">
        <v>162.98770131771641</v>
      </c>
      <c r="J898">
        <v>242.63557833089328</v>
      </c>
      <c r="K898">
        <f t="shared" si="68"/>
        <v>5.2950301037407108</v>
      </c>
      <c r="L898">
        <f t="shared" si="69"/>
        <v>5.4462471183965002</v>
      </c>
    </row>
    <row r="899" spans="1:12" x14ac:dyDescent="0.3">
      <c r="A899">
        <v>4.9000000000000004</v>
      </c>
      <c r="B899">
        <v>5</v>
      </c>
      <c r="C899">
        <v>5.3147877013177176</v>
      </c>
      <c r="D899">
        <v>5.4679355783308887</v>
      </c>
      <c r="E899">
        <f t="shared" ref="E899:E962" si="70">(A899-C899)*(B899-D899)</f>
        <v>0.19409392290064595</v>
      </c>
      <c r="F899">
        <f t="shared" ref="F899:F962" si="71">(A899-C899)^2</f>
        <v>0.17204883716443581</v>
      </c>
      <c r="G899">
        <f t="shared" ref="G899:G962" si="72">(B899-D899)^2</f>
        <v>0.21896370546786328</v>
      </c>
      <c r="H899">
        <v>177.90128843338192</v>
      </c>
      <c r="I899">
        <v>162.98770131771641</v>
      </c>
      <c r="J899">
        <v>242.63557833089328</v>
      </c>
      <c r="K899">
        <f t="shared" ref="K899:K962" si="73">(1.097727582*(B899+0.366253474)+0.2*A899)/(0.2+1.097727582^2)</f>
        <v>4.8901465274093461</v>
      </c>
      <c r="L899">
        <f t="shared" ref="L899:L962" si="74">1.097727582*K899-0.366253474</f>
        <v>5.0017952491587589</v>
      </c>
    </row>
    <row r="900" spans="1:12" x14ac:dyDescent="0.3">
      <c r="A900">
        <v>5.2</v>
      </c>
      <c r="B900">
        <v>5.3</v>
      </c>
      <c r="C900">
        <v>5.3147877013177176</v>
      </c>
      <c r="D900">
        <v>5.4679355783308887</v>
      </c>
      <c r="E900">
        <f t="shared" si="70"/>
        <v>1.9276939006064215E-2</v>
      </c>
      <c r="F900">
        <f t="shared" si="71"/>
        <v>1.3176216373805507E-2</v>
      </c>
      <c r="G900">
        <f t="shared" si="72"/>
        <v>2.8202358469330124E-2</v>
      </c>
      <c r="H900">
        <v>177.90128843338192</v>
      </c>
      <c r="I900">
        <v>162.98770131771641</v>
      </c>
      <c r="J900">
        <v>242.63557833089328</v>
      </c>
      <c r="K900">
        <f t="shared" si="73"/>
        <v>5.1672402321679325</v>
      </c>
      <c r="L900">
        <f t="shared" si="74"/>
        <v>5.305968651670824</v>
      </c>
    </row>
    <row r="901" spans="1:12" x14ac:dyDescent="0.3">
      <c r="A901">
        <v>5.0999999999999996</v>
      </c>
      <c r="B901">
        <v>5.5</v>
      </c>
      <c r="C901">
        <v>5.3147877013177176</v>
      </c>
      <c r="D901">
        <v>5.4679355783308887</v>
      </c>
      <c r="E901">
        <f t="shared" si="70"/>
        <v>-6.8870434243904367E-3</v>
      </c>
      <c r="F901">
        <f t="shared" si="71"/>
        <v>4.613375663734922E-2</v>
      </c>
      <c r="G901">
        <f t="shared" si="72"/>
        <v>1.0281271369745727E-3</v>
      </c>
      <c r="H901">
        <v>177.90128843338192</v>
      </c>
      <c r="I901">
        <v>162.98770131771641</v>
      </c>
      <c r="J901">
        <v>242.63557833089328</v>
      </c>
      <c r="K901">
        <f t="shared" si="73"/>
        <v>5.3092649199739474</v>
      </c>
      <c r="L901">
        <f t="shared" si="74"/>
        <v>5.4618730688004256</v>
      </c>
    </row>
    <row r="902" spans="1:12" x14ac:dyDescent="0.3">
      <c r="A902">
        <v>5.9</v>
      </c>
      <c r="B902">
        <v>6.1</v>
      </c>
      <c r="C902">
        <v>5.3147877013177176</v>
      </c>
      <c r="D902">
        <v>5.4679355783308887</v>
      </c>
      <c r="E902">
        <f t="shared" si="70"/>
        <v>0.36989187312026806</v>
      </c>
      <c r="F902">
        <f t="shared" si="71"/>
        <v>0.34247343452900131</v>
      </c>
      <c r="G902">
        <f t="shared" si="72"/>
        <v>0.39950543313990766</v>
      </c>
      <c r="H902">
        <v>177.90128843338192</v>
      </c>
      <c r="I902">
        <v>162.98770131771641</v>
      </c>
      <c r="J902">
        <v>242.63557833089328</v>
      </c>
      <c r="K902">
        <f t="shared" si="73"/>
        <v>5.8919219619575944</v>
      </c>
      <c r="L902">
        <f t="shared" si="74"/>
        <v>6.1014717746324072</v>
      </c>
    </row>
    <row r="903" spans="1:12" x14ac:dyDescent="0.3">
      <c r="A903">
        <v>5</v>
      </c>
      <c r="B903">
        <v>5</v>
      </c>
      <c r="C903">
        <v>5.3147877013177176</v>
      </c>
      <c r="D903">
        <v>5.4679355783308887</v>
      </c>
      <c r="E903">
        <f t="shared" si="70"/>
        <v>0.14730036506755725</v>
      </c>
      <c r="F903">
        <f t="shared" si="71"/>
        <v>9.9091296900892592E-2</v>
      </c>
      <c r="G903">
        <f t="shared" si="72"/>
        <v>0.21896370546786328</v>
      </c>
      <c r="H903">
        <v>177.90128843338192</v>
      </c>
      <c r="I903">
        <v>162.98770131771641</v>
      </c>
      <c r="J903">
        <v>242.63557833089328</v>
      </c>
      <c r="K903">
        <f t="shared" si="73"/>
        <v>4.9043813436425818</v>
      </c>
      <c r="L903">
        <f t="shared" si="74"/>
        <v>5.0174211995626834</v>
      </c>
    </row>
    <row r="904" spans="1:12" x14ac:dyDescent="0.3">
      <c r="A904">
        <v>5.2</v>
      </c>
      <c r="B904">
        <v>5.7</v>
      </c>
      <c r="C904">
        <v>5.3147877013177176</v>
      </c>
      <c r="D904">
        <v>5.4679355783308887</v>
      </c>
      <c r="E904">
        <f t="shared" si="70"/>
        <v>-2.6638141521022798E-2</v>
      </c>
      <c r="F904">
        <f t="shared" si="71"/>
        <v>1.3176216373805507E-2</v>
      </c>
      <c r="G904">
        <f t="shared" si="72"/>
        <v>5.3853895804619169E-2</v>
      </c>
      <c r="H904">
        <v>177.90128843338192</v>
      </c>
      <c r="I904">
        <v>162.98770131771641</v>
      </c>
      <c r="J904">
        <v>242.63557833089328</v>
      </c>
      <c r="K904">
        <f t="shared" si="73"/>
        <v>5.4797592402464357</v>
      </c>
      <c r="L904">
        <f t="shared" si="74"/>
        <v>5.6490293867378778</v>
      </c>
    </row>
    <row r="905" spans="1:12" x14ac:dyDescent="0.3">
      <c r="A905">
        <v>6.1</v>
      </c>
      <c r="B905">
        <v>5.7</v>
      </c>
      <c r="C905">
        <v>5.3147877013177176</v>
      </c>
      <c r="D905">
        <v>5.4679355783308887</v>
      </c>
      <c r="E905">
        <f t="shared" si="70"/>
        <v>0.18221983798117738</v>
      </c>
      <c r="F905">
        <f t="shared" si="71"/>
        <v>0.61655835400191328</v>
      </c>
      <c r="G905">
        <f t="shared" si="72"/>
        <v>5.3853895804619169E-2</v>
      </c>
      <c r="H905">
        <v>177.90128843338192</v>
      </c>
      <c r="I905">
        <v>162.98770131771641</v>
      </c>
      <c r="J905">
        <v>242.63557833089328</v>
      </c>
      <c r="K905">
        <f t="shared" si="73"/>
        <v>5.6078725863455645</v>
      </c>
      <c r="L905">
        <f t="shared" si="74"/>
        <v>5.7896629403732041</v>
      </c>
    </row>
    <row r="906" spans="1:12" x14ac:dyDescent="0.3">
      <c r="A906">
        <v>5.3</v>
      </c>
      <c r="B906">
        <v>5.3</v>
      </c>
      <c r="C906">
        <v>5.3147877013177176</v>
      </c>
      <c r="D906">
        <v>5.4679355783308887</v>
      </c>
      <c r="E906">
        <f t="shared" si="70"/>
        <v>2.4833811729753838E-3</v>
      </c>
      <c r="F906">
        <f t="shared" si="71"/>
        <v>2.1867611026203226E-4</v>
      </c>
      <c r="G906">
        <f t="shared" si="72"/>
        <v>2.8202358469330124E-2</v>
      </c>
      <c r="H906">
        <v>177.90128843338192</v>
      </c>
      <c r="I906">
        <v>162.98770131771641</v>
      </c>
      <c r="J906">
        <v>242.63557833089328</v>
      </c>
      <c r="K906">
        <f t="shared" si="73"/>
        <v>5.1814750484011682</v>
      </c>
      <c r="L906">
        <f t="shared" si="74"/>
        <v>5.3215946020747484</v>
      </c>
    </row>
    <row r="907" spans="1:12" x14ac:dyDescent="0.3">
      <c r="A907">
        <v>4.7</v>
      </c>
      <c r="B907">
        <v>5.0999999999999996</v>
      </c>
      <c r="C907">
        <v>5.3147877013177176</v>
      </c>
      <c r="D907">
        <v>5.4679355783308887</v>
      </c>
      <c r="E907">
        <f t="shared" si="70"/>
        <v>0.22620226843505226</v>
      </c>
      <c r="F907">
        <f t="shared" si="71"/>
        <v>0.37796391769152293</v>
      </c>
      <c r="G907">
        <f t="shared" si="72"/>
        <v>0.13537658980168582</v>
      </c>
      <c r="H907">
        <v>177.90128843338192</v>
      </c>
      <c r="I907">
        <v>162.98770131771641</v>
      </c>
      <c r="J907">
        <v>242.63557833089328</v>
      </c>
      <c r="K907">
        <f t="shared" si="73"/>
        <v>4.9398066469624977</v>
      </c>
      <c r="L907">
        <f t="shared" si="74"/>
        <v>5.0563085321176713</v>
      </c>
    </row>
    <row r="908" spans="1:12" x14ac:dyDescent="0.3">
      <c r="A908">
        <v>5.2</v>
      </c>
      <c r="B908">
        <v>5.3</v>
      </c>
      <c r="C908">
        <v>5.3147877013177176</v>
      </c>
      <c r="D908">
        <v>5.4679355783308887</v>
      </c>
      <c r="E908">
        <f t="shared" si="70"/>
        <v>1.9276939006064215E-2</v>
      </c>
      <c r="F908">
        <f t="shared" si="71"/>
        <v>1.3176216373805507E-2</v>
      </c>
      <c r="G908">
        <f t="shared" si="72"/>
        <v>2.8202358469330124E-2</v>
      </c>
      <c r="H908">
        <v>177.90128843338192</v>
      </c>
      <c r="I908">
        <v>162.98770131771641</v>
      </c>
      <c r="J908">
        <v>242.63557833089328</v>
      </c>
      <c r="K908">
        <f t="shared" si="73"/>
        <v>5.1672402321679325</v>
      </c>
      <c r="L908">
        <f t="shared" si="74"/>
        <v>5.305968651670824</v>
      </c>
    </row>
    <row r="909" spans="1:12" x14ac:dyDescent="0.3">
      <c r="A909">
        <v>5.7</v>
      </c>
      <c r="B909">
        <v>5.9</v>
      </c>
      <c r="C909">
        <v>5.3147877013177176</v>
      </c>
      <c r="D909">
        <v>5.4679355783308887</v>
      </c>
      <c r="E909">
        <f t="shared" si="70"/>
        <v>0.16643652904998951</v>
      </c>
      <c r="F909">
        <f t="shared" si="71"/>
        <v>0.14838851505608808</v>
      </c>
      <c r="G909">
        <f t="shared" si="72"/>
        <v>0.18667966447226389</v>
      </c>
      <c r="H909">
        <v>177.90128843338192</v>
      </c>
      <c r="I909">
        <v>162.98770131771641</v>
      </c>
      <c r="J909">
        <v>242.63557833089328</v>
      </c>
      <c r="K909">
        <f t="shared" si="73"/>
        <v>5.7071928254518696</v>
      </c>
      <c r="L909">
        <f t="shared" si="74"/>
        <v>5.8986895062910296</v>
      </c>
    </row>
    <row r="910" spans="1:12" x14ac:dyDescent="0.3">
      <c r="A910">
        <v>5.0999999999999996</v>
      </c>
      <c r="B910">
        <v>5.4</v>
      </c>
      <c r="C910">
        <v>5.3147877013177176</v>
      </c>
      <c r="D910">
        <v>5.4679355783308887</v>
      </c>
      <c r="E910">
        <f t="shared" si="70"/>
        <v>1.4591726707381283E-2</v>
      </c>
      <c r="F910">
        <f t="shared" si="71"/>
        <v>4.613375663734922E-2</v>
      </c>
      <c r="G910">
        <f t="shared" si="72"/>
        <v>4.615242803152269E-3</v>
      </c>
      <c r="H910">
        <v>177.90128843338192</v>
      </c>
      <c r="I910">
        <v>162.98770131771641</v>
      </c>
      <c r="J910">
        <v>242.63557833089328</v>
      </c>
      <c r="K910">
        <f t="shared" si="73"/>
        <v>5.2311351679543217</v>
      </c>
      <c r="L910">
        <f t="shared" si="74"/>
        <v>5.3761078850336625</v>
      </c>
    </row>
    <row r="911" spans="1:12" x14ac:dyDescent="0.3">
      <c r="A911">
        <v>5.2</v>
      </c>
      <c r="B911">
        <v>5.3</v>
      </c>
      <c r="C911">
        <v>5.3147877013177176</v>
      </c>
      <c r="D911">
        <v>5.4679355783308887</v>
      </c>
      <c r="E911">
        <f t="shared" si="70"/>
        <v>1.9276939006064215E-2</v>
      </c>
      <c r="F911">
        <f t="shared" si="71"/>
        <v>1.3176216373805507E-2</v>
      </c>
      <c r="G911">
        <f t="shared" si="72"/>
        <v>2.8202358469330124E-2</v>
      </c>
      <c r="H911">
        <v>177.90128843338192</v>
      </c>
      <c r="I911">
        <v>162.98770131771641</v>
      </c>
      <c r="J911">
        <v>242.63557833089328</v>
      </c>
      <c r="K911">
        <f t="shared" si="73"/>
        <v>5.1672402321679325</v>
      </c>
      <c r="L911">
        <f t="shared" si="74"/>
        <v>5.305968651670824</v>
      </c>
    </row>
    <row r="912" spans="1:12" x14ac:dyDescent="0.3">
      <c r="A912">
        <v>5</v>
      </c>
      <c r="B912">
        <v>4.9000000000000004</v>
      </c>
      <c r="C912">
        <v>5.3147877013177176</v>
      </c>
      <c r="D912">
        <v>5.4679355783308887</v>
      </c>
      <c r="E912">
        <f t="shared" si="70"/>
        <v>0.17877913519932889</v>
      </c>
      <c r="F912">
        <f t="shared" si="71"/>
        <v>9.9091296900892592E-2</v>
      </c>
      <c r="G912">
        <f t="shared" si="72"/>
        <v>0.32255082113404066</v>
      </c>
      <c r="H912">
        <v>177.90128843338192</v>
      </c>
      <c r="I912">
        <v>162.98770131771641</v>
      </c>
      <c r="J912">
        <v>242.63557833089328</v>
      </c>
      <c r="K912">
        <f t="shared" si="73"/>
        <v>4.826251591622956</v>
      </c>
      <c r="L912">
        <f t="shared" si="74"/>
        <v>4.9316560157959195</v>
      </c>
    </row>
    <row r="913" spans="1:12" x14ac:dyDescent="0.3">
      <c r="A913">
        <v>5.4</v>
      </c>
      <c r="B913">
        <v>5.8</v>
      </c>
      <c r="C913">
        <v>5.3147877013177176</v>
      </c>
      <c r="D913">
        <v>5.4679355783308887</v>
      </c>
      <c r="E913">
        <f t="shared" si="70"/>
        <v>2.8295972681027778E-2</v>
      </c>
      <c r="F913">
        <f t="shared" si="71"/>
        <v>7.2611358467185661E-3</v>
      </c>
      <c r="G913">
        <f t="shared" si="72"/>
        <v>0.11026678013844123</v>
      </c>
      <c r="H913">
        <v>177.90128843338192</v>
      </c>
      <c r="I913">
        <v>162.98770131771641</v>
      </c>
      <c r="J913">
        <v>242.63557833089328</v>
      </c>
      <c r="K913">
        <f t="shared" si="73"/>
        <v>5.5863586247325339</v>
      </c>
      <c r="L913">
        <f t="shared" si="74"/>
        <v>5.7660464713124906</v>
      </c>
    </row>
    <row r="914" spans="1:12" x14ac:dyDescent="0.3">
      <c r="A914">
        <v>5.9</v>
      </c>
      <c r="B914">
        <v>6.4</v>
      </c>
      <c r="C914">
        <v>5.3147877013177176</v>
      </c>
      <c r="D914">
        <v>5.4679355783308887</v>
      </c>
      <c r="E914">
        <f t="shared" si="70"/>
        <v>0.54545556272495332</v>
      </c>
      <c r="F914">
        <f t="shared" si="71"/>
        <v>0.34247343452900131</v>
      </c>
      <c r="G914">
        <f t="shared" si="72"/>
        <v>0.86874408614137555</v>
      </c>
      <c r="H914">
        <v>177.90128843338192</v>
      </c>
      <c r="I914">
        <v>162.98770131771641</v>
      </c>
      <c r="J914">
        <v>242.63557833089328</v>
      </c>
      <c r="K914">
        <f t="shared" si="73"/>
        <v>6.1263112180164727</v>
      </c>
      <c r="L914">
        <f t="shared" si="74"/>
        <v>6.358767325932698</v>
      </c>
    </row>
    <row r="915" spans="1:12" x14ac:dyDescent="0.3">
      <c r="A915">
        <v>5.2</v>
      </c>
      <c r="B915">
        <v>5</v>
      </c>
      <c r="C915">
        <v>5.3147877013177176</v>
      </c>
      <c r="D915">
        <v>5.4679355783308887</v>
      </c>
      <c r="E915">
        <f t="shared" si="70"/>
        <v>5.371324940137942E-2</v>
      </c>
      <c r="F915">
        <f t="shared" si="71"/>
        <v>1.3176216373805507E-2</v>
      </c>
      <c r="G915">
        <f t="shared" si="72"/>
        <v>0.21896370546786328</v>
      </c>
      <c r="H915">
        <v>177.90128843338192</v>
      </c>
      <c r="I915">
        <v>162.98770131771641</v>
      </c>
      <c r="J915">
        <v>242.63557833089328</v>
      </c>
      <c r="K915">
        <f t="shared" si="73"/>
        <v>4.9328509761090551</v>
      </c>
      <c r="L915">
        <f t="shared" si="74"/>
        <v>5.0486731003705341</v>
      </c>
    </row>
    <row r="916" spans="1:12" x14ac:dyDescent="0.3">
      <c r="A916">
        <v>5.5</v>
      </c>
      <c r="B916">
        <v>5.7</v>
      </c>
      <c r="C916">
        <v>5.3147877013177176</v>
      </c>
      <c r="D916">
        <v>5.4679355783308887</v>
      </c>
      <c r="E916">
        <f t="shared" si="70"/>
        <v>4.2981184979710596E-2</v>
      </c>
      <c r="F916">
        <f t="shared" si="71"/>
        <v>3.4303595583174987E-2</v>
      </c>
      <c r="G916">
        <f t="shared" si="72"/>
        <v>5.3853895804619169E-2</v>
      </c>
      <c r="H916">
        <v>177.90128843338192</v>
      </c>
      <c r="I916">
        <v>162.98770131771641</v>
      </c>
      <c r="J916">
        <v>242.63557833089328</v>
      </c>
      <c r="K916">
        <f t="shared" si="73"/>
        <v>5.5224636889461456</v>
      </c>
      <c r="L916">
        <f t="shared" si="74"/>
        <v>5.6959072379496538</v>
      </c>
    </row>
    <row r="917" spans="1:12" x14ac:dyDescent="0.3">
      <c r="A917">
        <v>5.0999999999999996</v>
      </c>
      <c r="B917">
        <v>5.2</v>
      </c>
      <c r="C917">
        <v>5.3147877013177176</v>
      </c>
      <c r="D917">
        <v>5.4679355783308887</v>
      </c>
      <c r="E917">
        <f t="shared" si="70"/>
        <v>5.7549266970924912E-2</v>
      </c>
      <c r="F917">
        <f t="shared" si="71"/>
        <v>4.613375663734922E-2</v>
      </c>
      <c r="G917">
        <f t="shared" si="72"/>
        <v>7.1789474135507708E-2</v>
      </c>
      <c r="H917">
        <v>177.90128843338192</v>
      </c>
      <c r="I917">
        <v>162.98770131771641</v>
      </c>
      <c r="J917">
        <v>242.63557833089328</v>
      </c>
      <c r="K917">
        <f t="shared" si="73"/>
        <v>5.0748756639150701</v>
      </c>
      <c r="L917">
        <f t="shared" si="74"/>
        <v>5.2045775175001356</v>
      </c>
    </row>
    <row r="918" spans="1:12" x14ac:dyDescent="0.3">
      <c r="A918">
        <v>5.0999999999999996</v>
      </c>
      <c r="B918">
        <v>5.2</v>
      </c>
      <c r="C918">
        <v>5.3147877013177176</v>
      </c>
      <c r="D918">
        <v>5.4679355783308887</v>
      </c>
      <c r="E918">
        <f t="shared" si="70"/>
        <v>5.7549266970924912E-2</v>
      </c>
      <c r="F918">
        <f t="shared" si="71"/>
        <v>4.613375663734922E-2</v>
      </c>
      <c r="G918">
        <f t="shared" si="72"/>
        <v>7.1789474135507708E-2</v>
      </c>
      <c r="H918">
        <v>177.90128843338192</v>
      </c>
      <c r="I918">
        <v>162.98770131771641</v>
      </c>
      <c r="J918">
        <v>242.63557833089328</v>
      </c>
      <c r="K918">
        <f t="shared" si="73"/>
        <v>5.0748756639150701</v>
      </c>
      <c r="L918">
        <f t="shared" si="74"/>
        <v>5.2045775175001356</v>
      </c>
    </row>
    <row r="919" spans="1:12" x14ac:dyDescent="0.3">
      <c r="A919">
        <v>5</v>
      </c>
      <c r="B919">
        <v>5</v>
      </c>
      <c r="C919">
        <v>5.3147877013177176</v>
      </c>
      <c r="D919">
        <v>5.4679355783308887</v>
      </c>
      <c r="E919">
        <f t="shared" si="70"/>
        <v>0.14730036506755725</v>
      </c>
      <c r="F919">
        <f t="shared" si="71"/>
        <v>9.9091296900892592E-2</v>
      </c>
      <c r="G919">
        <f t="shared" si="72"/>
        <v>0.21896370546786328</v>
      </c>
      <c r="H919">
        <v>177.90128843338192</v>
      </c>
      <c r="I919">
        <v>162.98770131771641</v>
      </c>
      <c r="J919">
        <v>242.63557833089328</v>
      </c>
      <c r="K919">
        <f t="shared" si="73"/>
        <v>4.9043813436425818</v>
      </c>
      <c r="L919">
        <f t="shared" si="74"/>
        <v>5.0174211995626834</v>
      </c>
    </row>
    <row r="920" spans="1:12" x14ac:dyDescent="0.3">
      <c r="A920">
        <v>5.0999999999999996</v>
      </c>
      <c r="B920">
        <v>5.2</v>
      </c>
      <c r="C920">
        <v>5.3147877013177176</v>
      </c>
      <c r="D920">
        <v>5.4679355783308887</v>
      </c>
      <c r="E920">
        <f t="shared" si="70"/>
        <v>5.7549266970924912E-2</v>
      </c>
      <c r="F920">
        <f t="shared" si="71"/>
        <v>4.613375663734922E-2</v>
      </c>
      <c r="G920">
        <f t="shared" si="72"/>
        <v>7.1789474135507708E-2</v>
      </c>
      <c r="H920">
        <v>177.90128843338192</v>
      </c>
      <c r="I920">
        <v>162.98770131771641</v>
      </c>
      <c r="J920">
        <v>242.63557833089328</v>
      </c>
      <c r="K920">
        <f t="shared" si="73"/>
        <v>5.0748756639150701</v>
      </c>
      <c r="L920">
        <f t="shared" si="74"/>
        <v>5.2045775175001356</v>
      </c>
    </row>
    <row r="921" spans="1:12" x14ac:dyDescent="0.3">
      <c r="A921">
        <v>5.6</v>
      </c>
      <c r="B921">
        <v>5.4</v>
      </c>
      <c r="C921">
        <v>5.3147877013177176</v>
      </c>
      <c r="D921">
        <v>5.4679355783308887</v>
      </c>
      <c r="E921">
        <f t="shared" si="70"/>
        <v>-1.93760624580629E-2</v>
      </c>
      <c r="F921">
        <f t="shared" si="71"/>
        <v>8.1346055319631266E-2</v>
      </c>
      <c r="G921">
        <f t="shared" si="72"/>
        <v>4.615242803152269E-3</v>
      </c>
      <c r="H921">
        <v>177.90128843338192</v>
      </c>
      <c r="I921">
        <v>162.98770131771641</v>
      </c>
      <c r="J921">
        <v>242.63557833089328</v>
      </c>
      <c r="K921">
        <f t="shared" si="73"/>
        <v>5.3023092491205048</v>
      </c>
      <c r="L921">
        <f t="shared" si="74"/>
        <v>5.4542376370532883</v>
      </c>
    </row>
    <row r="922" spans="1:12" x14ac:dyDescent="0.3">
      <c r="A922">
        <v>5.7</v>
      </c>
      <c r="B922">
        <v>6.2</v>
      </c>
      <c r="C922">
        <v>5.3147877013177176</v>
      </c>
      <c r="D922">
        <v>5.4679355783308887</v>
      </c>
      <c r="E922">
        <f t="shared" si="70"/>
        <v>0.28200021865467423</v>
      </c>
      <c r="F922">
        <f t="shared" si="71"/>
        <v>0.14838851505608808</v>
      </c>
      <c r="G922">
        <f t="shared" si="72"/>
        <v>0.53591831747373064</v>
      </c>
      <c r="H922">
        <v>177.90128843338192</v>
      </c>
      <c r="I922">
        <v>162.98770131771641</v>
      </c>
      <c r="J922">
        <v>242.63557833089328</v>
      </c>
      <c r="K922">
        <f t="shared" si="73"/>
        <v>5.941582081510747</v>
      </c>
      <c r="L922">
        <f t="shared" si="74"/>
        <v>6.1559850575913204</v>
      </c>
    </row>
    <row r="923" spans="1:12" x14ac:dyDescent="0.3">
      <c r="A923">
        <v>6</v>
      </c>
      <c r="B923">
        <v>6.5</v>
      </c>
      <c r="C923">
        <v>5.3147877013177176</v>
      </c>
      <c r="D923">
        <v>5.4679355783308887</v>
      </c>
      <c r="E923">
        <f t="shared" si="70"/>
        <v>0.70718323476009215</v>
      </c>
      <c r="F923">
        <f t="shared" si="71"/>
        <v>0.46951589426545737</v>
      </c>
      <c r="G923">
        <f t="shared" si="72"/>
        <v>1.0651569704751971</v>
      </c>
      <c r="H923">
        <v>177.90128843338192</v>
      </c>
      <c r="I923">
        <v>162.98770131771641</v>
      </c>
      <c r="J923">
        <v>242.63557833089328</v>
      </c>
      <c r="K923">
        <f t="shared" si="73"/>
        <v>6.2186757862693351</v>
      </c>
      <c r="L923">
        <f t="shared" si="74"/>
        <v>6.4601584601033872</v>
      </c>
    </row>
    <row r="924" spans="1:12" x14ac:dyDescent="0.3">
      <c r="A924">
        <v>5.8</v>
      </c>
      <c r="B924">
        <v>5.9</v>
      </c>
      <c r="C924">
        <v>5.3147877013177176</v>
      </c>
      <c r="D924">
        <v>5.4679355783308887</v>
      </c>
      <c r="E924">
        <f t="shared" si="70"/>
        <v>0.20964297121690051</v>
      </c>
      <c r="F924">
        <f t="shared" si="71"/>
        <v>0.23543097479254424</v>
      </c>
      <c r="G924">
        <f t="shared" si="72"/>
        <v>0.18667966447226389</v>
      </c>
      <c r="H924">
        <v>177.90128843338192</v>
      </c>
      <c r="I924">
        <v>162.98770131771641</v>
      </c>
      <c r="J924">
        <v>242.63557833089328</v>
      </c>
      <c r="K924">
        <f t="shared" si="73"/>
        <v>5.7214276416851062</v>
      </c>
      <c r="L924">
        <f t="shared" si="74"/>
        <v>5.914315456694955</v>
      </c>
    </row>
    <row r="925" spans="1:12" x14ac:dyDescent="0.3">
      <c r="A925">
        <v>5.6</v>
      </c>
      <c r="B925">
        <v>5.6</v>
      </c>
      <c r="C925">
        <v>5.3147877013177176</v>
      </c>
      <c r="D925">
        <v>5.4679355783308887</v>
      </c>
      <c r="E925">
        <f t="shared" si="70"/>
        <v>3.7666397278393306E-2</v>
      </c>
      <c r="F925">
        <f t="shared" si="71"/>
        <v>8.1346055319631266E-2</v>
      </c>
      <c r="G925">
        <f t="shared" si="72"/>
        <v>1.7441011470796734E-2</v>
      </c>
      <c r="H925">
        <v>177.90128843338192</v>
      </c>
      <c r="I925">
        <v>162.98770131771641</v>
      </c>
      <c r="J925">
        <v>242.63557833089328</v>
      </c>
      <c r="K925">
        <f t="shared" si="73"/>
        <v>5.4585687531597555</v>
      </c>
      <c r="L925">
        <f t="shared" si="74"/>
        <v>5.6257680045868144</v>
      </c>
    </row>
    <row r="926" spans="1:12" x14ac:dyDescent="0.3">
      <c r="A926">
        <v>5.7</v>
      </c>
      <c r="B926">
        <v>6.2</v>
      </c>
      <c r="C926">
        <v>5.3147877013177176</v>
      </c>
      <c r="D926">
        <v>5.4679355783308887</v>
      </c>
      <c r="E926">
        <f t="shared" si="70"/>
        <v>0.28200021865467423</v>
      </c>
      <c r="F926">
        <f t="shared" si="71"/>
        <v>0.14838851505608808</v>
      </c>
      <c r="G926">
        <f t="shared" si="72"/>
        <v>0.53591831747373064</v>
      </c>
      <c r="H926">
        <v>177.90128843338192</v>
      </c>
      <c r="I926">
        <v>162.98770131771641</v>
      </c>
      <c r="J926">
        <v>242.63557833089328</v>
      </c>
      <c r="K926">
        <f t="shared" si="73"/>
        <v>5.941582081510747</v>
      </c>
      <c r="L926">
        <f t="shared" si="74"/>
        <v>6.1559850575913204</v>
      </c>
    </row>
    <row r="927" spans="1:12" x14ac:dyDescent="0.3">
      <c r="A927">
        <v>4.5999999999999996</v>
      </c>
      <c r="B927">
        <v>5.0999999999999996</v>
      </c>
      <c r="C927">
        <v>5.3147877013177176</v>
      </c>
      <c r="D927">
        <v>5.4679355783308887</v>
      </c>
      <c r="E927">
        <f t="shared" si="70"/>
        <v>0.26299582626814139</v>
      </c>
      <c r="F927">
        <f t="shared" si="71"/>
        <v>0.51092145795506716</v>
      </c>
      <c r="G927">
        <f t="shared" si="72"/>
        <v>0.13537658980168582</v>
      </c>
      <c r="H927">
        <v>177.90128843338192</v>
      </c>
      <c r="I927">
        <v>162.98770131771641</v>
      </c>
      <c r="J927">
        <v>242.63557833089328</v>
      </c>
      <c r="K927">
        <f t="shared" si="73"/>
        <v>4.9255718307292611</v>
      </c>
      <c r="L927">
        <f t="shared" si="74"/>
        <v>5.0406825817137459</v>
      </c>
    </row>
    <row r="928" spans="1:12" x14ac:dyDescent="0.3">
      <c r="A928">
        <v>5.8</v>
      </c>
      <c r="B928">
        <v>5.8</v>
      </c>
      <c r="C928">
        <v>5.3147877013177176</v>
      </c>
      <c r="D928">
        <v>5.4679355783308887</v>
      </c>
      <c r="E928">
        <f t="shared" si="70"/>
        <v>0.16112174134867205</v>
      </c>
      <c r="F928">
        <f t="shared" si="71"/>
        <v>0.23543097479254424</v>
      </c>
      <c r="G928">
        <f t="shared" si="72"/>
        <v>0.11026678013844123</v>
      </c>
      <c r="H928">
        <v>177.90128843338192</v>
      </c>
      <c r="I928">
        <v>162.98770131771641</v>
      </c>
      <c r="J928">
        <v>242.63557833089328</v>
      </c>
      <c r="K928">
        <f t="shared" si="73"/>
        <v>5.6432978896654804</v>
      </c>
      <c r="L928">
        <f t="shared" si="74"/>
        <v>5.8285502729281911</v>
      </c>
    </row>
    <row r="929" spans="1:12" x14ac:dyDescent="0.3">
      <c r="A929">
        <v>5.3</v>
      </c>
      <c r="B929">
        <v>5.0999999999999996</v>
      </c>
      <c r="C929">
        <v>5.3147877013177176</v>
      </c>
      <c r="D929">
        <v>5.4679355783308887</v>
      </c>
      <c r="E929">
        <f t="shared" si="70"/>
        <v>5.440921436518943E-3</v>
      </c>
      <c r="F929">
        <f t="shared" si="71"/>
        <v>2.1867611026203226E-4</v>
      </c>
      <c r="G929">
        <f t="shared" si="72"/>
        <v>0.13537658980168582</v>
      </c>
      <c r="H929">
        <v>177.90128843338192</v>
      </c>
      <c r="I929">
        <v>162.98770131771641</v>
      </c>
      <c r="J929">
        <v>242.63557833089328</v>
      </c>
      <c r="K929">
        <f t="shared" si="73"/>
        <v>5.0252155443619166</v>
      </c>
      <c r="L929">
        <f t="shared" si="74"/>
        <v>5.1500642345412215</v>
      </c>
    </row>
    <row r="930" spans="1:12" x14ac:dyDescent="0.3">
      <c r="A930">
        <v>5.6</v>
      </c>
      <c r="B930">
        <v>5.9</v>
      </c>
      <c r="C930">
        <v>5.3147877013177176</v>
      </c>
      <c r="D930">
        <v>5.4679355783308887</v>
      </c>
      <c r="E930">
        <f t="shared" si="70"/>
        <v>0.12323008688307811</v>
      </c>
      <c r="F930">
        <f t="shared" si="71"/>
        <v>8.1346055319631266E-2</v>
      </c>
      <c r="G930">
        <f t="shared" si="72"/>
        <v>0.18667966447226389</v>
      </c>
      <c r="H930">
        <v>177.90128843338192</v>
      </c>
      <c r="I930">
        <v>162.98770131771641</v>
      </c>
      <c r="J930">
        <v>242.63557833089328</v>
      </c>
      <c r="K930">
        <f t="shared" si="73"/>
        <v>5.6929580092186338</v>
      </c>
      <c r="L930">
        <f t="shared" si="74"/>
        <v>5.8830635558871052</v>
      </c>
    </row>
    <row r="931" spans="1:12" x14ac:dyDescent="0.3">
      <c r="A931">
        <v>5.3</v>
      </c>
      <c r="B931">
        <v>5.4</v>
      </c>
      <c r="C931">
        <v>5.3147877013177176</v>
      </c>
      <c r="D931">
        <v>5.4679355783308887</v>
      </c>
      <c r="E931">
        <f t="shared" si="70"/>
        <v>1.0046110412035977E-3</v>
      </c>
      <c r="F931">
        <f t="shared" si="71"/>
        <v>2.1867611026203226E-4</v>
      </c>
      <c r="G931">
        <f t="shared" si="72"/>
        <v>4.615242803152269E-3</v>
      </c>
      <c r="H931">
        <v>177.90128843338192</v>
      </c>
      <c r="I931">
        <v>162.98770131771641</v>
      </c>
      <c r="J931">
        <v>242.63557833089328</v>
      </c>
      <c r="K931">
        <f t="shared" si="73"/>
        <v>5.2596048004207958</v>
      </c>
      <c r="L931">
        <f t="shared" si="74"/>
        <v>5.4073597858415132</v>
      </c>
    </row>
    <row r="932" spans="1:12" x14ac:dyDescent="0.3">
      <c r="A932">
        <v>5.6</v>
      </c>
      <c r="B932">
        <v>5.5</v>
      </c>
      <c r="C932">
        <v>5.3147877013177176</v>
      </c>
      <c r="D932">
        <v>5.4679355783308887</v>
      </c>
      <c r="E932">
        <f t="shared" si="70"/>
        <v>9.1451674101652013E-3</v>
      </c>
      <c r="F932">
        <f t="shared" si="71"/>
        <v>8.1346055319631266E-2</v>
      </c>
      <c r="G932">
        <f t="shared" si="72"/>
        <v>1.0281271369745727E-3</v>
      </c>
      <c r="H932">
        <v>177.90128843338192</v>
      </c>
      <c r="I932">
        <v>162.98770131771641</v>
      </c>
      <c r="J932">
        <v>242.63557833089328</v>
      </c>
      <c r="K932">
        <f t="shared" si="73"/>
        <v>5.3804390011401306</v>
      </c>
      <c r="L932">
        <f t="shared" si="74"/>
        <v>5.5400028208200514</v>
      </c>
    </row>
    <row r="933" spans="1:12" x14ac:dyDescent="0.3">
      <c r="A933">
        <v>5.0999999999999996</v>
      </c>
      <c r="B933">
        <v>5.0999999999999996</v>
      </c>
      <c r="C933">
        <v>5.3147877013177176</v>
      </c>
      <c r="D933">
        <v>5.4679355783308887</v>
      </c>
      <c r="E933">
        <f t="shared" si="70"/>
        <v>7.9028037102696819E-2</v>
      </c>
      <c r="F933">
        <f t="shared" si="71"/>
        <v>4.613375663734922E-2</v>
      </c>
      <c r="G933">
        <f t="shared" si="72"/>
        <v>0.13537658980168582</v>
      </c>
      <c r="H933">
        <v>177.90128843338192</v>
      </c>
      <c r="I933">
        <v>162.98770131771641</v>
      </c>
      <c r="J933">
        <v>242.63557833089328</v>
      </c>
      <c r="K933">
        <f t="shared" si="73"/>
        <v>4.9967459118954443</v>
      </c>
      <c r="L933">
        <f t="shared" si="74"/>
        <v>5.1188123337333717</v>
      </c>
    </row>
    <row r="934" spans="1:12" x14ac:dyDescent="0.3">
      <c r="A934">
        <v>5.2</v>
      </c>
      <c r="B934">
        <v>5.6</v>
      </c>
      <c r="C934">
        <v>5.3147877013177176</v>
      </c>
      <c r="D934">
        <v>5.4679355783308887</v>
      </c>
      <c r="E934">
        <f t="shared" si="70"/>
        <v>-1.5159371389250994E-2</v>
      </c>
      <c r="F934">
        <f t="shared" si="71"/>
        <v>1.3176216373805507E-2</v>
      </c>
      <c r="G934">
        <f t="shared" si="72"/>
        <v>1.7441011470796734E-2</v>
      </c>
      <c r="H934">
        <v>177.90128843338192</v>
      </c>
      <c r="I934">
        <v>162.98770131771641</v>
      </c>
      <c r="J934">
        <v>242.63557833089328</v>
      </c>
      <c r="K934">
        <f t="shared" si="73"/>
        <v>5.401629488226809</v>
      </c>
      <c r="L934">
        <f t="shared" si="74"/>
        <v>5.563264202971113</v>
      </c>
    </row>
    <row r="935" spans="1:12" x14ac:dyDescent="0.3">
      <c r="A935">
        <v>5.8</v>
      </c>
      <c r="B935">
        <v>6.2</v>
      </c>
      <c r="C935">
        <v>5.3147877013177176</v>
      </c>
      <c r="D935">
        <v>5.4679355783308887</v>
      </c>
      <c r="E935">
        <f t="shared" si="70"/>
        <v>0.35520666082158509</v>
      </c>
      <c r="F935">
        <f t="shared" si="71"/>
        <v>0.23543097479254424</v>
      </c>
      <c r="G935">
        <f t="shared" si="72"/>
        <v>0.53591831747373064</v>
      </c>
      <c r="H935">
        <v>177.90128843338192</v>
      </c>
      <c r="I935">
        <v>162.98770131771641</v>
      </c>
      <c r="J935">
        <v>242.63557833089328</v>
      </c>
      <c r="K935">
        <f t="shared" si="73"/>
        <v>5.9558168977439836</v>
      </c>
      <c r="L935">
        <f t="shared" si="74"/>
        <v>6.1716110079952449</v>
      </c>
    </row>
    <row r="936" spans="1:12" x14ac:dyDescent="0.3">
      <c r="A936">
        <v>4.9000000000000004</v>
      </c>
      <c r="B936">
        <v>5.2</v>
      </c>
      <c r="C936">
        <v>5.3147877013177176</v>
      </c>
      <c r="D936">
        <v>5.4679355783308887</v>
      </c>
      <c r="E936">
        <f t="shared" si="70"/>
        <v>0.11113638263710243</v>
      </c>
      <c r="F936">
        <f t="shared" si="71"/>
        <v>0.17204883716443581</v>
      </c>
      <c r="G936">
        <f t="shared" si="72"/>
        <v>7.1789474135507708E-2</v>
      </c>
      <c r="H936">
        <v>177.90128843338192</v>
      </c>
      <c r="I936">
        <v>162.98770131771641</v>
      </c>
      <c r="J936">
        <v>242.63557833089328</v>
      </c>
      <c r="K936">
        <f t="shared" si="73"/>
        <v>5.0464060314485977</v>
      </c>
      <c r="L936">
        <f t="shared" si="74"/>
        <v>5.1733256166922859</v>
      </c>
    </row>
    <row r="937" spans="1:12" x14ac:dyDescent="0.3">
      <c r="A937">
        <v>5.9</v>
      </c>
      <c r="B937">
        <v>6.3</v>
      </c>
      <c r="C937">
        <v>5.3147877013177176</v>
      </c>
      <c r="D937">
        <v>5.4679355783308887</v>
      </c>
      <c r="E937">
        <f t="shared" si="70"/>
        <v>0.48693433285672472</v>
      </c>
      <c r="F937">
        <f t="shared" si="71"/>
        <v>0.34247343452900131</v>
      </c>
      <c r="G937">
        <f t="shared" si="72"/>
        <v>0.69233120180755237</v>
      </c>
      <c r="H937">
        <v>177.90128843338192</v>
      </c>
      <c r="I937">
        <v>162.98770131771641</v>
      </c>
      <c r="J937">
        <v>242.63557833089328</v>
      </c>
      <c r="K937">
        <f t="shared" si="73"/>
        <v>6.048181465996846</v>
      </c>
      <c r="L937">
        <f t="shared" si="74"/>
        <v>6.2730021421659341</v>
      </c>
    </row>
    <row r="938" spans="1:12" x14ac:dyDescent="0.3">
      <c r="A938">
        <v>5.5</v>
      </c>
      <c r="B938">
        <v>5.6</v>
      </c>
      <c r="C938">
        <v>5.3147877013177176</v>
      </c>
      <c r="D938">
        <v>5.4679355783308887</v>
      </c>
      <c r="E938">
        <f t="shared" si="70"/>
        <v>2.4459955111482259E-2</v>
      </c>
      <c r="F938">
        <f t="shared" si="71"/>
        <v>3.4303595583174987E-2</v>
      </c>
      <c r="G938">
        <f t="shared" si="72"/>
        <v>1.7441011470796734E-2</v>
      </c>
      <c r="H938">
        <v>177.90128843338192</v>
      </c>
      <c r="I938">
        <v>162.98770131771641</v>
      </c>
      <c r="J938">
        <v>242.63557833089328</v>
      </c>
      <c r="K938">
        <f t="shared" si="73"/>
        <v>5.4443339369265189</v>
      </c>
      <c r="L938">
        <f t="shared" si="74"/>
        <v>5.610142054182889</v>
      </c>
    </row>
    <row r="939" spans="1:12" x14ac:dyDescent="0.3">
      <c r="A939">
        <v>5.7</v>
      </c>
      <c r="B939">
        <v>5.5</v>
      </c>
      <c r="C939">
        <v>5.3147877013177176</v>
      </c>
      <c r="D939">
        <v>5.4679355783308887</v>
      </c>
      <c r="E939">
        <f t="shared" si="70"/>
        <v>1.2351609577076346E-2</v>
      </c>
      <c r="F939">
        <f t="shared" si="71"/>
        <v>0.14838851505608808</v>
      </c>
      <c r="G939">
        <f t="shared" si="72"/>
        <v>1.0281271369745727E-3</v>
      </c>
      <c r="H939">
        <v>177.90128843338192</v>
      </c>
      <c r="I939">
        <v>162.98770131771641</v>
      </c>
      <c r="J939">
        <v>242.63557833089328</v>
      </c>
      <c r="K939">
        <f t="shared" si="73"/>
        <v>5.3946738173733664</v>
      </c>
      <c r="L939">
        <f t="shared" si="74"/>
        <v>5.5556287712239758</v>
      </c>
    </row>
    <row r="940" spans="1:12" x14ac:dyDescent="0.3">
      <c r="A940">
        <v>5.7</v>
      </c>
      <c r="B940">
        <v>5.5</v>
      </c>
      <c r="C940">
        <v>5.3147877013177176</v>
      </c>
      <c r="D940">
        <v>5.4679355783308887</v>
      </c>
      <c r="E940">
        <f t="shared" si="70"/>
        <v>1.2351609577076346E-2</v>
      </c>
      <c r="F940">
        <f t="shared" si="71"/>
        <v>0.14838851505608808</v>
      </c>
      <c r="G940">
        <f t="shared" si="72"/>
        <v>1.0281271369745727E-3</v>
      </c>
      <c r="H940">
        <v>177.90128843338192</v>
      </c>
      <c r="I940">
        <v>162.98770131771641</v>
      </c>
      <c r="J940">
        <v>242.63557833089328</v>
      </c>
      <c r="K940">
        <f t="shared" si="73"/>
        <v>5.3946738173733664</v>
      </c>
      <c r="L940">
        <f t="shared" si="74"/>
        <v>5.5556287712239758</v>
      </c>
    </row>
    <row r="941" spans="1:12" x14ac:dyDescent="0.3">
      <c r="A941">
        <v>4.5999999999999996</v>
      </c>
      <c r="B941">
        <v>5</v>
      </c>
      <c r="C941">
        <v>5.3147877013177176</v>
      </c>
      <c r="D941">
        <v>5.4679355783308887</v>
      </c>
      <c r="E941">
        <f t="shared" si="70"/>
        <v>0.33447459639991289</v>
      </c>
      <c r="F941">
        <f t="shared" si="71"/>
        <v>0.51092145795506716</v>
      </c>
      <c r="G941">
        <f t="shared" si="72"/>
        <v>0.21896370546786328</v>
      </c>
      <c r="H941">
        <v>177.90128843338192</v>
      </c>
      <c r="I941">
        <v>162.98770131771641</v>
      </c>
      <c r="J941">
        <v>242.63557833089328</v>
      </c>
      <c r="K941">
        <f t="shared" si="73"/>
        <v>4.8474420787096362</v>
      </c>
      <c r="L941">
        <f t="shared" si="74"/>
        <v>4.9549173979469838</v>
      </c>
    </row>
    <row r="942" spans="1:12" x14ac:dyDescent="0.3">
      <c r="A942">
        <v>5.9</v>
      </c>
      <c r="B942">
        <v>5.7</v>
      </c>
      <c r="C942">
        <v>5.3147877013177176</v>
      </c>
      <c r="D942">
        <v>5.4679355783308887</v>
      </c>
      <c r="E942">
        <f t="shared" si="70"/>
        <v>0.13580695364735526</v>
      </c>
      <c r="F942">
        <f t="shared" si="71"/>
        <v>0.34247343452900131</v>
      </c>
      <c r="G942">
        <f t="shared" si="72"/>
        <v>5.3853895804619169E-2</v>
      </c>
      <c r="H942">
        <v>177.90128843338192</v>
      </c>
      <c r="I942">
        <v>162.98770131771641</v>
      </c>
      <c r="J942">
        <v>242.63557833089328</v>
      </c>
      <c r="K942">
        <f t="shared" si="73"/>
        <v>5.5794029538790921</v>
      </c>
      <c r="L942">
        <f t="shared" si="74"/>
        <v>5.7584110395653543</v>
      </c>
    </row>
    <row r="943" spans="1:12" x14ac:dyDescent="0.3">
      <c r="A943">
        <v>5.2</v>
      </c>
      <c r="B943">
        <v>5.2</v>
      </c>
      <c r="C943">
        <v>5.3147877013177176</v>
      </c>
      <c r="D943">
        <v>5.4679355783308887</v>
      </c>
      <c r="E943">
        <f t="shared" si="70"/>
        <v>3.0755709137835915E-2</v>
      </c>
      <c r="F943">
        <f t="shared" si="71"/>
        <v>1.3176216373805507E-2</v>
      </c>
      <c r="G943">
        <f t="shared" si="72"/>
        <v>7.1789474135507708E-2</v>
      </c>
      <c r="H943">
        <v>177.90128843338192</v>
      </c>
      <c r="I943">
        <v>162.98770131771641</v>
      </c>
      <c r="J943">
        <v>242.63557833089328</v>
      </c>
      <c r="K943">
        <f t="shared" si="73"/>
        <v>5.0891104801483067</v>
      </c>
      <c r="L943">
        <f t="shared" si="74"/>
        <v>5.2202034679040601</v>
      </c>
    </row>
    <row r="944" spans="1:12" x14ac:dyDescent="0.3">
      <c r="A944">
        <v>4.9000000000000004</v>
      </c>
      <c r="B944">
        <v>5</v>
      </c>
      <c r="C944">
        <v>5.3147877013177176</v>
      </c>
      <c r="D944">
        <v>5.4679355783308887</v>
      </c>
      <c r="E944">
        <f t="shared" si="70"/>
        <v>0.19409392290064595</v>
      </c>
      <c r="F944">
        <f t="shared" si="71"/>
        <v>0.17204883716443581</v>
      </c>
      <c r="G944">
        <f t="shared" si="72"/>
        <v>0.21896370546786328</v>
      </c>
      <c r="H944">
        <v>177.90128843338192</v>
      </c>
      <c r="I944">
        <v>162.98770131771641</v>
      </c>
      <c r="J944">
        <v>242.63557833089328</v>
      </c>
      <c r="K944">
        <f t="shared" si="73"/>
        <v>4.8901465274093461</v>
      </c>
      <c r="L944">
        <f t="shared" si="74"/>
        <v>5.0017952491587589</v>
      </c>
    </row>
    <row r="945" spans="1:12" x14ac:dyDescent="0.3">
      <c r="A945">
        <v>5</v>
      </c>
      <c r="B945">
        <v>5.4</v>
      </c>
      <c r="C945">
        <v>5.3147877013177176</v>
      </c>
      <c r="D945">
        <v>5.4679355783308887</v>
      </c>
      <c r="E945">
        <f t="shared" si="70"/>
        <v>2.1385284540470097E-2</v>
      </c>
      <c r="F945">
        <f t="shared" si="71"/>
        <v>9.9091296900892592E-2</v>
      </c>
      <c r="G945">
        <f t="shared" si="72"/>
        <v>4.615242803152269E-3</v>
      </c>
      <c r="H945">
        <v>177.90128843338192</v>
      </c>
      <c r="I945">
        <v>162.98770131771641</v>
      </c>
      <c r="J945">
        <v>242.63557833089328</v>
      </c>
      <c r="K945">
        <f t="shared" si="73"/>
        <v>5.2169003517210859</v>
      </c>
      <c r="L945">
        <f t="shared" si="74"/>
        <v>5.3604819346297381</v>
      </c>
    </row>
    <row r="946" spans="1:12" x14ac:dyDescent="0.3">
      <c r="A946">
        <v>5.5</v>
      </c>
      <c r="B946">
        <v>5.2</v>
      </c>
      <c r="C946">
        <v>5.3147877013177176</v>
      </c>
      <c r="D946">
        <v>5.4679355783308887</v>
      </c>
      <c r="E946">
        <f t="shared" si="70"/>
        <v>-4.9624964361430601E-2</v>
      </c>
      <c r="F946">
        <f t="shared" si="71"/>
        <v>3.4303595583174987E-2</v>
      </c>
      <c r="G946">
        <f t="shared" si="72"/>
        <v>7.1789474135507708E-2</v>
      </c>
      <c r="H946">
        <v>177.90128843338192</v>
      </c>
      <c r="I946">
        <v>162.98770131771641</v>
      </c>
      <c r="J946">
        <v>242.63557833089328</v>
      </c>
      <c r="K946">
        <f t="shared" si="73"/>
        <v>5.1318149288480166</v>
      </c>
      <c r="L946">
        <f t="shared" si="74"/>
        <v>5.2670813191158361</v>
      </c>
    </row>
    <row r="947" spans="1:12" x14ac:dyDescent="0.3">
      <c r="A947">
        <v>4.8</v>
      </c>
      <c r="B947">
        <v>4.9000000000000004</v>
      </c>
      <c r="C947">
        <v>5.3147877013177176</v>
      </c>
      <c r="D947">
        <v>5.4679355783308887</v>
      </c>
      <c r="E947">
        <f t="shared" si="70"/>
        <v>0.29236625086550666</v>
      </c>
      <c r="F947">
        <f t="shared" si="71"/>
        <v>0.26500637742797983</v>
      </c>
      <c r="G947">
        <f t="shared" si="72"/>
        <v>0.32255082113404066</v>
      </c>
      <c r="H947">
        <v>177.90128843338192</v>
      </c>
      <c r="I947">
        <v>162.98770131771641</v>
      </c>
      <c r="J947">
        <v>242.63557833089328</v>
      </c>
      <c r="K947">
        <f t="shared" si="73"/>
        <v>4.7977819591564828</v>
      </c>
      <c r="L947">
        <f t="shared" si="74"/>
        <v>4.9004041149880697</v>
      </c>
    </row>
    <row r="948" spans="1:12" x14ac:dyDescent="0.3">
      <c r="A948">
        <v>5</v>
      </c>
      <c r="B948">
        <v>5.4</v>
      </c>
      <c r="C948">
        <v>5.3147877013177176</v>
      </c>
      <c r="D948">
        <v>5.4679355783308887</v>
      </c>
      <c r="E948">
        <f t="shared" si="70"/>
        <v>2.1385284540470097E-2</v>
      </c>
      <c r="F948">
        <f t="shared" si="71"/>
        <v>9.9091296900892592E-2</v>
      </c>
      <c r="G948">
        <f t="shared" si="72"/>
        <v>4.615242803152269E-3</v>
      </c>
      <c r="H948">
        <v>177.90128843338192</v>
      </c>
      <c r="I948">
        <v>162.98770131771641</v>
      </c>
      <c r="J948">
        <v>242.63557833089328</v>
      </c>
      <c r="K948">
        <f t="shared" si="73"/>
        <v>5.2169003517210859</v>
      </c>
      <c r="L948">
        <f t="shared" si="74"/>
        <v>5.3604819346297381</v>
      </c>
    </row>
    <row r="949" spans="1:12" x14ac:dyDescent="0.3">
      <c r="A949">
        <v>5.3</v>
      </c>
      <c r="B949">
        <v>5.3</v>
      </c>
      <c r="C949">
        <v>5.3147877013177176</v>
      </c>
      <c r="D949">
        <v>5.4679355783308887</v>
      </c>
      <c r="E949">
        <f t="shared" si="70"/>
        <v>2.4833811729753838E-3</v>
      </c>
      <c r="F949">
        <f t="shared" si="71"/>
        <v>2.1867611026203226E-4</v>
      </c>
      <c r="G949">
        <f t="shared" si="72"/>
        <v>2.8202358469330124E-2</v>
      </c>
      <c r="H949">
        <v>177.90128843338192</v>
      </c>
      <c r="I949">
        <v>162.98770131771641</v>
      </c>
      <c r="J949">
        <v>242.63557833089328</v>
      </c>
      <c r="K949">
        <f t="shared" si="73"/>
        <v>5.1814750484011682</v>
      </c>
      <c r="L949">
        <f t="shared" si="74"/>
        <v>5.3215946020747484</v>
      </c>
    </row>
    <row r="950" spans="1:12" x14ac:dyDescent="0.3">
      <c r="A950">
        <v>5.0999999999999996</v>
      </c>
      <c r="B950">
        <v>5.5</v>
      </c>
      <c r="C950">
        <v>5.3147877013177176</v>
      </c>
      <c r="D950">
        <v>5.4679355783308887</v>
      </c>
      <c r="E950">
        <f t="shared" si="70"/>
        <v>-6.8870434243904367E-3</v>
      </c>
      <c r="F950">
        <f t="shared" si="71"/>
        <v>4.613375663734922E-2</v>
      </c>
      <c r="G950">
        <f t="shared" si="72"/>
        <v>1.0281271369745727E-3</v>
      </c>
      <c r="H950">
        <v>177.90128843338192</v>
      </c>
      <c r="I950">
        <v>162.98770131771641</v>
      </c>
      <c r="J950">
        <v>242.63557833089328</v>
      </c>
      <c r="K950">
        <f t="shared" si="73"/>
        <v>5.3092649199739474</v>
      </c>
      <c r="L950">
        <f t="shared" si="74"/>
        <v>5.4618730688004256</v>
      </c>
    </row>
    <row r="951" spans="1:12" x14ac:dyDescent="0.3">
      <c r="A951">
        <v>5.3</v>
      </c>
      <c r="B951">
        <v>5.0999999999999996</v>
      </c>
      <c r="C951">
        <v>5.3147877013177176</v>
      </c>
      <c r="D951">
        <v>5.4679355783308887</v>
      </c>
      <c r="E951">
        <f t="shared" si="70"/>
        <v>5.440921436518943E-3</v>
      </c>
      <c r="F951">
        <f t="shared" si="71"/>
        <v>2.1867611026203226E-4</v>
      </c>
      <c r="G951">
        <f t="shared" si="72"/>
        <v>0.13537658980168582</v>
      </c>
      <c r="H951">
        <v>177.90128843338192</v>
      </c>
      <c r="I951">
        <v>162.98770131771641</v>
      </c>
      <c r="J951">
        <v>242.63557833089328</v>
      </c>
      <c r="K951">
        <f t="shared" si="73"/>
        <v>5.0252155443619166</v>
      </c>
      <c r="L951">
        <f t="shared" si="74"/>
        <v>5.1500642345412215</v>
      </c>
    </row>
    <row r="952" spans="1:12" x14ac:dyDescent="0.3">
      <c r="A952">
        <v>6</v>
      </c>
      <c r="B952">
        <v>6.1</v>
      </c>
      <c r="C952">
        <v>5.3147877013177176</v>
      </c>
      <c r="D952">
        <v>5.4679355783308887</v>
      </c>
      <c r="E952">
        <f t="shared" si="70"/>
        <v>0.4330983152871789</v>
      </c>
      <c r="F952">
        <f t="shared" si="71"/>
        <v>0.46951589426545737</v>
      </c>
      <c r="G952">
        <f t="shared" si="72"/>
        <v>0.39950543313990766</v>
      </c>
      <c r="H952">
        <v>177.90128843338192</v>
      </c>
      <c r="I952">
        <v>162.98770131771641</v>
      </c>
      <c r="J952">
        <v>242.63557833089328</v>
      </c>
      <c r="K952">
        <f t="shared" si="73"/>
        <v>5.906156778190832</v>
      </c>
      <c r="L952">
        <f t="shared" si="74"/>
        <v>6.1170977250363334</v>
      </c>
    </row>
    <row r="953" spans="1:12" x14ac:dyDescent="0.3">
      <c r="A953">
        <v>5.5</v>
      </c>
      <c r="B953">
        <v>5.3</v>
      </c>
      <c r="C953">
        <v>5.3147877013177176</v>
      </c>
      <c r="D953">
        <v>5.4679355783308887</v>
      </c>
      <c r="E953">
        <f t="shared" si="70"/>
        <v>-3.1103734493202428E-2</v>
      </c>
      <c r="F953">
        <f t="shared" si="71"/>
        <v>3.4303595583174987E-2</v>
      </c>
      <c r="G953">
        <f t="shared" si="72"/>
        <v>2.8202358469330124E-2</v>
      </c>
      <c r="H953">
        <v>177.90128843338192</v>
      </c>
      <c r="I953">
        <v>162.98770131771641</v>
      </c>
      <c r="J953">
        <v>242.63557833089328</v>
      </c>
      <c r="K953">
        <f t="shared" si="73"/>
        <v>5.2099446808676424</v>
      </c>
      <c r="L953">
        <f t="shared" si="74"/>
        <v>5.3528465028826</v>
      </c>
    </row>
    <row r="954" spans="1:12" x14ac:dyDescent="0.3">
      <c r="A954">
        <v>5.9</v>
      </c>
      <c r="B954">
        <v>5.6</v>
      </c>
      <c r="C954">
        <v>5.3147877013177176</v>
      </c>
      <c r="D954">
        <v>5.4679355783308887</v>
      </c>
      <c r="E954">
        <f t="shared" si="70"/>
        <v>7.728572377912668E-2</v>
      </c>
      <c r="F954">
        <f t="shared" si="71"/>
        <v>0.34247343452900131</v>
      </c>
      <c r="G954">
        <f t="shared" si="72"/>
        <v>1.7441011470796734E-2</v>
      </c>
      <c r="H954">
        <v>177.90128843338192</v>
      </c>
      <c r="I954">
        <v>162.98770131771641</v>
      </c>
      <c r="J954">
        <v>242.63557833089328</v>
      </c>
      <c r="K954">
        <f t="shared" si="73"/>
        <v>5.5012732018594646</v>
      </c>
      <c r="L954">
        <f t="shared" si="74"/>
        <v>5.6726458557985886</v>
      </c>
    </row>
    <row r="955" spans="1:12" x14ac:dyDescent="0.3">
      <c r="A955">
        <v>4.9000000000000004</v>
      </c>
      <c r="B955">
        <v>5.0999999999999996</v>
      </c>
      <c r="C955">
        <v>5.3147877013177176</v>
      </c>
      <c r="D955">
        <v>5.4679355783308887</v>
      </c>
      <c r="E955">
        <f t="shared" si="70"/>
        <v>0.15261515276887438</v>
      </c>
      <c r="F955">
        <f t="shared" si="71"/>
        <v>0.17204883716443581</v>
      </c>
      <c r="G955">
        <f t="shared" si="72"/>
        <v>0.13537658980168582</v>
      </c>
      <c r="H955">
        <v>177.90128843338192</v>
      </c>
      <c r="I955">
        <v>162.98770131771641</v>
      </c>
      <c r="J955">
        <v>242.63557833089328</v>
      </c>
      <c r="K955">
        <f t="shared" si="73"/>
        <v>4.968276279428971</v>
      </c>
      <c r="L955">
        <f t="shared" si="74"/>
        <v>5.0875604329255211</v>
      </c>
    </row>
    <row r="956" spans="1:12" x14ac:dyDescent="0.3">
      <c r="A956">
        <v>4.9000000000000004</v>
      </c>
      <c r="B956">
        <v>5.6</v>
      </c>
      <c r="C956">
        <v>5.3147877013177176</v>
      </c>
      <c r="D956">
        <v>5.4679355783308887</v>
      </c>
      <c r="E956">
        <f t="shared" si="70"/>
        <v>-5.4778697889984247E-2</v>
      </c>
      <c r="F956">
        <f t="shared" si="71"/>
        <v>0.17204883716443581</v>
      </c>
      <c r="G956">
        <f t="shared" si="72"/>
        <v>1.7441011470796734E-2</v>
      </c>
      <c r="H956">
        <v>177.90128843338192</v>
      </c>
      <c r="I956">
        <v>162.98770131771641</v>
      </c>
      <c r="J956">
        <v>242.63557833089328</v>
      </c>
      <c r="K956">
        <f t="shared" si="73"/>
        <v>5.3589250395271</v>
      </c>
      <c r="L956">
        <f t="shared" si="74"/>
        <v>5.5163863517593388</v>
      </c>
    </row>
    <row r="957" spans="1:12" x14ac:dyDescent="0.3">
      <c r="A957">
        <v>5.8</v>
      </c>
      <c r="B957">
        <v>6.7</v>
      </c>
      <c r="C957">
        <v>5.3147877013177176</v>
      </c>
      <c r="D957">
        <v>5.4679355783308887</v>
      </c>
      <c r="E957">
        <f t="shared" si="70"/>
        <v>0.59781281016272625</v>
      </c>
      <c r="F957">
        <f t="shared" si="71"/>
        <v>0.23543097479254424</v>
      </c>
      <c r="G957">
        <f t="shared" si="72"/>
        <v>1.517982739142842</v>
      </c>
      <c r="H957">
        <v>177.90128843338192</v>
      </c>
      <c r="I957">
        <v>162.98770131771641</v>
      </c>
      <c r="J957">
        <v>242.63557833089328</v>
      </c>
      <c r="K957">
        <f t="shared" si="73"/>
        <v>6.3464656578421126</v>
      </c>
      <c r="L957">
        <f t="shared" si="74"/>
        <v>6.6004369268290626</v>
      </c>
    </row>
    <row r="958" spans="1:12" x14ac:dyDescent="0.3">
      <c r="A958">
        <v>5.9</v>
      </c>
      <c r="B958">
        <v>7.1</v>
      </c>
      <c r="C958">
        <v>5.3147877013177176</v>
      </c>
      <c r="D958">
        <v>5.4679355783308887</v>
      </c>
      <c r="E958">
        <f t="shared" si="70"/>
        <v>0.95510417180255081</v>
      </c>
      <c r="F958">
        <f t="shared" si="71"/>
        <v>0.34247343452900131</v>
      </c>
      <c r="G958">
        <f t="shared" si="72"/>
        <v>2.6636342764781293</v>
      </c>
      <c r="H958">
        <v>177.90128843338192</v>
      </c>
      <c r="I958">
        <v>162.98770131771641</v>
      </c>
      <c r="J958">
        <v>242.63557833089328</v>
      </c>
      <c r="K958">
        <f t="shared" si="73"/>
        <v>6.6732194821538506</v>
      </c>
      <c r="L958">
        <f t="shared" si="74"/>
        <v>6.95912361230004</v>
      </c>
    </row>
    <row r="959" spans="1:12" x14ac:dyDescent="0.3">
      <c r="A959">
        <v>5.4</v>
      </c>
      <c r="B959">
        <v>5.3</v>
      </c>
      <c r="C959">
        <v>5.3147877013177176</v>
      </c>
      <c r="D959">
        <v>5.4679355783308887</v>
      </c>
      <c r="E959">
        <f t="shared" si="70"/>
        <v>-1.4310176660113597E-2</v>
      </c>
      <c r="F959">
        <f t="shared" si="71"/>
        <v>7.2611358467185661E-3</v>
      </c>
      <c r="G959">
        <f t="shared" si="72"/>
        <v>2.8202358469330124E-2</v>
      </c>
      <c r="H959">
        <v>177.90128843338192</v>
      </c>
      <c r="I959">
        <v>162.98770131771641</v>
      </c>
      <c r="J959">
        <v>242.63557833089328</v>
      </c>
      <c r="K959">
        <f t="shared" si="73"/>
        <v>5.1957098646344058</v>
      </c>
      <c r="L959">
        <f t="shared" si="74"/>
        <v>5.3372205524786747</v>
      </c>
    </row>
    <row r="960" spans="1:12" x14ac:dyDescent="0.3">
      <c r="A960">
        <v>5.6</v>
      </c>
      <c r="B960">
        <v>5.5</v>
      </c>
      <c r="C960">
        <v>5.3147877013177176</v>
      </c>
      <c r="D960">
        <v>5.4679355783308887</v>
      </c>
      <c r="E960">
        <f t="shared" si="70"/>
        <v>9.1451674101652013E-3</v>
      </c>
      <c r="F960">
        <f t="shared" si="71"/>
        <v>8.1346055319631266E-2</v>
      </c>
      <c r="G960">
        <f t="shared" si="72"/>
        <v>1.0281271369745727E-3</v>
      </c>
      <c r="H960">
        <v>177.90128843338192</v>
      </c>
      <c r="I960">
        <v>162.98770131771641</v>
      </c>
      <c r="J960">
        <v>242.63557833089328</v>
      </c>
      <c r="K960">
        <f t="shared" si="73"/>
        <v>5.3804390011401306</v>
      </c>
      <c r="L960">
        <f t="shared" si="74"/>
        <v>5.5400028208200514</v>
      </c>
    </row>
    <row r="961" spans="1:12" x14ac:dyDescent="0.3">
      <c r="A961">
        <v>5.2</v>
      </c>
      <c r="B961">
        <v>5.5</v>
      </c>
      <c r="C961">
        <v>5.3147877013177176</v>
      </c>
      <c r="D961">
        <v>5.4679355783308887</v>
      </c>
      <c r="E961">
        <f t="shared" si="70"/>
        <v>-3.6806012574792917E-3</v>
      </c>
      <c r="F961">
        <f t="shared" si="71"/>
        <v>1.3176216373805507E-2</v>
      </c>
      <c r="G961">
        <f t="shared" si="72"/>
        <v>1.0281271369745727E-3</v>
      </c>
      <c r="H961">
        <v>177.90128843338192</v>
      </c>
      <c r="I961">
        <v>162.98770131771641</v>
      </c>
      <c r="J961">
        <v>242.63557833089328</v>
      </c>
      <c r="K961">
        <f t="shared" si="73"/>
        <v>5.3234997362071841</v>
      </c>
      <c r="L961">
        <f t="shared" si="74"/>
        <v>5.4774990192043509</v>
      </c>
    </row>
    <row r="962" spans="1:12" x14ac:dyDescent="0.3">
      <c r="A962">
        <v>5.2</v>
      </c>
      <c r="B962">
        <v>5.7</v>
      </c>
      <c r="C962">
        <v>5.3147877013177176</v>
      </c>
      <c r="D962">
        <v>5.4679355783308887</v>
      </c>
      <c r="E962">
        <f t="shared" si="70"/>
        <v>-2.6638141521022798E-2</v>
      </c>
      <c r="F962">
        <f t="shared" si="71"/>
        <v>1.3176216373805507E-2</v>
      </c>
      <c r="G962">
        <f t="shared" si="72"/>
        <v>5.3853895804619169E-2</v>
      </c>
      <c r="H962">
        <v>177.90128843338192</v>
      </c>
      <c r="I962">
        <v>162.98770131771641</v>
      </c>
      <c r="J962">
        <v>242.63557833089328</v>
      </c>
      <c r="K962">
        <f t="shared" si="73"/>
        <v>5.4797592402464357</v>
      </c>
      <c r="L962">
        <f t="shared" si="74"/>
        <v>5.6490293867378778</v>
      </c>
    </row>
    <row r="963" spans="1:12" x14ac:dyDescent="0.3">
      <c r="A963">
        <v>5.5</v>
      </c>
      <c r="B963">
        <v>5.7</v>
      </c>
      <c r="C963">
        <v>5.3147877013177176</v>
      </c>
      <c r="D963">
        <v>5.4679355783308887</v>
      </c>
      <c r="E963">
        <f t="shared" ref="E963:E1026" si="75">(A963-C963)*(B963-D963)</f>
        <v>4.2981184979710596E-2</v>
      </c>
      <c r="F963">
        <f t="shared" ref="F963:F1026" si="76">(A963-C963)^2</f>
        <v>3.4303595583174987E-2</v>
      </c>
      <c r="G963">
        <f t="shared" ref="G963:G1026" si="77">(B963-D963)^2</f>
        <v>5.3853895804619169E-2</v>
      </c>
      <c r="H963">
        <v>177.90128843338192</v>
      </c>
      <c r="I963">
        <v>162.98770131771641</v>
      </c>
      <c r="J963">
        <v>242.63557833089328</v>
      </c>
      <c r="K963">
        <f t="shared" ref="K963:K1026" si="78">(1.097727582*(B963+0.366253474)+0.2*A963)/(0.2+1.097727582^2)</f>
        <v>5.5224636889461456</v>
      </c>
      <c r="L963">
        <f t="shared" ref="L963:L1026" si="79">1.097727582*K963-0.366253474</f>
        <v>5.6959072379496538</v>
      </c>
    </row>
    <row r="964" spans="1:12" x14ac:dyDescent="0.3">
      <c r="A964">
        <v>4.8</v>
      </c>
      <c r="B964">
        <v>5.2</v>
      </c>
      <c r="C964">
        <v>5.3147877013177176</v>
      </c>
      <c r="D964">
        <v>5.4679355783308887</v>
      </c>
      <c r="E964">
        <f t="shared" si="75"/>
        <v>0.13792994047019144</v>
      </c>
      <c r="F964">
        <f t="shared" si="76"/>
        <v>0.26500637742797983</v>
      </c>
      <c r="G964">
        <f t="shared" si="77"/>
        <v>7.1789474135507708E-2</v>
      </c>
      <c r="H964">
        <v>177.90128843338192</v>
      </c>
      <c r="I964">
        <v>162.98770131771641</v>
      </c>
      <c r="J964">
        <v>242.63557833089328</v>
      </c>
      <c r="K964">
        <f t="shared" si="78"/>
        <v>5.032171215215361</v>
      </c>
      <c r="L964">
        <f t="shared" si="79"/>
        <v>5.1576996662883605</v>
      </c>
    </row>
    <row r="965" spans="1:12" x14ac:dyDescent="0.3">
      <c r="A965">
        <v>5.0999999999999996</v>
      </c>
      <c r="B965">
        <v>5.3</v>
      </c>
      <c r="C965">
        <v>5.3147877013177176</v>
      </c>
      <c r="D965">
        <v>5.4679355783308887</v>
      </c>
      <c r="E965">
        <f t="shared" si="75"/>
        <v>3.6070496839153192E-2</v>
      </c>
      <c r="F965">
        <f t="shared" si="76"/>
        <v>4.613375663734922E-2</v>
      </c>
      <c r="G965">
        <f t="shared" si="77"/>
        <v>2.8202358469330124E-2</v>
      </c>
      <c r="H965">
        <v>177.90128843338192</v>
      </c>
      <c r="I965">
        <v>162.98770131771641</v>
      </c>
      <c r="J965">
        <v>242.63557833089328</v>
      </c>
      <c r="K965">
        <f t="shared" si="78"/>
        <v>5.1530054159346959</v>
      </c>
      <c r="L965">
        <f t="shared" si="79"/>
        <v>5.2903427012668987</v>
      </c>
    </row>
    <row r="966" spans="1:12" x14ac:dyDescent="0.3">
      <c r="A966">
        <v>5</v>
      </c>
      <c r="B966">
        <v>5</v>
      </c>
      <c r="C966">
        <v>5.3147877013177176</v>
      </c>
      <c r="D966">
        <v>5.4679355783308887</v>
      </c>
      <c r="E966">
        <f t="shared" si="75"/>
        <v>0.14730036506755725</v>
      </c>
      <c r="F966">
        <f t="shared" si="76"/>
        <v>9.9091296900892592E-2</v>
      </c>
      <c r="G966">
        <f t="shared" si="77"/>
        <v>0.21896370546786328</v>
      </c>
      <c r="H966">
        <v>177.90128843338192</v>
      </c>
      <c r="I966">
        <v>162.98770131771641</v>
      </c>
      <c r="J966">
        <v>242.63557833089328</v>
      </c>
      <c r="K966">
        <f t="shared" si="78"/>
        <v>4.9043813436425818</v>
      </c>
      <c r="L966">
        <f t="shared" si="79"/>
        <v>5.0174211995626834</v>
      </c>
    </row>
    <row r="967" spans="1:12" x14ac:dyDescent="0.3">
      <c r="A967">
        <v>5.0999999999999996</v>
      </c>
      <c r="B967">
        <v>5.3</v>
      </c>
      <c r="C967">
        <v>5.3147877013177176</v>
      </c>
      <c r="D967">
        <v>5.4679355783308887</v>
      </c>
      <c r="E967">
        <f t="shared" si="75"/>
        <v>3.6070496839153192E-2</v>
      </c>
      <c r="F967">
        <f t="shared" si="76"/>
        <v>4.613375663734922E-2</v>
      </c>
      <c r="G967">
        <f t="shared" si="77"/>
        <v>2.8202358469330124E-2</v>
      </c>
      <c r="H967">
        <v>177.90128843338192</v>
      </c>
      <c r="I967">
        <v>162.98770131771641</v>
      </c>
      <c r="J967">
        <v>242.63557833089328</v>
      </c>
      <c r="K967">
        <f t="shared" si="78"/>
        <v>5.1530054159346959</v>
      </c>
      <c r="L967">
        <f t="shared" si="79"/>
        <v>5.2903427012668987</v>
      </c>
    </row>
    <row r="968" spans="1:12" x14ac:dyDescent="0.3">
      <c r="A968">
        <v>4.9000000000000004</v>
      </c>
      <c r="B968">
        <v>5.0999999999999996</v>
      </c>
      <c r="C968">
        <v>5.3147877013177176</v>
      </c>
      <c r="D968">
        <v>5.4679355783308887</v>
      </c>
      <c r="E968">
        <f t="shared" si="75"/>
        <v>0.15261515276887438</v>
      </c>
      <c r="F968">
        <f t="shared" si="76"/>
        <v>0.17204883716443581</v>
      </c>
      <c r="G968">
        <f t="shared" si="77"/>
        <v>0.13537658980168582</v>
      </c>
      <c r="H968">
        <v>177.90128843338192</v>
      </c>
      <c r="I968">
        <v>162.98770131771641</v>
      </c>
      <c r="J968">
        <v>242.63557833089328</v>
      </c>
      <c r="K968">
        <f t="shared" si="78"/>
        <v>4.968276279428971</v>
      </c>
      <c r="L968">
        <f t="shared" si="79"/>
        <v>5.0875604329255211</v>
      </c>
    </row>
    <row r="969" spans="1:12" x14ac:dyDescent="0.3">
      <c r="A969">
        <v>5.7</v>
      </c>
      <c r="B969">
        <v>5.6</v>
      </c>
      <c r="C969">
        <v>5.3147877013177176</v>
      </c>
      <c r="D969">
        <v>5.4679355783308887</v>
      </c>
      <c r="E969">
        <f t="shared" si="75"/>
        <v>5.087283944530447E-2</v>
      </c>
      <c r="F969">
        <f t="shared" si="76"/>
        <v>0.14838851505608808</v>
      </c>
      <c r="G969">
        <f t="shared" si="77"/>
        <v>1.7441011470796734E-2</v>
      </c>
      <c r="H969">
        <v>177.90128843338192</v>
      </c>
      <c r="I969">
        <v>162.98770131771641</v>
      </c>
      <c r="J969">
        <v>242.63557833089328</v>
      </c>
      <c r="K969">
        <f t="shared" si="78"/>
        <v>5.4728035693929922</v>
      </c>
      <c r="L969">
        <f t="shared" si="79"/>
        <v>5.6413939549907397</v>
      </c>
    </row>
    <row r="970" spans="1:12" x14ac:dyDescent="0.3">
      <c r="A970">
        <v>5.6</v>
      </c>
      <c r="B970">
        <v>5.8</v>
      </c>
      <c r="C970">
        <v>5.3147877013177176</v>
      </c>
      <c r="D970">
        <v>5.4679355783308887</v>
      </c>
      <c r="E970">
        <f t="shared" si="75"/>
        <v>9.4708857014849768E-2</v>
      </c>
      <c r="F970">
        <f t="shared" si="76"/>
        <v>8.1346055319631266E-2</v>
      </c>
      <c r="G970">
        <f t="shared" si="77"/>
        <v>0.11026678013844123</v>
      </c>
      <c r="H970">
        <v>177.90128843338192</v>
      </c>
      <c r="I970">
        <v>162.98770131771641</v>
      </c>
      <c r="J970">
        <v>242.63557833089328</v>
      </c>
      <c r="K970">
        <f t="shared" si="78"/>
        <v>5.6148282571990071</v>
      </c>
      <c r="L970">
        <f t="shared" si="79"/>
        <v>5.7972983721203413</v>
      </c>
    </row>
    <row r="971" spans="1:12" x14ac:dyDescent="0.3">
      <c r="A971">
        <v>5</v>
      </c>
      <c r="B971">
        <v>5</v>
      </c>
      <c r="C971">
        <v>5.3147877013177176</v>
      </c>
      <c r="D971">
        <v>5.4679355783308887</v>
      </c>
      <c r="E971">
        <f t="shared" si="75"/>
        <v>0.14730036506755725</v>
      </c>
      <c r="F971">
        <f t="shared" si="76"/>
        <v>9.9091296900892592E-2</v>
      </c>
      <c r="G971">
        <f t="shared" si="77"/>
        <v>0.21896370546786328</v>
      </c>
      <c r="H971">
        <v>177.90128843338192</v>
      </c>
      <c r="I971">
        <v>162.98770131771641</v>
      </c>
      <c r="J971">
        <v>242.63557833089328</v>
      </c>
      <c r="K971">
        <f t="shared" si="78"/>
        <v>4.9043813436425818</v>
      </c>
      <c r="L971">
        <f t="shared" si="79"/>
        <v>5.0174211995626834</v>
      </c>
    </row>
    <row r="972" spans="1:12" x14ac:dyDescent="0.3">
      <c r="A972">
        <v>5.4</v>
      </c>
      <c r="B972">
        <v>5.5</v>
      </c>
      <c r="C972">
        <v>5.3147877013177176</v>
      </c>
      <c r="D972">
        <v>5.4679355783308887</v>
      </c>
      <c r="E972">
        <f t="shared" si="75"/>
        <v>2.7322830763429691E-3</v>
      </c>
      <c r="F972">
        <f t="shared" si="76"/>
        <v>7.2611358467185661E-3</v>
      </c>
      <c r="G972">
        <f t="shared" si="77"/>
        <v>1.0281271369745727E-3</v>
      </c>
      <c r="H972">
        <v>177.90128843338192</v>
      </c>
      <c r="I972">
        <v>162.98770131771641</v>
      </c>
      <c r="J972">
        <v>242.63557833089328</v>
      </c>
      <c r="K972">
        <f t="shared" si="78"/>
        <v>5.3519693686736574</v>
      </c>
      <c r="L972">
        <f t="shared" si="79"/>
        <v>5.5087509200122016</v>
      </c>
    </row>
    <row r="973" spans="1:12" x14ac:dyDescent="0.3">
      <c r="A973">
        <v>5.5</v>
      </c>
      <c r="B973">
        <v>5.5</v>
      </c>
      <c r="C973">
        <v>5.3147877013177176</v>
      </c>
      <c r="D973">
        <v>5.4679355783308887</v>
      </c>
      <c r="E973">
        <f t="shared" si="75"/>
        <v>5.9387252432540859E-3</v>
      </c>
      <c r="F973">
        <f t="shared" si="76"/>
        <v>3.4303595583174987E-2</v>
      </c>
      <c r="G973">
        <f t="shared" si="77"/>
        <v>1.0281271369745727E-3</v>
      </c>
      <c r="H973">
        <v>177.90128843338192</v>
      </c>
      <c r="I973">
        <v>162.98770131771641</v>
      </c>
      <c r="J973">
        <v>242.63557833089328</v>
      </c>
      <c r="K973">
        <f t="shared" si="78"/>
        <v>5.366204184906894</v>
      </c>
      <c r="L973">
        <f t="shared" si="79"/>
        <v>5.5243768704161269</v>
      </c>
    </row>
    <row r="974" spans="1:12" x14ac:dyDescent="0.3">
      <c r="A974">
        <v>5.3</v>
      </c>
      <c r="B974">
        <v>5.3</v>
      </c>
      <c r="C974">
        <v>5.3147877013177176</v>
      </c>
      <c r="D974">
        <v>5.4679355783308887</v>
      </c>
      <c r="E974">
        <f t="shared" si="75"/>
        <v>2.4833811729753838E-3</v>
      </c>
      <c r="F974">
        <f t="shared" si="76"/>
        <v>2.1867611026203226E-4</v>
      </c>
      <c r="G974">
        <f t="shared" si="77"/>
        <v>2.8202358469330124E-2</v>
      </c>
      <c r="H974">
        <v>177.90128843338192</v>
      </c>
      <c r="I974">
        <v>162.98770131771641</v>
      </c>
      <c r="J974">
        <v>242.63557833089328</v>
      </c>
      <c r="K974">
        <f t="shared" si="78"/>
        <v>5.1814750484011682</v>
      </c>
      <c r="L974">
        <f t="shared" si="79"/>
        <v>5.3215946020747484</v>
      </c>
    </row>
    <row r="975" spans="1:12" x14ac:dyDescent="0.3">
      <c r="A975">
        <v>5.0999999999999996</v>
      </c>
      <c r="B975">
        <v>5.5</v>
      </c>
      <c r="C975">
        <v>5.3147877013177176</v>
      </c>
      <c r="D975">
        <v>5.4679355783308887</v>
      </c>
      <c r="E975">
        <f t="shared" si="75"/>
        <v>-6.8870434243904367E-3</v>
      </c>
      <c r="F975">
        <f t="shared" si="76"/>
        <v>4.613375663734922E-2</v>
      </c>
      <c r="G975">
        <f t="shared" si="77"/>
        <v>1.0281271369745727E-3</v>
      </c>
      <c r="H975">
        <v>177.90128843338192</v>
      </c>
      <c r="I975">
        <v>162.98770131771641</v>
      </c>
      <c r="J975">
        <v>242.63557833089328</v>
      </c>
      <c r="K975">
        <f t="shared" si="78"/>
        <v>5.3092649199739474</v>
      </c>
      <c r="L975">
        <f t="shared" si="79"/>
        <v>5.4618730688004256</v>
      </c>
    </row>
    <row r="976" spans="1:12" x14ac:dyDescent="0.3">
      <c r="A976">
        <v>5.5</v>
      </c>
      <c r="B976">
        <v>6.1</v>
      </c>
      <c r="C976">
        <v>5.3147877013177176</v>
      </c>
      <c r="D976">
        <v>5.4679355783308887</v>
      </c>
      <c r="E976">
        <f t="shared" si="75"/>
        <v>0.11706610445262346</v>
      </c>
      <c r="F976">
        <f t="shared" si="76"/>
        <v>3.4303595583174987E-2</v>
      </c>
      <c r="G976">
        <f t="shared" si="77"/>
        <v>0.39950543313990766</v>
      </c>
      <c r="H976">
        <v>177.90128843338192</v>
      </c>
      <c r="I976">
        <v>162.98770131771641</v>
      </c>
      <c r="J976">
        <v>242.63557833089328</v>
      </c>
      <c r="K976">
        <f t="shared" si="78"/>
        <v>5.8349826970246479</v>
      </c>
      <c r="L976">
        <f t="shared" si="79"/>
        <v>6.0389679730167058</v>
      </c>
    </row>
    <row r="977" spans="1:12" x14ac:dyDescent="0.3">
      <c r="A977">
        <v>5.2</v>
      </c>
      <c r="B977">
        <v>5.4</v>
      </c>
      <c r="C977">
        <v>5.3147877013177176</v>
      </c>
      <c r="D977">
        <v>5.4679355783308887</v>
      </c>
      <c r="E977">
        <f t="shared" si="75"/>
        <v>7.7981688742924105E-3</v>
      </c>
      <c r="F977">
        <f t="shared" si="76"/>
        <v>1.3176216373805507E-2</v>
      </c>
      <c r="G977">
        <f t="shared" si="77"/>
        <v>4.615242803152269E-3</v>
      </c>
      <c r="H977">
        <v>177.90128843338192</v>
      </c>
      <c r="I977">
        <v>162.98770131771641</v>
      </c>
      <c r="J977">
        <v>242.63557833089328</v>
      </c>
      <c r="K977">
        <f t="shared" si="78"/>
        <v>5.2453699841875583</v>
      </c>
      <c r="L977">
        <f t="shared" si="79"/>
        <v>5.391733835437587</v>
      </c>
    </row>
    <row r="978" spans="1:12" x14ac:dyDescent="0.3">
      <c r="A978">
        <v>5</v>
      </c>
      <c r="B978">
        <v>5.0999999999999996</v>
      </c>
      <c r="C978">
        <v>5.3147877013177176</v>
      </c>
      <c r="D978">
        <v>5.4679355783308887</v>
      </c>
      <c r="E978">
        <f t="shared" si="75"/>
        <v>0.1158215949357856</v>
      </c>
      <c r="F978">
        <f t="shared" si="76"/>
        <v>9.9091296900892592E-2</v>
      </c>
      <c r="G978">
        <f t="shared" si="77"/>
        <v>0.13537658980168582</v>
      </c>
      <c r="H978">
        <v>177.90128843338192</v>
      </c>
      <c r="I978">
        <v>162.98770131771641</v>
      </c>
      <c r="J978">
        <v>242.63557833089328</v>
      </c>
      <c r="K978">
        <f t="shared" si="78"/>
        <v>4.9825110956622076</v>
      </c>
      <c r="L978">
        <f t="shared" si="79"/>
        <v>5.1031863833294464</v>
      </c>
    </row>
    <row r="979" spans="1:12" x14ac:dyDescent="0.3">
      <c r="A979">
        <v>5.3</v>
      </c>
      <c r="B979">
        <v>5.2</v>
      </c>
      <c r="C979">
        <v>5.3147877013177176</v>
      </c>
      <c r="D979">
        <v>5.4679355783308887</v>
      </c>
      <c r="E979">
        <f t="shared" si="75"/>
        <v>3.9621513047471569E-3</v>
      </c>
      <c r="F979">
        <f t="shared" si="76"/>
        <v>2.1867611026203226E-4</v>
      </c>
      <c r="G979">
        <f t="shared" si="77"/>
        <v>7.1789474135507708E-2</v>
      </c>
      <c r="H979">
        <v>177.90128843338192</v>
      </c>
      <c r="I979">
        <v>162.98770131771641</v>
      </c>
      <c r="J979">
        <v>242.63557833089328</v>
      </c>
      <c r="K979">
        <f t="shared" si="78"/>
        <v>5.1033452963815442</v>
      </c>
      <c r="L979">
        <f t="shared" si="79"/>
        <v>5.2358294183079863</v>
      </c>
    </row>
    <row r="980" spans="1:12" x14ac:dyDescent="0.3">
      <c r="A980">
        <v>5.0999999999999996</v>
      </c>
      <c r="B980">
        <v>5.7</v>
      </c>
      <c r="C980">
        <v>5.3147877013177176</v>
      </c>
      <c r="D980">
        <v>5.4679355783308887</v>
      </c>
      <c r="E980">
        <f t="shared" si="75"/>
        <v>-4.9844583687934069E-2</v>
      </c>
      <c r="F980">
        <f t="shared" si="76"/>
        <v>4.613375663734922E-2</v>
      </c>
      <c r="G980">
        <f t="shared" si="77"/>
        <v>5.3853895804619169E-2</v>
      </c>
      <c r="H980">
        <v>177.90128843338192</v>
      </c>
      <c r="I980">
        <v>162.98770131771641</v>
      </c>
      <c r="J980">
        <v>242.63557833089328</v>
      </c>
      <c r="K980">
        <f t="shared" si="78"/>
        <v>5.465524424013199</v>
      </c>
      <c r="L980">
        <f t="shared" si="79"/>
        <v>5.6334034363339525</v>
      </c>
    </row>
    <row r="981" spans="1:12" x14ac:dyDescent="0.3">
      <c r="A981">
        <v>5.3</v>
      </c>
      <c r="B981">
        <v>5.4</v>
      </c>
      <c r="C981">
        <v>5.3147877013177176</v>
      </c>
      <c r="D981">
        <v>5.4679355783308887</v>
      </c>
      <c r="E981">
        <f t="shared" si="75"/>
        <v>1.0046110412035977E-3</v>
      </c>
      <c r="F981">
        <f t="shared" si="76"/>
        <v>2.1867611026203226E-4</v>
      </c>
      <c r="G981">
        <f t="shared" si="77"/>
        <v>4.615242803152269E-3</v>
      </c>
      <c r="H981">
        <v>177.90128843338192</v>
      </c>
      <c r="I981">
        <v>162.98770131771641</v>
      </c>
      <c r="J981">
        <v>242.63557833089328</v>
      </c>
      <c r="K981">
        <f t="shared" si="78"/>
        <v>5.2596048004207958</v>
      </c>
      <c r="L981">
        <f t="shared" si="79"/>
        <v>5.4073597858415132</v>
      </c>
    </row>
    <row r="982" spans="1:12" x14ac:dyDescent="0.3">
      <c r="A982">
        <v>5.0999999999999996</v>
      </c>
      <c r="B982">
        <v>5.3</v>
      </c>
      <c r="C982">
        <v>5.3147877013177176</v>
      </c>
      <c r="D982">
        <v>5.4679355783308887</v>
      </c>
      <c r="E982">
        <f t="shared" si="75"/>
        <v>3.6070496839153192E-2</v>
      </c>
      <c r="F982">
        <f t="shared" si="76"/>
        <v>4.613375663734922E-2</v>
      </c>
      <c r="G982">
        <f t="shared" si="77"/>
        <v>2.8202358469330124E-2</v>
      </c>
      <c r="H982">
        <v>177.90128843338192</v>
      </c>
      <c r="I982">
        <v>162.98770131771641</v>
      </c>
      <c r="J982">
        <v>242.63557833089328</v>
      </c>
      <c r="K982">
        <f t="shared" si="78"/>
        <v>5.1530054159346959</v>
      </c>
      <c r="L982">
        <f t="shared" si="79"/>
        <v>5.2903427012668987</v>
      </c>
    </row>
    <row r="983" spans="1:12" x14ac:dyDescent="0.3">
      <c r="A983">
        <v>5.9</v>
      </c>
      <c r="B983">
        <v>6.4</v>
      </c>
      <c r="C983">
        <v>5.3147877013177176</v>
      </c>
      <c r="D983">
        <v>5.4679355783308887</v>
      </c>
      <c r="E983">
        <f t="shared" si="75"/>
        <v>0.54545556272495332</v>
      </c>
      <c r="F983">
        <f t="shared" si="76"/>
        <v>0.34247343452900131</v>
      </c>
      <c r="G983">
        <f t="shared" si="77"/>
        <v>0.86874408614137555</v>
      </c>
      <c r="H983">
        <v>177.90128843338192</v>
      </c>
      <c r="I983">
        <v>162.98770131771641</v>
      </c>
      <c r="J983">
        <v>242.63557833089328</v>
      </c>
      <c r="K983">
        <f t="shared" si="78"/>
        <v>6.1263112180164727</v>
      </c>
      <c r="L983">
        <f t="shared" si="79"/>
        <v>6.358767325932698</v>
      </c>
    </row>
    <row r="984" spans="1:12" x14ac:dyDescent="0.3">
      <c r="A984">
        <v>5.2</v>
      </c>
      <c r="B984">
        <v>5.3</v>
      </c>
      <c r="C984">
        <v>5.3147877013177176</v>
      </c>
      <c r="D984">
        <v>5.4679355783308887</v>
      </c>
      <c r="E984">
        <f t="shared" si="75"/>
        <v>1.9276939006064215E-2</v>
      </c>
      <c r="F984">
        <f t="shared" si="76"/>
        <v>1.3176216373805507E-2</v>
      </c>
      <c r="G984">
        <f t="shared" si="77"/>
        <v>2.8202358469330124E-2</v>
      </c>
      <c r="H984">
        <v>177.90128843338192</v>
      </c>
      <c r="I984">
        <v>162.98770131771641</v>
      </c>
      <c r="J984">
        <v>242.63557833089328</v>
      </c>
      <c r="K984">
        <f t="shared" si="78"/>
        <v>5.1672402321679325</v>
      </c>
      <c r="L984">
        <f t="shared" si="79"/>
        <v>5.305968651670824</v>
      </c>
    </row>
    <row r="985" spans="1:12" x14ac:dyDescent="0.3">
      <c r="A985">
        <v>5.2</v>
      </c>
      <c r="B985">
        <v>5.2</v>
      </c>
      <c r="C985">
        <v>5.3147877013177176</v>
      </c>
      <c r="D985">
        <v>5.4679355783308887</v>
      </c>
      <c r="E985">
        <f t="shared" si="75"/>
        <v>3.0755709137835915E-2</v>
      </c>
      <c r="F985">
        <f t="shared" si="76"/>
        <v>1.3176216373805507E-2</v>
      </c>
      <c r="G985">
        <f t="shared" si="77"/>
        <v>7.1789474135507708E-2</v>
      </c>
      <c r="H985">
        <v>177.90128843338192</v>
      </c>
      <c r="I985">
        <v>162.98770131771641</v>
      </c>
      <c r="J985">
        <v>242.63557833089328</v>
      </c>
      <c r="K985">
        <f t="shared" si="78"/>
        <v>5.0891104801483067</v>
      </c>
      <c r="L985">
        <f t="shared" si="79"/>
        <v>5.2202034679040601</v>
      </c>
    </row>
    <row r="986" spans="1:12" x14ac:dyDescent="0.3">
      <c r="A986">
        <v>5.3</v>
      </c>
      <c r="B986">
        <v>5.2</v>
      </c>
      <c r="C986">
        <v>5.3147877013177176</v>
      </c>
      <c r="D986">
        <v>5.4679355783308887</v>
      </c>
      <c r="E986">
        <f t="shared" si="75"/>
        <v>3.9621513047471569E-3</v>
      </c>
      <c r="F986">
        <f t="shared" si="76"/>
        <v>2.1867611026203226E-4</v>
      </c>
      <c r="G986">
        <f t="shared" si="77"/>
        <v>7.1789474135507708E-2</v>
      </c>
      <c r="H986">
        <v>177.90128843338192</v>
      </c>
      <c r="I986">
        <v>162.98770131771641</v>
      </c>
      <c r="J986">
        <v>242.63557833089328</v>
      </c>
      <c r="K986">
        <f t="shared" si="78"/>
        <v>5.1033452963815442</v>
      </c>
      <c r="L986">
        <f t="shared" si="79"/>
        <v>5.2358294183079863</v>
      </c>
    </row>
    <row r="987" spans="1:12" x14ac:dyDescent="0.3">
      <c r="A987">
        <v>5</v>
      </c>
      <c r="B987">
        <v>5.2</v>
      </c>
      <c r="C987">
        <v>5.3147877013177176</v>
      </c>
      <c r="D987">
        <v>5.4679355783308887</v>
      </c>
      <c r="E987">
        <f t="shared" si="75"/>
        <v>8.4342824804013672E-2</v>
      </c>
      <c r="F987">
        <f t="shared" si="76"/>
        <v>9.9091296900892592E-2</v>
      </c>
      <c r="G987">
        <f t="shared" si="77"/>
        <v>7.1789474135507708E-2</v>
      </c>
      <c r="H987">
        <v>177.90128843338192</v>
      </c>
      <c r="I987">
        <v>162.98770131771641</v>
      </c>
      <c r="J987">
        <v>242.63557833089328</v>
      </c>
      <c r="K987">
        <f t="shared" si="78"/>
        <v>5.0606408476818334</v>
      </c>
      <c r="L987">
        <f t="shared" si="79"/>
        <v>5.1889515670962103</v>
      </c>
    </row>
    <row r="988" spans="1:12" x14ac:dyDescent="0.3">
      <c r="A988">
        <v>5.6</v>
      </c>
      <c r="B988">
        <v>5.7</v>
      </c>
      <c r="C988">
        <v>5.3147877013177176</v>
      </c>
      <c r="D988">
        <v>5.4679355783308887</v>
      </c>
      <c r="E988">
        <f t="shared" si="75"/>
        <v>6.6187627146621658E-2</v>
      </c>
      <c r="F988">
        <f t="shared" si="76"/>
        <v>8.1346055319631266E-2</v>
      </c>
      <c r="G988">
        <f t="shared" si="77"/>
        <v>5.3853895804619169E-2</v>
      </c>
      <c r="H988">
        <v>177.90128843338192</v>
      </c>
      <c r="I988">
        <v>162.98770131771641</v>
      </c>
      <c r="J988">
        <v>242.63557833089328</v>
      </c>
      <c r="K988">
        <f t="shared" si="78"/>
        <v>5.5366985051793822</v>
      </c>
      <c r="L988">
        <f t="shared" si="79"/>
        <v>5.7115331883535783</v>
      </c>
    </row>
    <row r="989" spans="1:12" x14ac:dyDescent="0.3">
      <c r="A989">
        <v>5.2</v>
      </c>
      <c r="B989">
        <v>5.4</v>
      </c>
      <c r="C989">
        <v>5.3147877013177176</v>
      </c>
      <c r="D989">
        <v>5.4679355783308887</v>
      </c>
      <c r="E989">
        <f t="shared" si="75"/>
        <v>7.7981688742924105E-3</v>
      </c>
      <c r="F989">
        <f t="shared" si="76"/>
        <v>1.3176216373805507E-2</v>
      </c>
      <c r="G989">
        <f t="shared" si="77"/>
        <v>4.615242803152269E-3</v>
      </c>
      <c r="H989">
        <v>177.90128843338192</v>
      </c>
      <c r="I989">
        <v>162.98770131771641</v>
      </c>
      <c r="J989">
        <v>242.63557833089328</v>
      </c>
      <c r="K989">
        <f t="shared" si="78"/>
        <v>5.2453699841875583</v>
      </c>
      <c r="L989">
        <f t="shared" si="79"/>
        <v>5.391733835437587</v>
      </c>
    </row>
    <row r="990" spans="1:12" x14ac:dyDescent="0.3">
      <c r="A990">
        <v>4.9000000000000004</v>
      </c>
      <c r="B990">
        <v>5</v>
      </c>
      <c r="C990">
        <v>5.3147877013177176</v>
      </c>
      <c r="D990">
        <v>5.4679355783308887</v>
      </c>
      <c r="E990">
        <f t="shared" si="75"/>
        <v>0.19409392290064595</v>
      </c>
      <c r="F990">
        <f t="shared" si="76"/>
        <v>0.17204883716443581</v>
      </c>
      <c r="G990">
        <f t="shared" si="77"/>
        <v>0.21896370546786328</v>
      </c>
      <c r="H990">
        <v>177.90128843338192</v>
      </c>
      <c r="I990">
        <v>162.98770131771641</v>
      </c>
      <c r="J990">
        <v>242.63557833089328</v>
      </c>
      <c r="K990">
        <f t="shared" si="78"/>
        <v>4.8901465274093461</v>
      </c>
      <c r="L990">
        <f t="shared" si="79"/>
        <v>5.0017952491587589</v>
      </c>
    </row>
    <row r="991" spans="1:12" x14ac:dyDescent="0.3">
      <c r="A991">
        <v>5.2</v>
      </c>
      <c r="B991">
        <v>5.5</v>
      </c>
      <c r="C991">
        <v>5.3147877013177176</v>
      </c>
      <c r="D991">
        <v>5.4679355783308887</v>
      </c>
      <c r="E991">
        <f t="shared" si="75"/>
        <v>-3.6806012574792917E-3</v>
      </c>
      <c r="F991">
        <f t="shared" si="76"/>
        <v>1.3176216373805507E-2</v>
      </c>
      <c r="G991">
        <f t="shared" si="77"/>
        <v>1.0281271369745727E-3</v>
      </c>
      <c r="H991">
        <v>177.90128843338192</v>
      </c>
      <c r="I991">
        <v>162.98770131771641</v>
      </c>
      <c r="J991">
        <v>242.63557833089328</v>
      </c>
      <c r="K991">
        <f t="shared" si="78"/>
        <v>5.3234997362071841</v>
      </c>
      <c r="L991">
        <f t="shared" si="79"/>
        <v>5.4774990192043509</v>
      </c>
    </row>
    <row r="992" spans="1:12" x14ac:dyDescent="0.3">
      <c r="A992">
        <v>5.5</v>
      </c>
      <c r="B992">
        <v>5.4</v>
      </c>
      <c r="C992">
        <v>5.3147877013177176</v>
      </c>
      <c r="D992">
        <v>5.4679355783308887</v>
      </c>
      <c r="E992">
        <f t="shared" si="75"/>
        <v>-1.2582504624974088E-2</v>
      </c>
      <c r="F992">
        <f t="shared" si="76"/>
        <v>3.4303595583174987E-2</v>
      </c>
      <c r="G992">
        <f t="shared" si="77"/>
        <v>4.615242803152269E-3</v>
      </c>
      <c r="H992">
        <v>177.90128843338192</v>
      </c>
      <c r="I992">
        <v>162.98770131771641</v>
      </c>
      <c r="J992">
        <v>242.63557833089328</v>
      </c>
      <c r="K992">
        <f t="shared" si="78"/>
        <v>5.2880744328872682</v>
      </c>
      <c r="L992">
        <f t="shared" si="79"/>
        <v>5.438611686649363</v>
      </c>
    </row>
    <row r="993" spans="1:12" x14ac:dyDescent="0.3">
      <c r="A993">
        <v>5</v>
      </c>
      <c r="B993">
        <v>5.3</v>
      </c>
      <c r="C993">
        <v>5.3147877013177176</v>
      </c>
      <c r="D993">
        <v>5.4679355783308887</v>
      </c>
      <c r="E993">
        <f t="shared" si="75"/>
        <v>5.2864054672242027E-2</v>
      </c>
      <c r="F993">
        <f t="shared" si="76"/>
        <v>9.9091296900892592E-2</v>
      </c>
      <c r="G993">
        <f t="shared" si="77"/>
        <v>2.8202358469330124E-2</v>
      </c>
      <c r="H993">
        <v>177.90128843338192</v>
      </c>
      <c r="I993">
        <v>162.98770131771641</v>
      </c>
      <c r="J993">
        <v>242.63557833089328</v>
      </c>
      <c r="K993">
        <f t="shared" si="78"/>
        <v>5.1387705997014592</v>
      </c>
      <c r="L993">
        <f t="shared" si="79"/>
        <v>5.2747167508629733</v>
      </c>
    </row>
    <row r="994" spans="1:12" x14ac:dyDescent="0.3">
      <c r="A994">
        <v>5.2</v>
      </c>
      <c r="B994">
        <v>5.3</v>
      </c>
      <c r="C994">
        <v>5.3147877013177176</v>
      </c>
      <c r="D994">
        <v>5.4679355783308887</v>
      </c>
      <c r="E994">
        <f t="shared" si="75"/>
        <v>1.9276939006064215E-2</v>
      </c>
      <c r="F994">
        <f t="shared" si="76"/>
        <v>1.3176216373805507E-2</v>
      </c>
      <c r="G994">
        <f t="shared" si="77"/>
        <v>2.8202358469330124E-2</v>
      </c>
      <c r="H994">
        <v>177.90128843338192</v>
      </c>
      <c r="I994">
        <v>162.98770131771641</v>
      </c>
      <c r="J994">
        <v>242.63557833089328</v>
      </c>
      <c r="K994">
        <f t="shared" si="78"/>
        <v>5.1672402321679325</v>
      </c>
      <c r="L994">
        <f t="shared" si="79"/>
        <v>5.305968651670824</v>
      </c>
    </row>
    <row r="995" spans="1:12" x14ac:dyDescent="0.3">
      <c r="A995">
        <v>5.2</v>
      </c>
      <c r="B995">
        <v>5.2</v>
      </c>
      <c r="C995">
        <v>5.3147877013177176</v>
      </c>
      <c r="D995">
        <v>5.4679355783308887</v>
      </c>
      <c r="E995">
        <f t="shared" si="75"/>
        <v>3.0755709137835915E-2</v>
      </c>
      <c r="F995">
        <f t="shared" si="76"/>
        <v>1.3176216373805507E-2</v>
      </c>
      <c r="G995">
        <f t="shared" si="77"/>
        <v>7.1789474135507708E-2</v>
      </c>
      <c r="H995">
        <v>177.90128843338192</v>
      </c>
      <c r="I995">
        <v>162.98770131771641</v>
      </c>
      <c r="J995">
        <v>242.63557833089328</v>
      </c>
      <c r="K995">
        <f t="shared" si="78"/>
        <v>5.0891104801483067</v>
      </c>
      <c r="L995">
        <f t="shared" si="79"/>
        <v>5.2202034679040601</v>
      </c>
    </row>
    <row r="996" spans="1:12" x14ac:dyDescent="0.3">
      <c r="A996">
        <v>5.0999999999999996</v>
      </c>
      <c r="B996">
        <v>5.2</v>
      </c>
      <c r="C996">
        <v>5.3147877013177176</v>
      </c>
      <c r="D996">
        <v>5.4679355783308887</v>
      </c>
      <c r="E996">
        <f t="shared" si="75"/>
        <v>5.7549266970924912E-2</v>
      </c>
      <c r="F996">
        <f t="shared" si="76"/>
        <v>4.613375663734922E-2</v>
      </c>
      <c r="G996">
        <f t="shared" si="77"/>
        <v>7.1789474135507708E-2</v>
      </c>
      <c r="H996">
        <v>177.90128843338192</v>
      </c>
      <c r="I996">
        <v>162.98770131771641</v>
      </c>
      <c r="J996">
        <v>242.63557833089328</v>
      </c>
      <c r="K996">
        <f t="shared" si="78"/>
        <v>5.0748756639150701</v>
      </c>
      <c r="L996">
        <f t="shared" si="79"/>
        <v>5.2045775175001356</v>
      </c>
    </row>
    <row r="997" spans="1:12" x14ac:dyDescent="0.3">
      <c r="A997">
        <v>5.7</v>
      </c>
      <c r="B997">
        <v>6</v>
      </c>
      <c r="C997">
        <v>5.3147877013177176</v>
      </c>
      <c r="D997">
        <v>5.4679355783308887</v>
      </c>
      <c r="E997">
        <f t="shared" si="75"/>
        <v>0.20495775891821763</v>
      </c>
      <c r="F997">
        <f t="shared" si="76"/>
        <v>0.14838851505608808</v>
      </c>
      <c r="G997">
        <f t="shared" si="77"/>
        <v>0.28309254880608586</v>
      </c>
      <c r="H997">
        <v>177.90128843338192</v>
      </c>
      <c r="I997">
        <v>162.98770131771641</v>
      </c>
      <c r="J997">
        <v>242.63557833089328</v>
      </c>
      <c r="K997">
        <f t="shared" si="78"/>
        <v>5.7853225774714954</v>
      </c>
      <c r="L997">
        <f t="shared" si="79"/>
        <v>5.9844546900577935</v>
      </c>
    </row>
    <row r="998" spans="1:12" x14ac:dyDescent="0.3">
      <c r="A998">
        <v>5.8</v>
      </c>
      <c r="B998">
        <v>6.4</v>
      </c>
      <c r="C998">
        <v>5.3147877013177176</v>
      </c>
      <c r="D998">
        <v>5.4679355783308887</v>
      </c>
      <c r="E998">
        <f t="shared" si="75"/>
        <v>0.45224912055804162</v>
      </c>
      <c r="F998">
        <f t="shared" si="76"/>
        <v>0.23543097479254424</v>
      </c>
      <c r="G998">
        <f t="shared" si="77"/>
        <v>0.86874408614137555</v>
      </c>
      <c r="H998">
        <v>177.90128843338192</v>
      </c>
      <c r="I998">
        <v>162.98770131771641</v>
      </c>
      <c r="J998">
        <v>242.63557833089328</v>
      </c>
      <c r="K998">
        <f t="shared" si="78"/>
        <v>6.1120764017832352</v>
      </c>
      <c r="L998">
        <f t="shared" si="79"/>
        <v>6.3431413755287718</v>
      </c>
    </row>
    <row r="999" spans="1:12" x14ac:dyDescent="0.3">
      <c r="A999">
        <v>5.4</v>
      </c>
      <c r="B999">
        <v>5.3</v>
      </c>
      <c r="C999">
        <v>5.3147877013177176</v>
      </c>
      <c r="D999">
        <v>5.4679355783308887</v>
      </c>
      <c r="E999">
        <f t="shared" si="75"/>
        <v>-1.4310176660113597E-2</v>
      </c>
      <c r="F999">
        <f t="shared" si="76"/>
        <v>7.2611358467185661E-3</v>
      </c>
      <c r="G999">
        <f t="shared" si="77"/>
        <v>2.8202358469330124E-2</v>
      </c>
      <c r="H999">
        <v>177.90128843338192</v>
      </c>
      <c r="I999">
        <v>162.98770131771641</v>
      </c>
      <c r="J999">
        <v>242.63557833089328</v>
      </c>
      <c r="K999">
        <f t="shared" si="78"/>
        <v>5.1957098646344058</v>
      </c>
      <c r="L999">
        <f t="shared" si="79"/>
        <v>5.3372205524786747</v>
      </c>
    </row>
    <row r="1000" spans="1:12" x14ac:dyDescent="0.3">
      <c r="A1000">
        <v>6.2</v>
      </c>
      <c r="B1000">
        <v>6.7</v>
      </c>
      <c r="C1000">
        <v>5.3147877013177176</v>
      </c>
      <c r="D1000">
        <v>5.4679355783308887</v>
      </c>
      <c r="E1000">
        <f t="shared" si="75"/>
        <v>1.0906385788303712</v>
      </c>
      <c r="F1000">
        <f t="shared" si="76"/>
        <v>0.78360081373837065</v>
      </c>
      <c r="G1000">
        <f t="shared" si="77"/>
        <v>1.517982739142842</v>
      </c>
      <c r="H1000">
        <v>177.90128843338192</v>
      </c>
      <c r="I1000">
        <v>162.98770131771641</v>
      </c>
      <c r="J1000">
        <v>242.63557833089328</v>
      </c>
      <c r="K1000">
        <f t="shared" si="78"/>
        <v>6.4034049227750591</v>
      </c>
      <c r="L1000">
        <f t="shared" si="79"/>
        <v>6.662940728444763</v>
      </c>
    </row>
    <row r="1001" spans="1:12" x14ac:dyDescent="0.3">
      <c r="A1001">
        <v>5.6</v>
      </c>
      <c r="B1001">
        <v>6</v>
      </c>
      <c r="C1001">
        <v>5.3147877013177176</v>
      </c>
      <c r="D1001">
        <v>5.4679355783308887</v>
      </c>
      <c r="E1001">
        <f t="shared" si="75"/>
        <v>0.15175131675130621</v>
      </c>
      <c r="F1001">
        <f t="shared" si="76"/>
        <v>8.1346055319631266E-2</v>
      </c>
      <c r="G1001">
        <f t="shared" si="77"/>
        <v>0.28309254880608586</v>
      </c>
      <c r="H1001">
        <v>177.90128843338192</v>
      </c>
      <c r="I1001">
        <v>162.98770131771641</v>
      </c>
      <c r="J1001">
        <v>242.63557833089328</v>
      </c>
      <c r="K1001">
        <f t="shared" si="78"/>
        <v>5.7710877612382596</v>
      </c>
      <c r="L1001">
        <f t="shared" si="79"/>
        <v>5.9688287396538691</v>
      </c>
    </row>
    <row r="1002" spans="1:12" x14ac:dyDescent="0.3">
      <c r="A1002">
        <v>5.5</v>
      </c>
      <c r="B1002">
        <v>5.3</v>
      </c>
      <c r="C1002">
        <v>5.3147877013177176</v>
      </c>
      <c r="D1002">
        <v>5.4679355783308887</v>
      </c>
      <c r="E1002">
        <f t="shared" si="75"/>
        <v>-3.1103734493202428E-2</v>
      </c>
      <c r="F1002">
        <f t="shared" si="76"/>
        <v>3.4303595583174987E-2</v>
      </c>
      <c r="G1002">
        <f t="shared" si="77"/>
        <v>2.8202358469330124E-2</v>
      </c>
      <c r="H1002">
        <v>177.90128843338192</v>
      </c>
      <c r="I1002">
        <v>162.98770131771641</v>
      </c>
      <c r="J1002">
        <v>242.63557833089328</v>
      </c>
      <c r="K1002">
        <f t="shared" si="78"/>
        <v>5.2099446808676424</v>
      </c>
      <c r="L1002">
        <f t="shared" si="79"/>
        <v>5.3528465028826</v>
      </c>
    </row>
    <row r="1003" spans="1:12" x14ac:dyDescent="0.3">
      <c r="A1003">
        <v>5</v>
      </c>
      <c r="B1003">
        <v>4.9000000000000004</v>
      </c>
      <c r="C1003">
        <v>5.3147877013177176</v>
      </c>
      <c r="D1003">
        <v>5.4679355783308887</v>
      </c>
      <c r="E1003">
        <f t="shared" si="75"/>
        <v>0.17877913519932889</v>
      </c>
      <c r="F1003">
        <f t="shared" si="76"/>
        <v>9.9091296900892592E-2</v>
      </c>
      <c r="G1003">
        <f t="shared" si="77"/>
        <v>0.32255082113404066</v>
      </c>
      <c r="H1003">
        <v>177.90128843338192</v>
      </c>
      <c r="I1003">
        <v>162.98770131771641</v>
      </c>
      <c r="J1003">
        <v>242.63557833089328</v>
      </c>
      <c r="K1003">
        <f t="shared" si="78"/>
        <v>4.826251591622956</v>
      </c>
      <c r="L1003">
        <f t="shared" si="79"/>
        <v>4.9316560157959195</v>
      </c>
    </row>
    <row r="1004" spans="1:12" x14ac:dyDescent="0.3">
      <c r="A1004">
        <v>6.2</v>
      </c>
      <c r="B1004">
        <v>6.5</v>
      </c>
      <c r="C1004">
        <v>5.3147877013177176</v>
      </c>
      <c r="D1004">
        <v>5.4679355783308887</v>
      </c>
      <c r="E1004">
        <f t="shared" si="75"/>
        <v>0.91359611909391458</v>
      </c>
      <c r="F1004">
        <f t="shared" si="76"/>
        <v>0.78360081373837065</v>
      </c>
      <c r="G1004">
        <f t="shared" si="77"/>
        <v>1.0651569704751971</v>
      </c>
      <c r="H1004">
        <v>177.90128843338192</v>
      </c>
      <c r="I1004">
        <v>162.98770131771641</v>
      </c>
      <c r="J1004">
        <v>242.63557833089328</v>
      </c>
      <c r="K1004">
        <f t="shared" si="78"/>
        <v>6.2471454187358075</v>
      </c>
      <c r="L1004">
        <f t="shared" si="79"/>
        <v>6.4914103609112361</v>
      </c>
    </row>
    <row r="1005" spans="1:12" x14ac:dyDescent="0.3">
      <c r="A1005">
        <v>5.0999999999999996</v>
      </c>
      <c r="B1005">
        <v>5.2</v>
      </c>
      <c r="C1005">
        <v>5.3147877013177176</v>
      </c>
      <c r="D1005">
        <v>5.4679355783308887</v>
      </c>
      <c r="E1005">
        <f t="shared" si="75"/>
        <v>5.7549266970924912E-2</v>
      </c>
      <c r="F1005">
        <f t="shared" si="76"/>
        <v>4.613375663734922E-2</v>
      </c>
      <c r="G1005">
        <f t="shared" si="77"/>
        <v>7.1789474135507708E-2</v>
      </c>
      <c r="H1005">
        <v>177.90128843338192</v>
      </c>
      <c r="I1005">
        <v>162.98770131771641</v>
      </c>
      <c r="J1005">
        <v>242.63557833089328</v>
      </c>
      <c r="K1005">
        <f t="shared" si="78"/>
        <v>5.0748756639150701</v>
      </c>
      <c r="L1005">
        <f t="shared" si="79"/>
        <v>5.2045775175001356</v>
      </c>
    </row>
    <row r="1006" spans="1:12" x14ac:dyDescent="0.3">
      <c r="A1006">
        <v>5.6</v>
      </c>
      <c r="B1006">
        <v>5.5</v>
      </c>
      <c r="C1006">
        <v>5.3147877013177176</v>
      </c>
      <c r="D1006">
        <v>5.4679355783308887</v>
      </c>
      <c r="E1006">
        <f t="shared" si="75"/>
        <v>9.1451674101652013E-3</v>
      </c>
      <c r="F1006">
        <f t="shared" si="76"/>
        <v>8.1346055319631266E-2</v>
      </c>
      <c r="G1006">
        <f t="shared" si="77"/>
        <v>1.0281271369745727E-3</v>
      </c>
      <c r="H1006">
        <v>177.90128843338192</v>
      </c>
      <c r="I1006">
        <v>162.98770131771641</v>
      </c>
      <c r="J1006">
        <v>242.63557833089328</v>
      </c>
      <c r="K1006">
        <f t="shared" si="78"/>
        <v>5.3804390011401306</v>
      </c>
      <c r="L1006">
        <f t="shared" si="79"/>
        <v>5.5400028208200514</v>
      </c>
    </row>
    <row r="1007" spans="1:12" x14ac:dyDescent="0.3">
      <c r="A1007">
        <v>5.5</v>
      </c>
      <c r="B1007">
        <v>5.6</v>
      </c>
      <c r="C1007">
        <v>5.3147877013177176</v>
      </c>
      <c r="D1007">
        <v>5.4679355783308887</v>
      </c>
      <c r="E1007">
        <f t="shared" si="75"/>
        <v>2.4459955111482259E-2</v>
      </c>
      <c r="F1007">
        <f t="shared" si="76"/>
        <v>3.4303595583174987E-2</v>
      </c>
      <c r="G1007">
        <f t="shared" si="77"/>
        <v>1.7441011470796734E-2</v>
      </c>
      <c r="H1007">
        <v>177.90128843338192</v>
      </c>
      <c r="I1007">
        <v>162.98770131771641</v>
      </c>
      <c r="J1007">
        <v>242.63557833089328</v>
      </c>
      <c r="K1007">
        <f t="shared" si="78"/>
        <v>5.4443339369265189</v>
      </c>
      <c r="L1007">
        <f t="shared" si="79"/>
        <v>5.610142054182889</v>
      </c>
    </row>
    <row r="1008" spans="1:12" x14ac:dyDescent="0.3">
      <c r="A1008">
        <v>5.5</v>
      </c>
      <c r="B1008">
        <v>6.1</v>
      </c>
      <c r="C1008">
        <v>5.3147877013177176</v>
      </c>
      <c r="D1008">
        <v>5.4679355783308887</v>
      </c>
      <c r="E1008">
        <f t="shared" si="75"/>
        <v>0.11706610445262346</v>
      </c>
      <c r="F1008">
        <f t="shared" si="76"/>
        <v>3.4303595583174987E-2</v>
      </c>
      <c r="G1008">
        <f t="shared" si="77"/>
        <v>0.39950543313990766</v>
      </c>
      <c r="H1008">
        <v>177.90128843338192</v>
      </c>
      <c r="I1008">
        <v>162.98770131771641</v>
      </c>
      <c r="J1008">
        <v>242.63557833089328</v>
      </c>
      <c r="K1008">
        <f t="shared" si="78"/>
        <v>5.8349826970246479</v>
      </c>
      <c r="L1008">
        <f t="shared" si="79"/>
        <v>6.0389679730167058</v>
      </c>
    </row>
    <row r="1009" spans="1:12" x14ac:dyDescent="0.3">
      <c r="A1009">
        <v>5</v>
      </c>
      <c r="B1009">
        <v>5.2</v>
      </c>
      <c r="C1009">
        <v>5.3147877013177176</v>
      </c>
      <c r="D1009">
        <v>5.4679355783308887</v>
      </c>
      <c r="E1009">
        <f t="shared" si="75"/>
        <v>8.4342824804013672E-2</v>
      </c>
      <c r="F1009">
        <f t="shared" si="76"/>
        <v>9.9091296900892592E-2</v>
      </c>
      <c r="G1009">
        <f t="shared" si="77"/>
        <v>7.1789474135507708E-2</v>
      </c>
      <c r="H1009">
        <v>177.90128843338192</v>
      </c>
      <c r="I1009">
        <v>162.98770131771641</v>
      </c>
      <c r="J1009">
        <v>242.63557833089328</v>
      </c>
      <c r="K1009">
        <f t="shared" si="78"/>
        <v>5.0606408476818334</v>
      </c>
      <c r="L1009">
        <f t="shared" si="79"/>
        <v>5.1889515670962103</v>
      </c>
    </row>
    <row r="1010" spans="1:12" x14ac:dyDescent="0.3">
      <c r="A1010">
        <v>5.3</v>
      </c>
      <c r="B1010">
        <v>5.0999999999999996</v>
      </c>
      <c r="C1010">
        <v>5.3147877013177176</v>
      </c>
      <c r="D1010">
        <v>5.4679355783308887</v>
      </c>
      <c r="E1010">
        <f t="shared" si="75"/>
        <v>5.440921436518943E-3</v>
      </c>
      <c r="F1010">
        <f t="shared" si="76"/>
        <v>2.1867611026203226E-4</v>
      </c>
      <c r="G1010">
        <f t="shared" si="77"/>
        <v>0.13537658980168582</v>
      </c>
      <c r="H1010">
        <v>177.90128843338192</v>
      </c>
      <c r="I1010">
        <v>162.98770131771641</v>
      </c>
      <c r="J1010">
        <v>242.63557833089328</v>
      </c>
      <c r="K1010">
        <f t="shared" si="78"/>
        <v>5.0252155443619166</v>
      </c>
      <c r="L1010">
        <f t="shared" si="79"/>
        <v>5.1500642345412215</v>
      </c>
    </row>
    <row r="1011" spans="1:12" x14ac:dyDescent="0.3">
      <c r="A1011">
        <v>5.8</v>
      </c>
      <c r="B1011">
        <v>6.4</v>
      </c>
      <c r="C1011">
        <v>5.3147877013177176</v>
      </c>
      <c r="D1011">
        <v>5.4679355783308887</v>
      </c>
      <c r="E1011">
        <f t="shared" si="75"/>
        <v>0.45224912055804162</v>
      </c>
      <c r="F1011">
        <f t="shared" si="76"/>
        <v>0.23543097479254424</v>
      </c>
      <c r="G1011">
        <f t="shared" si="77"/>
        <v>0.86874408614137555</v>
      </c>
      <c r="H1011">
        <v>177.90128843338192</v>
      </c>
      <c r="I1011">
        <v>162.98770131771641</v>
      </c>
      <c r="J1011">
        <v>242.63557833089328</v>
      </c>
      <c r="K1011">
        <f t="shared" si="78"/>
        <v>6.1120764017832352</v>
      </c>
      <c r="L1011">
        <f t="shared" si="79"/>
        <v>6.3431413755287718</v>
      </c>
    </row>
    <row r="1012" spans="1:12" x14ac:dyDescent="0.3">
      <c r="A1012">
        <v>5.4</v>
      </c>
      <c r="B1012">
        <v>6</v>
      </c>
      <c r="C1012">
        <v>5.3147877013177176</v>
      </c>
      <c r="D1012">
        <v>5.4679355783308887</v>
      </c>
      <c r="E1012">
        <f t="shared" si="75"/>
        <v>4.5338432417484344E-2</v>
      </c>
      <c r="F1012">
        <f t="shared" si="76"/>
        <v>7.2611358467185661E-3</v>
      </c>
      <c r="G1012">
        <f t="shared" si="77"/>
        <v>0.28309254880608586</v>
      </c>
      <c r="H1012">
        <v>177.90128843338192</v>
      </c>
      <c r="I1012">
        <v>162.98770131771641</v>
      </c>
      <c r="J1012">
        <v>242.63557833089328</v>
      </c>
      <c r="K1012">
        <f t="shared" si="78"/>
        <v>5.7426181287717872</v>
      </c>
      <c r="L1012">
        <f t="shared" si="79"/>
        <v>5.9375768388460193</v>
      </c>
    </row>
    <row r="1013" spans="1:12" x14ac:dyDescent="0.3">
      <c r="A1013">
        <v>5.6</v>
      </c>
      <c r="B1013">
        <v>5.3</v>
      </c>
      <c r="C1013">
        <v>5.3147877013177176</v>
      </c>
      <c r="D1013">
        <v>5.4679355783308887</v>
      </c>
      <c r="E1013">
        <f t="shared" si="75"/>
        <v>-4.7897292326291259E-2</v>
      </c>
      <c r="F1013">
        <f t="shared" si="76"/>
        <v>8.1346055319631266E-2</v>
      </c>
      <c r="G1013">
        <f t="shared" si="77"/>
        <v>2.8202358469330124E-2</v>
      </c>
      <c r="H1013">
        <v>177.90128843338192</v>
      </c>
      <c r="I1013">
        <v>162.98770131771641</v>
      </c>
      <c r="J1013">
        <v>242.63557833089328</v>
      </c>
      <c r="K1013">
        <f t="shared" si="78"/>
        <v>5.224179497100879</v>
      </c>
      <c r="L1013">
        <f t="shared" si="79"/>
        <v>5.3684724532865244</v>
      </c>
    </row>
    <row r="1014" spans="1:12" x14ac:dyDescent="0.3">
      <c r="A1014">
        <v>4.9000000000000004</v>
      </c>
      <c r="B1014">
        <v>4.9000000000000004</v>
      </c>
      <c r="C1014">
        <v>5.3147877013177176</v>
      </c>
      <c r="D1014">
        <v>5.4679355783308887</v>
      </c>
      <c r="E1014">
        <f t="shared" si="75"/>
        <v>0.23557269303241754</v>
      </c>
      <c r="F1014">
        <f t="shared" si="76"/>
        <v>0.17204883716443581</v>
      </c>
      <c r="G1014">
        <f t="shared" si="77"/>
        <v>0.32255082113404066</v>
      </c>
      <c r="H1014">
        <v>177.90128843338192</v>
      </c>
      <c r="I1014">
        <v>162.98770131771641</v>
      </c>
      <c r="J1014">
        <v>242.63557833089328</v>
      </c>
      <c r="K1014">
        <f t="shared" si="78"/>
        <v>4.8120167753897203</v>
      </c>
      <c r="L1014">
        <f t="shared" si="79"/>
        <v>4.9160300653919959</v>
      </c>
    </row>
    <row r="1015" spans="1:12" x14ac:dyDescent="0.3">
      <c r="A1015">
        <v>5.2</v>
      </c>
      <c r="B1015">
        <v>5.2</v>
      </c>
      <c r="C1015">
        <v>5.3147877013177176</v>
      </c>
      <c r="D1015">
        <v>5.4679355783308887</v>
      </c>
      <c r="E1015">
        <f t="shared" si="75"/>
        <v>3.0755709137835915E-2</v>
      </c>
      <c r="F1015">
        <f t="shared" si="76"/>
        <v>1.3176216373805507E-2</v>
      </c>
      <c r="G1015">
        <f t="shared" si="77"/>
        <v>7.1789474135507708E-2</v>
      </c>
      <c r="H1015">
        <v>177.90128843338192</v>
      </c>
      <c r="I1015">
        <v>162.98770131771641</v>
      </c>
      <c r="J1015">
        <v>242.63557833089328</v>
      </c>
      <c r="K1015">
        <f t="shared" si="78"/>
        <v>5.0891104801483067</v>
      </c>
      <c r="L1015">
        <f t="shared" si="79"/>
        <v>5.2202034679040601</v>
      </c>
    </row>
    <row r="1016" spans="1:12" x14ac:dyDescent="0.3">
      <c r="A1016">
        <v>5.8</v>
      </c>
      <c r="B1016">
        <v>5.9</v>
      </c>
      <c r="C1016">
        <v>5.3147877013177176</v>
      </c>
      <c r="D1016">
        <v>5.4679355783308887</v>
      </c>
      <c r="E1016">
        <f t="shared" si="75"/>
        <v>0.20964297121690051</v>
      </c>
      <c r="F1016">
        <f t="shared" si="76"/>
        <v>0.23543097479254424</v>
      </c>
      <c r="G1016">
        <f t="shared" si="77"/>
        <v>0.18667966447226389</v>
      </c>
      <c r="H1016">
        <v>177.90128843338192</v>
      </c>
      <c r="I1016">
        <v>162.98770131771641</v>
      </c>
      <c r="J1016">
        <v>242.63557833089328</v>
      </c>
      <c r="K1016">
        <f t="shared" si="78"/>
        <v>5.7214276416851062</v>
      </c>
      <c r="L1016">
        <f t="shared" si="79"/>
        <v>5.914315456694955</v>
      </c>
    </row>
    <row r="1017" spans="1:12" x14ac:dyDescent="0.3">
      <c r="A1017">
        <v>5</v>
      </c>
      <c r="B1017">
        <v>5.0999999999999996</v>
      </c>
      <c r="C1017">
        <v>5.3147877013177176</v>
      </c>
      <c r="D1017">
        <v>5.4679355783308887</v>
      </c>
      <c r="E1017">
        <f t="shared" si="75"/>
        <v>0.1158215949357856</v>
      </c>
      <c r="F1017">
        <f t="shared" si="76"/>
        <v>9.9091296900892592E-2</v>
      </c>
      <c r="G1017">
        <f t="shared" si="77"/>
        <v>0.13537658980168582</v>
      </c>
      <c r="H1017">
        <v>177.90128843338192</v>
      </c>
      <c r="I1017">
        <v>162.98770131771641</v>
      </c>
      <c r="J1017">
        <v>242.63557833089328</v>
      </c>
      <c r="K1017">
        <f t="shared" si="78"/>
        <v>4.9825110956622076</v>
      </c>
      <c r="L1017">
        <f t="shared" si="79"/>
        <v>5.1031863833294464</v>
      </c>
    </row>
    <row r="1018" spans="1:12" x14ac:dyDescent="0.3">
      <c r="A1018">
        <v>6.1</v>
      </c>
      <c r="B1018">
        <v>6.3</v>
      </c>
      <c r="C1018">
        <v>5.3147877013177176</v>
      </c>
      <c r="D1018">
        <v>5.4679355783308887</v>
      </c>
      <c r="E1018">
        <f t="shared" si="75"/>
        <v>0.65334721719054634</v>
      </c>
      <c r="F1018">
        <f t="shared" si="76"/>
        <v>0.61655835400191328</v>
      </c>
      <c r="G1018">
        <f t="shared" si="77"/>
        <v>0.69233120180755237</v>
      </c>
      <c r="H1018">
        <v>177.90128843338192</v>
      </c>
      <c r="I1018">
        <v>162.98770131771641</v>
      </c>
      <c r="J1018">
        <v>242.63557833089328</v>
      </c>
      <c r="K1018">
        <f t="shared" si="78"/>
        <v>6.0766510984633193</v>
      </c>
      <c r="L1018">
        <f t="shared" si="79"/>
        <v>6.3042540429737839</v>
      </c>
    </row>
    <row r="1019" spans="1:12" x14ac:dyDescent="0.3">
      <c r="A1019">
        <v>4.9000000000000004</v>
      </c>
      <c r="B1019">
        <v>4.8</v>
      </c>
      <c r="C1019">
        <v>5.3147877013177176</v>
      </c>
      <c r="D1019">
        <v>5.4679355783308887</v>
      </c>
      <c r="E1019">
        <f t="shared" si="75"/>
        <v>0.27705146316418949</v>
      </c>
      <c r="F1019">
        <f t="shared" si="76"/>
        <v>0.17204883716443581</v>
      </c>
      <c r="G1019">
        <f t="shared" si="77"/>
        <v>0.44613793680021901</v>
      </c>
      <c r="H1019">
        <v>177.90128843338192</v>
      </c>
      <c r="I1019">
        <v>162.98770131771641</v>
      </c>
      <c r="J1019">
        <v>242.63557833089328</v>
      </c>
      <c r="K1019">
        <f t="shared" si="78"/>
        <v>4.7338870233700936</v>
      </c>
      <c r="L1019">
        <f t="shared" si="79"/>
        <v>4.8302648816252312</v>
      </c>
    </row>
    <row r="1020" spans="1:12" x14ac:dyDescent="0.3">
      <c r="A1020">
        <v>5.0999999999999996</v>
      </c>
      <c r="B1020">
        <v>5.4</v>
      </c>
      <c r="C1020">
        <v>5.3147877013177176</v>
      </c>
      <c r="D1020">
        <v>5.4679355783308887</v>
      </c>
      <c r="E1020">
        <f t="shared" si="75"/>
        <v>1.4591726707381283E-2</v>
      </c>
      <c r="F1020">
        <f t="shared" si="76"/>
        <v>4.613375663734922E-2</v>
      </c>
      <c r="G1020">
        <f t="shared" si="77"/>
        <v>4.615242803152269E-3</v>
      </c>
      <c r="H1020">
        <v>177.90128843338192</v>
      </c>
      <c r="I1020">
        <v>162.98770131771641</v>
      </c>
      <c r="J1020">
        <v>242.63557833089328</v>
      </c>
      <c r="K1020">
        <f t="shared" si="78"/>
        <v>5.2311351679543217</v>
      </c>
      <c r="L1020">
        <f t="shared" si="79"/>
        <v>5.3761078850336625</v>
      </c>
    </row>
    <row r="1021" spans="1:12" x14ac:dyDescent="0.3">
      <c r="A1021">
        <v>5.5</v>
      </c>
      <c r="B1021">
        <v>5.7</v>
      </c>
      <c r="C1021">
        <v>5.3147877013177176</v>
      </c>
      <c r="D1021">
        <v>5.4679355783308887</v>
      </c>
      <c r="E1021">
        <f t="shared" si="75"/>
        <v>4.2981184979710596E-2</v>
      </c>
      <c r="F1021">
        <f t="shared" si="76"/>
        <v>3.4303595583174987E-2</v>
      </c>
      <c r="G1021">
        <f t="shared" si="77"/>
        <v>5.3853895804619169E-2</v>
      </c>
      <c r="H1021">
        <v>177.90128843338192</v>
      </c>
      <c r="I1021">
        <v>162.98770131771641</v>
      </c>
      <c r="J1021">
        <v>242.63557833089328</v>
      </c>
      <c r="K1021">
        <f t="shared" si="78"/>
        <v>5.5224636889461456</v>
      </c>
      <c r="L1021">
        <f t="shared" si="79"/>
        <v>5.6959072379496538</v>
      </c>
    </row>
    <row r="1022" spans="1:12" x14ac:dyDescent="0.3">
      <c r="A1022">
        <v>5.9</v>
      </c>
      <c r="B1022">
        <v>5.9</v>
      </c>
      <c r="C1022">
        <v>5.3147877013177176</v>
      </c>
      <c r="D1022">
        <v>5.4679355783308887</v>
      </c>
      <c r="E1022">
        <f t="shared" si="75"/>
        <v>0.25284941338381189</v>
      </c>
      <c r="F1022">
        <f t="shared" si="76"/>
        <v>0.34247343452900131</v>
      </c>
      <c r="G1022">
        <f t="shared" si="77"/>
        <v>0.18667966447226389</v>
      </c>
      <c r="H1022">
        <v>177.90128843338192</v>
      </c>
      <c r="I1022">
        <v>162.98770131771641</v>
      </c>
      <c r="J1022">
        <v>242.63557833089328</v>
      </c>
      <c r="K1022">
        <f t="shared" si="78"/>
        <v>5.7356624579183437</v>
      </c>
      <c r="L1022">
        <f t="shared" si="79"/>
        <v>5.9299414070988812</v>
      </c>
    </row>
    <row r="1023" spans="1:12" x14ac:dyDescent="0.3">
      <c r="A1023">
        <v>5.2</v>
      </c>
      <c r="B1023">
        <v>5.7</v>
      </c>
      <c r="C1023">
        <v>5.3147877013177176</v>
      </c>
      <c r="D1023">
        <v>5.4679355783308887</v>
      </c>
      <c r="E1023">
        <f t="shared" si="75"/>
        <v>-2.6638141521022798E-2</v>
      </c>
      <c r="F1023">
        <f t="shared" si="76"/>
        <v>1.3176216373805507E-2</v>
      </c>
      <c r="G1023">
        <f t="shared" si="77"/>
        <v>5.3853895804619169E-2</v>
      </c>
      <c r="H1023">
        <v>177.90128843338192</v>
      </c>
      <c r="I1023">
        <v>162.98770131771641</v>
      </c>
      <c r="J1023">
        <v>242.63557833089328</v>
      </c>
      <c r="K1023">
        <f t="shared" si="78"/>
        <v>5.4797592402464357</v>
      </c>
      <c r="L1023">
        <f t="shared" si="79"/>
        <v>5.6490293867378778</v>
      </c>
    </row>
    <row r="1024" spans="1:12" x14ac:dyDescent="0.3">
      <c r="A1024">
        <v>5</v>
      </c>
      <c r="B1024">
        <v>5</v>
      </c>
      <c r="C1024">
        <v>5.3147877013177176</v>
      </c>
      <c r="D1024">
        <v>5.4679355783308887</v>
      </c>
      <c r="E1024">
        <f t="shared" si="75"/>
        <v>0.14730036506755725</v>
      </c>
      <c r="F1024">
        <f t="shared" si="76"/>
        <v>9.9091296900892592E-2</v>
      </c>
      <c r="G1024">
        <f t="shared" si="77"/>
        <v>0.21896370546786328</v>
      </c>
      <c r="H1024">
        <v>177.90128843338192</v>
      </c>
      <c r="I1024">
        <v>162.98770131771641</v>
      </c>
      <c r="J1024">
        <v>242.63557833089328</v>
      </c>
      <c r="K1024">
        <f t="shared" si="78"/>
        <v>4.9043813436425818</v>
      </c>
      <c r="L1024">
        <f t="shared" si="79"/>
        <v>5.0174211995626834</v>
      </c>
    </row>
    <row r="1025" spans="1:12" x14ac:dyDescent="0.3">
      <c r="A1025">
        <v>5.4</v>
      </c>
      <c r="B1025">
        <v>5.0999999999999996</v>
      </c>
      <c r="C1025">
        <v>5.3147877013177176</v>
      </c>
      <c r="D1025">
        <v>5.4679355783308887</v>
      </c>
      <c r="E1025">
        <f t="shared" si="75"/>
        <v>-3.1352636396570162E-2</v>
      </c>
      <c r="F1025">
        <f t="shared" si="76"/>
        <v>7.2611358467185661E-3</v>
      </c>
      <c r="G1025">
        <f t="shared" si="77"/>
        <v>0.13537658980168582</v>
      </c>
      <c r="H1025">
        <v>177.90128843338192</v>
      </c>
      <c r="I1025">
        <v>162.98770131771641</v>
      </c>
      <c r="J1025">
        <v>242.63557833089328</v>
      </c>
      <c r="K1025">
        <f t="shared" si="78"/>
        <v>5.0394503605951542</v>
      </c>
      <c r="L1025">
        <f t="shared" si="79"/>
        <v>5.1656901849451478</v>
      </c>
    </row>
    <row r="1026" spans="1:12" x14ac:dyDescent="0.3">
      <c r="A1026">
        <v>5.5</v>
      </c>
      <c r="B1026">
        <v>5.5</v>
      </c>
      <c r="C1026">
        <v>5.3147877013177176</v>
      </c>
      <c r="D1026">
        <v>5.4679355783308887</v>
      </c>
      <c r="E1026">
        <f t="shared" si="75"/>
        <v>5.9387252432540859E-3</v>
      </c>
      <c r="F1026">
        <f t="shared" si="76"/>
        <v>3.4303595583174987E-2</v>
      </c>
      <c r="G1026">
        <f t="shared" si="77"/>
        <v>1.0281271369745727E-3</v>
      </c>
      <c r="H1026">
        <v>177.90128843338192</v>
      </c>
      <c r="I1026">
        <v>162.98770131771641</v>
      </c>
      <c r="J1026">
        <v>242.63557833089328</v>
      </c>
      <c r="K1026">
        <f t="shared" si="78"/>
        <v>5.366204184906894</v>
      </c>
      <c r="L1026">
        <f t="shared" si="79"/>
        <v>5.5243768704161269</v>
      </c>
    </row>
    <row r="1027" spans="1:12" x14ac:dyDescent="0.3">
      <c r="A1027">
        <v>5.0999999999999996</v>
      </c>
      <c r="B1027">
        <v>5.2</v>
      </c>
      <c r="C1027">
        <v>5.3147877013177176</v>
      </c>
      <c r="D1027">
        <v>5.4679355783308887</v>
      </c>
      <c r="E1027">
        <f t="shared" ref="E1027:E1090" si="80">(A1027-C1027)*(B1027-D1027)</f>
        <v>5.7549266970924912E-2</v>
      </c>
      <c r="F1027">
        <f t="shared" ref="F1027:F1090" si="81">(A1027-C1027)^2</f>
        <v>4.613375663734922E-2</v>
      </c>
      <c r="G1027">
        <f t="shared" ref="G1027:G1090" si="82">(B1027-D1027)^2</f>
        <v>7.1789474135507708E-2</v>
      </c>
      <c r="H1027">
        <v>177.90128843338192</v>
      </c>
      <c r="I1027">
        <v>162.98770131771641</v>
      </c>
      <c r="J1027">
        <v>242.63557833089328</v>
      </c>
      <c r="K1027">
        <f t="shared" ref="K1027:K1090" si="83">(1.097727582*(B1027+0.366253474)+0.2*A1027)/(0.2+1.097727582^2)</f>
        <v>5.0748756639150701</v>
      </c>
      <c r="L1027">
        <f t="shared" ref="L1027:L1090" si="84">1.097727582*K1027-0.366253474</f>
        <v>5.2045775175001356</v>
      </c>
    </row>
    <row r="1028" spans="1:12" x14ac:dyDescent="0.3">
      <c r="A1028">
        <v>4.9000000000000004</v>
      </c>
      <c r="B1028">
        <v>4.8</v>
      </c>
      <c r="C1028">
        <v>5.3147877013177176</v>
      </c>
      <c r="D1028">
        <v>5.4679355783308887</v>
      </c>
      <c r="E1028">
        <f t="shared" si="80"/>
        <v>0.27705146316418949</v>
      </c>
      <c r="F1028">
        <f t="shared" si="81"/>
        <v>0.17204883716443581</v>
      </c>
      <c r="G1028">
        <f t="shared" si="82"/>
        <v>0.44613793680021901</v>
      </c>
      <c r="H1028">
        <v>177.90128843338192</v>
      </c>
      <c r="I1028">
        <v>162.98770131771641</v>
      </c>
      <c r="J1028">
        <v>242.63557833089328</v>
      </c>
      <c r="K1028">
        <f t="shared" si="83"/>
        <v>4.7338870233700936</v>
      </c>
      <c r="L1028">
        <f t="shared" si="84"/>
        <v>4.8302648816252312</v>
      </c>
    </row>
    <row r="1029" spans="1:12" x14ac:dyDescent="0.3">
      <c r="A1029">
        <v>5.3</v>
      </c>
      <c r="B1029">
        <v>5.5</v>
      </c>
      <c r="C1029">
        <v>5.3147877013177176</v>
      </c>
      <c r="D1029">
        <v>5.4679355783308887</v>
      </c>
      <c r="E1029">
        <f t="shared" si="80"/>
        <v>-4.7415909056817545E-4</v>
      </c>
      <c r="F1029">
        <f t="shared" si="81"/>
        <v>2.1867611026203226E-4</v>
      </c>
      <c r="G1029">
        <f t="shared" si="82"/>
        <v>1.0281271369745727E-3</v>
      </c>
      <c r="H1029">
        <v>177.90128843338192</v>
      </c>
      <c r="I1029">
        <v>162.98770131771641</v>
      </c>
      <c r="J1029">
        <v>242.63557833089328</v>
      </c>
      <c r="K1029">
        <f t="shared" si="83"/>
        <v>5.3377345524404198</v>
      </c>
      <c r="L1029">
        <f t="shared" si="84"/>
        <v>5.4931249696082753</v>
      </c>
    </row>
    <row r="1030" spans="1:12" x14ac:dyDescent="0.3">
      <c r="A1030">
        <v>5.3</v>
      </c>
      <c r="B1030">
        <v>5.2</v>
      </c>
      <c r="C1030">
        <v>5.3147877013177176</v>
      </c>
      <c r="D1030">
        <v>5.4679355783308887</v>
      </c>
      <c r="E1030">
        <f t="shared" si="80"/>
        <v>3.9621513047471569E-3</v>
      </c>
      <c r="F1030">
        <f t="shared" si="81"/>
        <v>2.1867611026203226E-4</v>
      </c>
      <c r="G1030">
        <f t="shared" si="82"/>
        <v>7.1789474135507708E-2</v>
      </c>
      <c r="H1030">
        <v>177.90128843338192</v>
      </c>
      <c r="I1030">
        <v>162.98770131771641</v>
      </c>
      <c r="J1030">
        <v>242.63557833089328</v>
      </c>
      <c r="K1030">
        <f t="shared" si="83"/>
        <v>5.1033452963815442</v>
      </c>
      <c r="L1030">
        <f t="shared" si="84"/>
        <v>5.2358294183079863</v>
      </c>
    </row>
    <row r="1031" spans="1:12" x14ac:dyDescent="0.3">
      <c r="A1031">
        <v>5.2</v>
      </c>
      <c r="B1031">
        <v>5.0999999999999996</v>
      </c>
      <c r="C1031">
        <v>5.3147877013177176</v>
      </c>
      <c r="D1031">
        <v>5.4679355783308887</v>
      </c>
      <c r="E1031">
        <f t="shared" si="80"/>
        <v>4.2234479269607723E-2</v>
      </c>
      <c r="F1031">
        <f t="shared" si="81"/>
        <v>1.3176216373805507E-2</v>
      </c>
      <c r="G1031">
        <f t="shared" si="82"/>
        <v>0.13537658980168582</v>
      </c>
      <c r="H1031">
        <v>177.90128843338192</v>
      </c>
      <c r="I1031">
        <v>162.98770131771641</v>
      </c>
      <c r="J1031">
        <v>242.63557833089328</v>
      </c>
      <c r="K1031">
        <f t="shared" si="83"/>
        <v>5.0109807281286809</v>
      </c>
      <c r="L1031">
        <f t="shared" si="84"/>
        <v>5.1344382841372971</v>
      </c>
    </row>
    <row r="1032" spans="1:12" x14ac:dyDescent="0.3">
      <c r="A1032">
        <v>5</v>
      </c>
      <c r="B1032">
        <v>4.7</v>
      </c>
      <c r="C1032">
        <v>5.3147877013177176</v>
      </c>
      <c r="D1032">
        <v>5.4679355783308887</v>
      </c>
      <c r="E1032">
        <f t="shared" si="80"/>
        <v>0.24173667546287247</v>
      </c>
      <c r="F1032">
        <f t="shared" si="81"/>
        <v>9.9091296900892592E-2</v>
      </c>
      <c r="G1032">
        <f t="shared" si="82"/>
        <v>0.58972505246639628</v>
      </c>
      <c r="H1032">
        <v>177.90128843338192</v>
      </c>
      <c r="I1032">
        <v>162.98770131771641</v>
      </c>
      <c r="J1032">
        <v>242.63557833089328</v>
      </c>
      <c r="K1032">
        <f t="shared" si="83"/>
        <v>4.6699920875837044</v>
      </c>
      <c r="L1032">
        <f t="shared" si="84"/>
        <v>4.7601256482623926</v>
      </c>
    </row>
    <row r="1033" spans="1:12" x14ac:dyDescent="0.3">
      <c r="A1033">
        <v>4.8</v>
      </c>
      <c r="B1033">
        <v>4.8</v>
      </c>
      <c r="C1033">
        <v>5.3147877013177176</v>
      </c>
      <c r="D1033">
        <v>5.4679355783308887</v>
      </c>
      <c r="E1033">
        <f t="shared" si="80"/>
        <v>0.34384502099727871</v>
      </c>
      <c r="F1033">
        <f t="shared" si="81"/>
        <v>0.26500637742797983</v>
      </c>
      <c r="G1033">
        <f t="shared" si="82"/>
        <v>0.44613793680021901</v>
      </c>
      <c r="H1033">
        <v>177.90128843338192</v>
      </c>
      <c r="I1033">
        <v>162.98770131771641</v>
      </c>
      <c r="J1033">
        <v>242.63557833089328</v>
      </c>
      <c r="K1033">
        <f t="shared" si="83"/>
        <v>4.719652207136857</v>
      </c>
      <c r="L1033">
        <f t="shared" si="84"/>
        <v>4.8146389312213058</v>
      </c>
    </row>
    <row r="1034" spans="1:12" x14ac:dyDescent="0.3">
      <c r="A1034">
        <v>5</v>
      </c>
      <c r="B1034">
        <v>5.2</v>
      </c>
      <c r="C1034">
        <v>5.3147877013177176</v>
      </c>
      <c r="D1034">
        <v>5.4679355783308887</v>
      </c>
      <c r="E1034">
        <f t="shared" si="80"/>
        <v>8.4342824804013672E-2</v>
      </c>
      <c r="F1034">
        <f t="shared" si="81"/>
        <v>9.9091296900892592E-2</v>
      </c>
      <c r="G1034">
        <f t="shared" si="82"/>
        <v>7.1789474135507708E-2</v>
      </c>
      <c r="H1034">
        <v>177.90128843338192</v>
      </c>
      <c r="I1034">
        <v>162.98770131771641</v>
      </c>
      <c r="J1034">
        <v>242.63557833089328</v>
      </c>
      <c r="K1034">
        <f t="shared" si="83"/>
        <v>5.0606408476818334</v>
      </c>
      <c r="L1034">
        <f t="shared" si="84"/>
        <v>5.1889515670962103</v>
      </c>
    </row>
    <row r="1035" spans="1:12" x14ac:dyDescent="0.3">
      <c r="A1035">
        <v>5.4</v>
      </c>
      <c r="B1035">
        <v>5.4</v>
      </c>
      <c r="C1035">
        <v>5.3147877013177176</v>
      </c>
      <c r="D1035">
        <v>5.4679355783308887</v>
      </c>
      <c r="E1035">
        <f t="shared" si="80"/>
        <v>-5.7889467918852758E-3</v>
      </c>
      <c r="F1035">
        <f t="shared" si="81"/>
        <v>7.2611358467185661E-3</v>
      </c>
      <c r="G1035">
        <f t="shared" si="82"/>
        <v>4.615242803152269E-3</v>
      </c>
      <c r="H1035">
        <v>177.90128843338192</v>
      </c>
      <c r="I1035">
        <v>162.98770131771641</v>
      </c>
      <c r="J1035">
        <v>242.63557833089328</v>
      </c>
      <c r="K1035">
        <f t="shared" si="83"/>
        <v>5.2738396166540316</v>
      </c>
      <c r="L1035">
        <f t="shared" si="84"/>
        <v>5.4229857362454377</v>
      </c>
    </row>
    <row r="1036" spans="1:12" x14ac:dyDescent="0.3">
      <c r="A1036">
        <v>5.5</v>
      </c>
      <c r="B1036">
        <v>5.7</v>
      </c>
      <c r="C1036">
        <v>5.3147877013177176</v>
      </c>
      <c r="D1036">
        <v>5.4679355783308887</v>
      </c>
      <c r="E1036">
        <f t="shared" si="80"/>
        <v>4.2981184979710596E-2</v>
      </c>
      <c r="F1036">
        <f t="shared" si="81"/>
        <v>3.4303595583174987E-2</v>
      </c>
      <c r="G1036">
        <f t="shared" si="82"/>
        <v>5.3853895804619169E-2</v>
      </c>
      <c r="H1036">
        <v>177.90128843338192</v>
      </c>
      <c r="I1036">
        <v>162.98770131771641</v>
      </c>
      <c r="J1036">
        <v>242.63557833089328</v>
      </c>
      <c r="K1036">
        <f t="shared" si="83"/>
        <v>5.5224636889461456</v>
      </c>
      <c r="L1036">
        <f t="shared" si="84"/>
        <v>5.6959072379496538</v>
      </c>
    </row>
    <row r="1037" spans="1:12" x14ac:dyDescent="0.3">
      <c r="A1037">
        <v>5.7</v>
      </c>
      <c r="B1037">
        <v>6.4</v>
      </c>
      <c r="C1037">
        <v>5.3147877013177176</v>
      </c>
      <c r="D1037">
        <v>5.4679355783308887</v>
      </c>
      <c r="E1037">
        <f t="shared" si="80"/>
        <v>0.3590426783911308</v>
      </c>
      <c r="F1037">
        <f t="shared" si="81"/>
        <v>0.14838851505608808</v>
      </c>
      <c r="G1037">
        <f t="shared" si="82"/>
        <v>0.86874408614137555</v>
      </c>
      <c r="H1037">
        <v>177.90128843338192</v>
      </c>
      <c r="I1037">
        <v>162.98770131771641</v>
      </c>
      <c r="J1037">
        <v>242.63557833089328</v>
      </c>
      <c r="K1037">
        <f t="shared" si="83"/>
        <v>6.0978415855499986</v>
      </c>
      <c r="L1037">
        <f t="shared" si="84"/>
        <v>6.3275154251248473</v>
      </c>
    </row>
    <row r="1038" spans="1:12" x14ac:dyDescent="0.3">
      <c r="A1038">
        <v>5</v>
      </c>
      <c r="B1038">
        <v>5.3</v>
      </c>
      <c r="C1038">
        <v>5.3147877013177176</v>
      </c>
      <c r="D1038">
        <v>5.4679355783308887</v>
      </c>
      <c r="E1038">
        <f t="shared" si="80"/>
        <v>5.2864054672242027E-2</v>
      </c>
      <c r="F1038">
        <f t="shared" si="81"/>
        <v>9.9091296900892592E-2</v>
      </c>
      <c r="G1038">
        <f t="shared" si="82"/>
        <v>2.8202358469330124E-2</v>
      </c>
      <c r="H1038">
        <v>177.90128843338192</v>
      </c>
      <c r="I1038">
        <v>162.98770131771641</v>
      </c>
      <c r="J1038">
        <v>242.63557833089328</v>
      </c>
      <c r="K1038">
        <f t="shared" si="83"/>
        <v>5.1387705997014592</v>
      </c>
      <c r="L1038">
        <f t="shared" si="84"/>
        <v>5.2747167508629733</v>
      </c>
    </row>
    <row r="1039" spans="1:12" x14ac:dyDescent="0.3">
      <c r="A1039">
        <v>5.3</v>
      </c>
      <c r="B1039">
        <v>5.0999999999999996</v>
      </c>
      <c r="C1039">
        <v>5.3147877013177176</v>
      </c>
      <c r="D1039">
        <v>5.4679355783308887</v>
      </c>
      <c r="E1039">
        <f t="shared" si="80"/>
        <v>5.440921436518943E-3</v>
      </c>
      <c r="F1039">
        <f t="shared" si="81"/>
        <v>2.1867611026203226E-4</v>
      </c>
      <c r="G1039">
        <f t="shared" si="82"/>
        <v>0.13537658980168582</v>
      </c>
      <c r="H1039">
        <v>177.90128843338192</v>
      </c>
      <c r="I1039">
        <v>162.98770131771641</v>
      </c>
      <c r="J1039">
        <v>242.63557833089328</v>
      </c>
      <c r="K1039">
        <f t="shared" si="83"/>
        <v>5.0252155443619166</v>
      </c>
      <c r="L1039">
        <f t="shared" si="84"/>
        <v>5.1500642345412215</v>
      </c>
    </row>
    <row r="1040" spans="1:12" x14ac:dyDescent="0.3">
      <c r="A1040">
        <v>5.0999999999999996</v>
      </c>
      <c r="B1040">
        <v>5.4</v>
      </c>
      <c r="C1040">
        <v>5.3147877013177176</v>
      </c>
      <c r="D1040">
        <v>5.4679355783308887</v>
      </c>
      <c r="E1040">
        <f t="shared" si="80"/>
        <v>1.4591726707381283E-2</v>
      </c>
      <c r="F1040">
        <f t="shared" si="81"/>
        <v>4.613375663734922E-2</v>
      </c>
      <c r="G1040">
        <f t="shared" si="82"/>
        <v>4.615242803152269E-3</v>
      </c>
      <c r="H1040">
        <v>177.90128843338192</v>
      </c>
      <c r="I1040">
        <v>162.98770131771641</v>
      </c>
      <c r="J1040">
        <v>242.63557833089328</v>
      </c>
      <c r="K1040">
        <f t="shared" si="83"/>
        <v>5.2311351679543217</v>
      </c>
      <c r="L1040">
        <f t="shared" si="84"/>
        <v>5.3761078850336625</v>
      </c>
    </row>
    <row r="1041" spans="1:12" x14ac:dyDescent="0.3">
      <c r="A1041">
        <v>4.7</v>
      </c>
      <c r="B1041">
        <v>5.2</v>
      </c>
      <c r="C1041">
        <v>5.3147877013177176</v>
      </c>
      <c r="D1041">
        <v>5.4679355783308887</v>
      </c>
      <c r="E1041">
        <f t="shared" si="80"/>
        <v>0.1647234983032802</v>
      </c>
      <c r="F1041">
        <f t="shared" si="81"/>
        <v>0.37796391769152293</v>
      </c>
      <c r="G1041">
        <f t="shared" si="82"/>
        <v>7.1789474135507708E-2</v>
      </c>
      <c r="H1041">
        <v>177.90128843338192</v>
      </c>
      <c r="I1041">
        <v>162.98770131771641</v>
      </c>
      <c r="J1041">
        <v>242.63557833089328</v>
      </c>
      <c r="K1041">
        <f t="shared" si="83"/>
        <v>5.0179363989821244</v>
      </c>
      <c r="L1041">
        <f t="shared" si="84"/>
        <v>5.1420737158844352</v>
      </c>
    </row>
    <row r="1042" spans="1:12" x14ac:dyDescent="0.3">
      <c r="A1042">
        <v>6</v>
      </c>
      <c r="B1042">
        <v>6</v>
      </c>
      <c r="C1042">
        <v>5.3147877013177176</v>
      </c>
      <c r="D1042">
        <v>5.4679355783308887</v>
      </c>
      <c r="E1042">
        <f t="shared" si="80"/>
        <v>0.3645770854189509</v>
      </c>
      <c r="F1042">
        <f t="shared" si="81"/>
        <v>0.46951589426545737</v>
      </c>
      <c r="G1042">
        <f t="shared" si="82"/>
        <v>0.28309254880608586</v>
      </c>
      <c r="H1042">
        <v>177.90128843338192</v>
      </c>
      <c r="I1042">
        <v>162.98770131771641</v>
      </c>
      <c r="J1042">
        <v>242.63557833089328</v>
      </c>
      <c r="K1042">
        <f t="shared" si="83"/>
        <v>5.8280270261712062</v>
      </c>
      <c r="L1042">
        <f t="shared" si="84"/>
        <v>6.0313325412695695</v>
      </c>
    </row>
    <row r="1043" spans="1:12" x14ac:dyDescent="0.3">
      <c r="A1043">
        <v>5</v>
      </c>
      <c r="B1043">
        <v>5.5</v>
      </c>
      <c r="C1043">
        <v>5.3147877013177176</v>
      </c>
      <c r="D1043">
        <v>5.4679355783308887</v>
      </c>
      <c r="E1043">
        <f t="shared" si="80"/>
        <v>-1.0093485591301552E-2</v>
      </c>
      <c r="F1043">
        <f t="shared" si="81"/>
        <v>9.9091296900892592E-2</v>
      </c>
      <c r="G1043">
        <f t="shared" si="82"/>
        <v>1.0281271369745727E-3</v>
      </c>
      <c r="H1043">
        <v>177.90128843338192</v>
      </c>
      <c r="I1043">
        <v>162.98770131771641</v>
      </c>
      <c r="J1043">
        <v>242.63557833089328</v>
      </c>
      <c r="K1043">
        <f t="shared" si="83"/>
        <v>5.2950301037407108</v>
      </c>
      <c r="L1043">
        <f t="shared" si="84"/>
        <v>5.4462471183965002</v>
      </c>
    </row>
    <row r="1044" spans="1:12" x14ac:dyDescent="0.3">
      <c r="A1044">
        <v>5.4</v>
      </c>
      <c r="B1044">
        <v>5.4</v>
      </c>
      <c r="C1044">
        <v>5.3147877013177176</v>
      </c>
      <c r="D1044">
        <v>5.4679355783308887</v>
      </c>
      <c r="E1044">
        <f t="shared" si="80"/>
        <v>-5.7889467918852758E-3</v>
      </c>
      <c r="F1044">
        <f t="shared" si="81"/>
        <v>7.2611358467185661E-3</v>
      </c>
      <c r="G1044">
        <f t="shared" si="82"/>
        <v>4.615242803152269E-3</v>
      </c>
      <c r="H1044">
        <v>177.90128843338192</v>
      </c>
      <c r="I1044">
        <v>162.98770131771641</v>
      </c>
      <c r="J1044">
        <v>242.63557833089328</v>
      </c>
      <c r="K1044">
        <f t="shared" si="83"/>
        <v>5.2738396166540316</v>
      </c>
      <c r="L1044">
        <f t="shared" si="84"/>
        <v>5.4229857362454377</v>
      </c>
    </row>
    <row r="1045" spans="1:12" x14ac:dyDescent="0.3">
      <c r="A1045">
        <v>4.8</v>
      </c>
      <c r="B1045">
        <v>4.9000000000000004</v>
      </c>
      <c r="C1045">
        <v>5.3147877013177176</v>
      </c>
      <c r="D1045">
        <v>5.4679355783308887</v>
      </c>
      <c r="E1045">
        <f t="shared" si="80"/>
        <v>0.29236625086550666</v>
      </c>
      <c r="F1045">
        <f t="shared" si="81"/>
        <v>0.26500637742797983</v>
      </c>
      <c r="G1045">
        <f t="shared" si="82"/>
        <v>0.32255082113404066</v>
      </c>
      <c r="H1045">
        <v>177.90128843338192</v>
      </c>
      <c r="I1045">
        <v>162.98770131771641</v>
      </c>
      <c r="J1045">
        <v>242.63557833089328</v>
      </c>
      <c r="K1045">
        <f t="shared" si="83"/>
        <v>4.7977819591564828</v>
      </c>
      <c r="L1045">
        <f t="shared" si="84"/>
        <v>4.9004041149880697</v>
      </c>
    </row>
    <row r="1046" spans="1:12" x14ac:dyDescent="0.3">
      <c r="A1046">
        <v>5</v>
      </c>
      <c r="B1046">
        <v>5.2</v>
      </c>
      <c r="C1046">
        <v>5.3147877013177176</v>
      </c>
      <c r="D1046">
        <v>5.4679355783308887</v>
      </c>
      <c r="E1046">
        <f t="shared" si="80"/>
        <v>8.4342824804013672E-2</v>
      </c>
      <c r="F1046">
        <f t="shared" si="81"/>
        <v>9.9091296900892592E-2</v>
      </c>
      <c r="G1046">
        <f t="shared" si="82"/>
        <v>7.1789474135507708E-2</v>
      </c>
      <c r="H1046">
        <v>177.90128843338192</v>
      </c>
      <c r="I1046">
        <v>162.98770131771641</v>
      </c>
      <c r="J1046">
        <v>242.63557833089328</v>
      </c>
      <c r="K1046">
        <f t="shared" si="83"/>
        <v>5.0606408476818334</v>
      </c>
      <c r="L1046">
        <f t="shared" si="84"/>
        <v>5.1889515670962103</v>
      </c>
    </row>
    <row r="1047" spans="1:12" x14ac:dyDescent="0.3">
      <c r="A1047">
        <v>5.6</v>
      </c>
      <c r="B1047">
        <v>5.5</v>
      </c>
      <c r="C1047">
        <v>5.3147877013177176</v>
      </c>
      <c r="D1047">
        <v>5.4679355783308887</v>
      </c>
      <c r="E1047">
        <f t="shared" si="80"/>
        <v>9.1451674101652013E-3</v>
      </c>
      <c r="F1047">
        <f t="shared" si="81"/>
        <v>8.1346055319631266E-2</v>
      </c>
      <c r="G1047">
        <f t="shared" si="82"/>
        <v>1.0281271369745727E-3</v>
      </c>
      <c r="H1047">
        <v>177.90128843338192</v>
      </c>
      <c r="I1047">
        <v>162.98770131771641</v>
      </c>
      <c r="J1047">
        <v>242.63557833089328</v>
      </c>
      <c r="K1047">
        <f t="shared" si="83"/>
        <v>5.3804390011401306</v>
      </c>
      <c r="L1047">
        <f t="shared" si="84"/>
        <v>5.5400028208200514</v>
      </c>
    </row>
    <row r="1048" spans="1:12" x14ac:dyDescent="0.3">
      <c r="A1048">
        <v>5.5</v>
      </c>
      <c r="B1048">
        <v>5.2</v>
      </c>
      <c r="C1048">
        <v>5.3147877013177176</v>
      </c>
      <c r="D1048">
        <v>5.4679355783308887</v>
      </c>
      <c r="E1048">
        <f t="shared" si="80"/>
        <v>-4.9624964361430601E-2</v>
      </c>
      <c r="F1048">
        <f t="shared" si="81"/>
        <v>3.4303595583174987E-2</v>
      </c>
      <c r="G1048">
        <f t="shared" si="82"/>
        <v>7.1789474135507708E-2</v>
      </c>
      <c r="H1048">
        <v>177.90128843338192</v>
      </c>
      <c r="I1048">
        <v>162.98770131771641</v>
      </c>
      <c r="J1048">
        <v>242.63557833089328</v>
      </c>
      <c r="K1048">
        <f t="shared" si="83"/>
        <v>5.1318149288480166</v>
      </c>
      <c r="L1048">
        <f t="shared" si="84"/>
        <v>5.2670813191158361</v>
      </c>
    </row>
    <row r="1049" spans="1:12" x14ac:dyDescent="0.3">
      <c r="A1049">
        <v>5.4</v>
      </c>
      <c r="B1049">
        <v>5.4</v>
      </c>
      <c r="C1049">
        <v>5.3147877013177176</v>
      </c>
      <c r="D1049">
        <v>5.4679355783308887</v>
      </c>
      <c r="E1049">
        <f t="shared" si="80"/>
        <v>-5.7889467918852758E-3</v>
      </c>
      <c r="F1049">
        <f t="shared" si="81"/>
        <v>7.2611358467185661E-3</v>
      </c>
      <c r="G1049">
        <f t="shared" si="82"/>
        <v>4.615242803152269E-3</v>
      </c>
      <c r="H1049">
        <v>177.90128843338192</v>
      </c>
      <c r="I1049">
        <v>162.98770131771641</v>
      </c>
      <c r="J1049">
        <v>242.63557833089328</v>
      </c>
      <c r="K1049">
        <f t="shared" si="83"/>
        <v>5.2738396166540316</v>
      </c>
      <c r="L1049">
        <f t="shared" si="84"/>
        <v>5.4229857362454377</v>
      </c>
    </row>
    <row r="1050" spans="1:12" x14ac:dyDescent="0.3">
      <c r="A1050">
        <v>5.3</v>
      </c>
      <c r="B1050">
        <v>5.4</v>
      </c>
      <c r="C1050">
        <v>5.3147877013177176</v>
      </c>
      <c r="D1050">
        <v>5.4679355783308887</v>
      </c>
      <c r="E1050">
        <f t="shared" si="80"/>
        <v>1.0046110412035977E-3</v>
      </c>
      <c r="F1050">
        <f t="shared" si="81"/>
        <v>2.1867611026203226E-4</v>
      </c>
      <c r="G1050">
        <f t="shared" si="82"/>
        <v>4.615242803152269E-3</v>
      </c>
      <c r="H1050">
        <v>177.90128843338192</v>
      </c>
      <c r="I1050">
        <v>162.98770131771641</v>
      </c>
      <c r="J1050">
        <v>242.63557833089328</v>
      </c>
      <c r="K1050">
        <f t="shared" si="83"/>
        <v>5.2596048004207958</v>
      </c>
      <c r="L1050">
        <f t="shared" si="84"/>
        <v>5.4073597858415132</v>
      </c>
    </row>
    <row r="1051" spans="1:12" x14ac:dyDescent="0.3">
      <c r="A1051">
        <v>5.2</v>
      </c>
      <c r="B1051">
        <v>5.6</v>
      </c>
      <c r="C1051">
        <v>5.3147877013177176</v>
      </c>
      <c r="D1051">
        <v>5.4679355783308887</v>
      </c>
      <c r="E1051">
        <f t="shared" si="80"/>
        <v>-1.5159371389250994E-2</v>
      </c>
      <c r="F1051">
        <f t="shared" si="81"/>
        <v>1.3176216373805507E-2</v>
      </c>
      <c r="G1051">
        <f t="shared" si="82"/>
        <v>1.7441011470796734E-2</v>
      </c>
      <c r="H1051">
        <v>177.90128843338192</v>
      </c>
      <c r="I1051">
        <v>162.98770131771641</v>
      </c>
      <c r="J1051">
        <v>242.63557833089328</v>
      </c>
      <c r="K1051">
        <f t="shared" si="83"/>
        <v>5.401629488226809</v>
      </c>
      <c r="L1051">
        <f t="shared" si="84"/>
        <v>5.563264202971113</v>
      </c>
    </row>
    <row r="1052" spans="1:12" x14ac:dyDescent="0.3">
      <c r="A1052">
        <v>5.7</v>
      </c>
      <c r="B1052">
        <v>5.9</v>
      </c>
      <c r="C1052">
        <v>5.3147877013177176</v>
      </c>
      <c r="D1052">
        <v>5.4679355783308887</v>
      </c>
      <c r="E1052">
        <f t="shared" si="80"/>
        <v>0.16643652904998951</v>
      </c>
      <c r="F1052">
        <f t="shared" si="81"/>
        <v>0.14838851505608808</v>
      </c>
      <c r="G1052">
        <f t="shared" si="82"/>
        <v>0.18667966447226389</v>
      </c>
      <c r="H1052">
        <v>177.90128843338192</v>
      </c>
      <c r="I1052">
        <v>162.98770131771641</v>
      </c>
      <c r="J1052">
        <v>242.63557833089328</v>
      </c>
      <c r="K1052">
        <f t="shared" si="83"/>
        <v>5.7071928254518696</v>
      </c>
      <c r="L1052">
        <f t="shared" si="84"/>
        <v>5.8986895062910296</v>
      </c>
    </row>
    <row r="1053" spans="1:12" x14ac:dyDescent="0.3">
      <c r="A1053">
        <v>5.2</v>
      </c>
      <c r="B1053">
        <v>5.6</v>
      </c>
      <c r="C1053">
        <v>5.3147877013177176</v>
      </c>
      <c r="D1053">
        <v>5.4679355783308887</v>
      </c>
      <c r="E1053">
        <f t="shared" si="80"/>
        <v>-1.5159371389250994E-2</v>
      </c>
      <c r="F1053">
        <f t="shared" si="81"/>
        <v>1.3176216373805507E-2</v>
      </c>
      <c r="G1053">
        <f t="shared" si="82"/>
        <v>1.7441011470796734E-2</v>
      </c>
      <c r="H1053">
        <v>177.90128843338192</v>
      </c>
      <c r="I1053">
        <v>162.98770131771641</v>
      </c>
      <c r="J1053">
        <v>242.63557833089328</v>
      </c>
      <c r="K1053">
        <f t="shared" si="83"/>
        <v>5.401629488226809</v>
      </c>
      <c r="L1053">
        <f t="shared" si="84"/>
        <v>5.563264202971113</v>
      </c>
    </row>
    <row r="1054" spans="1:12" x14ac:dyDescent="0.3">
      <c r="A1054">
        <v>5.2</v>
      </c>
      <c r="B1054">
        <v>5.6</v>
      </c>
      <c r="C1054">
        <v>5.3147877013177176</v>
      </c>
      <c r="D1054">
        <v>5.4679355783308887</v>
      </c>
      <c r="E1054">
        <f t="shared" si="80"/>
        <v>-1.5159371389250994E-2</v>
      </c>
      <c r="F1054">
        <f t="shared" si="81"/>
        <v>1.3176216373805507E-2</v>
      </c>
      <c r="G1054">
        <f t="shared" si="82"/>
        <v>1.7441011470796734E-2</v>
      </c>
      <c r="H1054">
        <v>177.90128843338192</v>
      </c>
      <c r="I1054">
        <v>162.98770131771641</v>
      </c>
      <c r="J1054">
        <v>242.63557833089328</v>
      </c>
      <c r="K1054">
        <f t="shared" si="83"/>
        <v>5.401629488226809</v>
      </c>
      <c r="L1054">
        <f t="shared" si="84"/>
        <v>5.563264202971113</v>
      </c>
    </row>
    <row r="1055" spans="1:12" x14ac:dyDescent="0.3">
      <c r="A1055">
        <v>5.0999999999999996</v>
      </c>
      <c r="B1055">
        <v>5.0999999999999996</v>
      </c>
      <c r="C1055">
        <v>5.3147877013177176</v>
      </c>
      <c r="D1055">
        <v>5.4679355783308887</v>
      </c>
      <c r="E1055">
        <f t="shared" si="80"/>
        <v>7.9028037102696819E-2</v>
      </c>
      <c r="F1055">
        <f t="shared" si="81"/>
        <v>4.613375663734922E-2</v>
      </c>
      <c r="G1055">
        <f t="shared" si="82"/>
        <v>0.13537658980168582</v>
      </c>
      <c r="H1055">
        <v>177.90128843338192</v>
      </c>
      <c r="I1055">
        <v>162.98770131771641</v>
      </c>
      <c r="J1055">
        <v>242.63557833089328</v>
      </c>
      <c r="K1055">
        <f t="shared" si="83"/>
        <v>4.9967459118954443</v>
      </c>
      <c r="L1055">
        <f t="shared" si="84"/>
        <v>5.1188123337333717</v>
      </c>
    </row>
    <row r="1056" spans="1:12" x14ac:dyDescent="0.3">
      <c r="A1056">
        <v>5.3</v>
      </c>
      <c r="B1056">
        <v>5.4</v>
      </c>
      <c r="C1056">
        <v>5.3147877013177176</v>
      </c>
      <c r="D1056">
        <v>5.4679355783308887</v>
      </c>
      <c r="E1056">
        <f t="shared" si="80"/>
        <v>1.0046110412035977E-3</v>
      </c>
      <c r="F1056">
        <f t="shared" si="81"/>
        <v>2.1867611026203226E-4</v>
      </c>
      <c r="G1056">
        <f t="shared" si="82"/>
        <v>4.615242803152269E-3</v>
      </c>
      <c r="H1056">
        <v>177.90128843338192</v>
      </c>
      <c r="I1056">
        <v>162.98770131771641</v>
      </c>
      <c r="J1056">
        <v>242.63557833089328</v>
      </c>
      <c r="K1056">
        <f t="shared" si="83"/>
        <v>5.2596048004207958</v>
      </c>
      <c r="L1056">
        <f t="shared" si="84"/>
        <v>5.4073597858415132</v>
      </c>
    </row>
    <row r="1057" spans="1:12" x14ac:dyDescent="0.3">
      <c r="A1057">
        <v>5.5</v>
      </c>
      <c r="B1057">
        <v>5.3</v>
      </c>
      <c r="C1057">
        <v>5.3147877013177176</v>
      </c>
      <c r="D1057">
        <v>5.4679355783308887</v>
      </c>
      <c r="E1057">
        <f t="shared" si="80"/>
        <v>-3.1103734493202428E-2</v>
      </c>
      <c r="F1057">
        <f t="shared" si="81"/>
        <v>3.4303595583174987E-2</v>
      </c>
      <c r="G1057">
        <f t="shared" si="82"/>
        <v>2.8202358469330124E-2</v>
      </c>
      <c r="H1057">
        <v>177.90128843338192</v>
      </c>
      <c r="I1057">
        <v>162.98770131771641</v>
      </c>
      <c r="J1057">
        <v>242.63557833089328</v>
      </c>
      <c r="K1057">
        <f t="shared" si="83"/>
        <v>5.2099446808676424</v>
      </c>
      <c r="L1057">
        <f t="shared" si="84"/>
        <v>5.3528465028826</v>
      </c>
    </row>
    <row r="1058" spans="1:12" x14ac:dyDescent="0.3">
      <c r="A1058">
        <v>5.4</v>
      </c>
      <c r="B1058">
        <v>5.2</v>
      </c>
      <c r="C1058">
        <v>5.3147877013177176</v>
      </c>
      <c r="D1058">
        <v>5.4679355783308887</v>
      </c>
      <c r="E1058">
        <f t="shared" si="80"/>
        <v>-2.2831406528341841E-2</v>
      </c>
      <c r="F1058">
        <f t="shared" si="81"/>
        <v>7.2611358467185661E-3</v>
      </c>
      <c r="G1058">
        <f t="shared" si="82"/>
        <v>7.1789474135507708E-2</v>
      </c>
      <c r="H1058">
        <v>177.90128843338192</v>
      </c>
      <c r="I1058">
        <v>162.98770131771641</v>
      </c>
      <c r="J1058">
        <v>242.63557833089328</v>
      </c>
      <c r="K1058">
        <f t="shared" si="83"/>
        <v>5.11758011261478</v>
      </c>
      <c r="L1058">
        <f t="shared" si="84"/>
        <v>5.2514553687119108</v>
      </c>
    </row>
    <row r="1059" spans="1:12" x14ac:dyDescent="0.3">
      <c r="A1059">
        <v>5.2</v>
      </c>
      <c r="B1059">
        <v>5.3</v>
      </c>
      <c r="C1059">
        <v>5.3147877013177176</v>
      </c>
      <c r="D1059">
        <v>5.4679355783308887</v>
      </c>
      <c r="E1059">
        <f t="shared" si="80"/>
        <v>1.9276939006064215E-2</v>
      </c>
      <c r="F1059">
        <f t="shared" si="81"/>
        <v>1.3176216373805507E-2</v>
      </c>
      <c r="G1059">
        <f t="shared" si="82"/>
        <v>2.8202358469330124E-2</v>
      </c>
      <c r="H1059">
        <v>177.90128843338192</v>
      </c>
      <c r="I1059">
        <v>162.98770131771641</v>
      </c>
      <c r="J1059">
        <v>242.63557833089328</v>
      </c>
      <c r="K1059">
        <f t="shared" si="83"/>
        <v>5.1672402321679325</v>
      </c>
      <c r="L1059">
        <f t="shared" si="84"/>
        <v>5.305968651670824</v>
      </c>
    </row>
    <row r="1060" spans="1:12" x14ac:dyDescent="0.3">
      <c r="A1060">
        <v>4.8</v>
      </c>
      <c r="B1060">
        <v>5.0999999999999996</v>
      </c>
      <c r="C1060">
        <v>5.3147877013177176</v>
      </c>
      <c r="D1060">
        <v>5.4679355783308887</v>
      </c>
      <c r="E1060">
        <f t="shared" si="80"/>
        <v>0.18940871060196349</v>
      </c>
      <c r="F1060">
        <f t="shared" si="81"/>
        <v>0.26500637742797983</v>
      </c>
      <c r="G1060">
        <f t="shared" si="82"/>
        <v>0.13537658980168582</v>
      </c>
      <c r="H1060">
        <v>177.90128843338192</v>
      </c>
      <c r="I1060">
        <v>162.98770131771641</v>
      </c>
      <c r="J1060">
        <v>242.63557833089328</v>
      </c>
      <c r="K1060">
        <f t="shared" si="83"/>
        <v>4.9540414631957344</v>
      </c>
      <c r="L1060">
        <f t="shared" si="84"/>
        <v>5.0719344825215966</v>
      </c>
    </row>
    <row r="1061" spans="1:12" x14ac:dyDescent="0.3">
      <c r="A1061">
        <v>5.3</v>
      </c>
      <c r="B1061">
        <v>5.4</v>
      </c>
      <c r="C1061">
        <v>5.3147877013177176</v>
      </c>
      <c r="D1061">
        <v>5.4679355783308887</v>
      </c>
      <c r="E1061">
        <f t="shared" si="80"/>
        <v>1.0046110412035977E-3</v>
      </c>
      <c r="F1061">
        <f t="shared" si="81"/>
        <v>2.1867611026203226E-4</v>
      </c>
      <c r="G1061">
        <f t="shared" si="82"/>
        <v>4.615242803152269E-3</v>
      </c>
      <c r="H1061">
        <v>177.90128843338192</v>
      </c>
      <c r="I1061">
        <v>162.98770131771641</v>
      </c>
      <c r="J1061">
        <v>242.63557833089328</v>
      </c>
      <c r="K1061">
        <f t="shared" si="83"/>
        <v>5.2596048004207958</v>
      </c>
      <c r="L1061">
        <f t="shared" si="84"/>
        <v>5.4073597858415132</v>
      </c>
    </row>
    <row r="1062" spans="1:12" x14ac:dyDescent="0.3">
      <c r="A1062">
        <v>5.3</v>
      </c>
      <c r="B1062">
        <v>5.5</v>
      </c>
      <c r="C1062">
        <v>5.3147877013177176</v>
      </c>
      <c r="D1062">
        <v>5.4679355783308887</v>
      </c>
      <c r="E1062">
        <f t="shared" si="80"/>
        <v>-4.7415909056817545E-4</v>
      </c>
      <c r="F1062">
        <f t="shared" si="81"/>
        <v>2.1867611026203226E-4</v>
      </c>
      <c r="G1062">
        <f t="shared" si="82"/>
        <v>1.0281271369745727E-3</v>
      </c>
      <c r="H1062">
        <v>177.90128843338192</v>
      </c>
      <c r="I1062">
        <v>162.98770131771641</v>
      </c>
      <c r="J1062">
        <v>242.63557833089328</v>
      </c>
      <c r="K1062">
        <f t="shared" si="83"/>
        <v>5.3377345524404198</v>
      </c>
      <c r="L1062">
        <f t="shared" si="84"/>
        <v>5.4931249696082753</v>
      </c>
    </row>
    <row r="1063" spans="1:12" x14ac:dyDescent="0.3">
      <c r="A1063">
        <v>5.2</v>
      </c>
      <c r="B1063">
        <v>5.2</v>
      </c>
      <c r="C1063">
        <v>5.3147877013177176</v>
      </c>
      <c r="D1063">
        <v>5.4679355783308887</v>
      </c>
      <c r="E1063">
        <f t="shared" si="80"/>
        <v>3.0755709137835915E-2</v>
      </c>
      <c r="F1063">
        <f t="shared" si="81"/>
        <v>1.3176216373805507E-2</v>
      </c>
      <c r="G1063">
        <f t="shared" si="82"/>
        <v>7.1789474135507708E-2</v>
      </c>
      <c r="H1063">
        <v>177.90128843338192</v>
      </c>
      <c r="I1063">
        <v>162.98770131771641</v>
      </c>
      <c r="J1063">
        <v>242.63557833089328</v>
      </c>
      <c r="K1063">
        <f t="shared" si="83"/>
        <v>5.0891104801483067</v>
      </c>
      <c r="L1063">
        <f t="shared" si="84"/>
        <v>5.2202034679040601</v>
      </c>
    </row>
    <row r="1064" spans="1:12" x14ac:dyDescent="0.3">
      <c r="A1064">
        <v>5.9</v>
      </c>
      <c r="B1064">
        <v>6.3</v>
      </c>
      <c r="C1064">
        <v>5.3147877013177176</v>
      </c>
      <c r="D1064">
        <v>5.4679355783308887</v>
      </c>
      <c r="E1064">
        <f t="shared" si="80"/>
        <v>0.48693433285672472</v>
      </c>
      <c r="F1064">
        <f t="shared" si="81"/>
        <v>0.34247343452900131</v>
      </c>
      <c r="G1064">
        <f t="shared" si="82"/>
        <v>0.69233120180755237</v>
      </c>
      <c r="H1064">
        <v>177.90128843338192</v>
      </c>
      <c r="I1064">
        <v>162.98770131771641</v>
      </c>
      <c r="J1064">
        <v>242.63557833089328</v>
      </c>
      <c r="K1064">
        <f t="shared" si="83"/>
        <v>6.048181465996846</v>
      </c>
      <c r="L1064">
        <f t="shared" si="84"/>
        <v>6.2730021421659341</v>
      </c>
    </row>
    <row r="1065" spans="1:12" x14ac:dyDescent="0.3">
      <c r="A1065">
        <v>6.2</v>
      </c>
      <c r="B1065">
        <v>6.6</v>
      </c>
      <c r="C1065">
        <v>5.3147877013177176</v>
      </c>
      <c r="D1065">
        <v>5.4679355783308887</v>
      </c>
      <c r="E1065">
        <f t="shared" si="80"/>
        <v>1.0021173489621424</v>
      </c>
      <c r="F1065">
        <f t="shared" si="81"/>
        <v>0.78360081373837065</v>
      </c>
      <c r="G1065">
        <f t="shared" si="82"/>
        <v>1.2815698548090186</v>
      </c>
      <c r="H1065">
        <v>177.90128843338192</v>
      </c>
      <c r="I1065">
        <v>162.98770131771641</v>
      </c>
      <c r="J1065">
        <v>242.63557833089328</v>
      </c>
      <c r="K1065">
        <f t="shared" si="83"/>
        <v>6.3252751707554324</v>
      </c>
      <c r="L1065">
        <f t="shared" si="84"/>
        <v>6.5771755446779991</v>
      </c>
    </row>
    <row r="1066" spans="1:12" x14ac:dyDescent="0.3">
      <c r="A1066">
        <v>6.1</v>
      </c>
      <c r="B1066">
        <v>6.9</v>
      </c>
      <c r="C1066">
        <v>5.3147877013177176</v>
      </c>
      <c r="D1066">
        <v>5.4679355783308887</v>
      </c>
      <c r="E1066">
        <f t="shared" si="80"/>
        <v>1.1244745963999159</v>
      </c>
      <c r="F1066">
        <f t="shared" si="81"/>
        <v>0.61655835400191328</v>
      </c>
      <c r="G1066">
        <f t="shared" si="82"/>
        <v>2.050808507810487</v>
      </c>
      <c r="H1066">
        <v>177.90128843338192</v>
      </c>
      <c r="I1066">
        <v>162.98770131771641</v>
      </c>
      <c r="J1066">
        <v>242.63557833089328</v>
      </c>
      <c r="K1066">
        <f t="shared" si="83"/>
        <v>6.545429610581075</v>
      </c>
      <c r="L1066">
        <f t="shared" si="84"/>
        <v>6.8188451455743664</v>
      </c>
    </row>
    <row r="1067" spans="1:12" x14ac:dyDescent="0.3">
      <c r="A1067">
        <v>5.2</v>
      </c>
      <c r="B1067">
        <v>5.7</v>
      </c>
      <c r="C1067">
        <v>5.3147877013177176</v>
      </c>
      <c r="D1067">
        <v>5.4679355783308887</v>
      </c>
      <c r="E1067">
        <f t="shared" si="80"/>
        <v>-2.6638141521022798E-2</v>
      </c>
      <c r="F1067">
        <f t="shared" si="81"/>
        <v>1.3176216373805507E-2</v>
      </c>
      <c r="G1067">
        <f t="shared" si="82"/>
        <v>5.3853895804619169E-2</v>
      </c>
      <c r="H1067">
        <v>177.90128843338192</v>
      </c>
      <c r="I1067">
        <v>162.98770131771641</v>
      </c>
      <c r="J1067">
        <v>242.63557833089328</v>
      </c>
      <c r="K1067">
        <f t="shared" si="83"/>
        <v>5.4797592402464357</v>
      </c>
      <c r="L1067">
        <f t="shared" si="84"/>
        <v>5.6490293867378778</v>
      </c>
    </row>
    <row r="1068" spans="1:12" x14ac:dyDescent="0.3">
      <c r="A1068">
        <v>6</v>
      </c>
      <c r="B1068">
        <v>6.7</v>
      </c>
      <c r="C1068">
        <v>5.3147877013177176</v>
      </c>
      <c r="D1068">
        <v>5.4679355783308887</v>
      </c>
      <c r="E1068">
        <f t="shared" si="80"/>
        <v>0.84422569449654872</v>
      </c>
      <c r="F1068">
        <f t="shared" si="81"/>
        <v>0.46951589426545737</v>
      </c>
      <c r="G1068">
        <f t="shared" si="82"/>
        <v>1.517982739142842</v>
      </c>
      <c r="H1068">
        <v>177.90128843338192</v>
      </c>
      <c r="I1068">
        <v>162.98770131771641</v>
      </c>
      <c r="J1068">
        <v>242.63557833089328</v>
      </c>
      <c r="K1068">
        <f t="shared" si="83"/>
        <v>6.3749352903085867</v>
      </c>
      <c r="L1068">
        <f t="shared" si="84"/>
        <v>6.6316888276369141</v>
      </c>
    </row>
    <row r="1069" spans="1:12" x14ac:dyDescent="0.3">
      <c r="A1069">
        <v>5.2</v>
      </c>
      <c r="B1069">
        <v>5.2</v>
      </c>
      <c r="C1069">
        <v>5.3147877013177176</v>
      </c>
      <c r="D1069">
        <v>5.4679355783308887</v>
      </c>
      <c r="E1069">
        <f t="shared" si="80"/>
        <v>3.0755709137835915E-2</v>
      </c>
      <c r="F1069">
        <f t="shared" si="81"/>
        <v>1.3176216373805507E-2</v>
      </c>
      <c r="G1069">
        <f t="shared" si="82"/>
        <v>7.1789474135507708E-2</v>
      </c>
      <c r="H1069">
        <v>177.90128843338192</v>
      </c>
      <c r="I1069">
        <v>162.98770131771641</v>
      </c>
      <c r="J1069">
        <v>242.63557833089328</v>
      </c>
      <c r="K1069">
        <f t="shared" si="83"/>
        <v>5.0891104801483067</v>
      </c>
      <c r="L1069">
        <f t="shared" si="84"/>
        <v>5.2202034679040601</v>
      </c>
    </row>
    <row r="1070" spans="1:12" x14ac:dyDescent="0.3">
      <c r="A1070">
        <v>5.0999999999999996</v>
      </c>
      <c r="B1070">
        <v>5.0999999999999996</v>
      </c>
      <c r="C1070">
        <v>5.3147877013177176</v>
      </c>
      <c r="D1070">
        <v>5.4679355783308887</v>
      </c>
      <c r="E1070">
        <f t="shared" si="80"/>
        <v>7.9028037102696819E-2</v>
      </c>
      <c r="F1070">
        <f t="shared" si="81"/>
        <v>4.613375663734922E-2</v>
      </c>
      <c r="G1070">
        <f t="shared" si="82"/>
        <v>0.13537658980168582</v>
      </c>
      <c r="H1070">
        <v>177.90128843338192</v>
      </c>
      <c r="I1070">
        <v>162.98770131771641</v>
      </c>
      <c r="J1070">
        <v>242.63557833089328</v>
      </c>
      <c r="K1070">
        <f t="shared" si="83"/>
        <v>4.9967459118954443</v>
      </c>
      <c r="L1070">
        <f t="shared" si="84"/>
        <v>5.1188123337333717</v>
      </c>
    </row>
    <row r="1071" spans="1:12" x14ac:dyDescent="0.3">
      <c r="A1071">
        <v>4.8</v>
      </c>
      <c r="B1071">
        <v>5.2</v>
      </c>
      <c r="C1071">
        <v>5.3147877013177176</v>
      </c>
      <c r="D1071">
        <v>5.4679355783308887</v>
      </c>
      <c r="E1071">
        <f t="shared" si="80"/>
        <v>0.13792994047019144</v>
      </c>
      <c r="F1071">
        <f t="shared" si="81"/>
        <v>0.26500637742797983</v>
      </c>
      <c r="G1071">
        <f t="shared" si="82"/>
        <v>7.1789474135507708E-2</v>
      </c>
      <c r="H1071">
        <v>177.90128843338192</v>
      </c>
      <c r="I1071">
        <v>162.98770131771641</v>
      </c>
      <c r="J1071">
        <v>242.63557833089328</v>
      </c>
      <c r="K1071">
        <f t="shared" si="83"/>
        <v>5.032171215215361</v>
      </c>
      <c r="L1071">
        <f t="shared" si="84"/>
        <v>5.1576996662883605</v>
      </c>
    </row>
    <row r="1072" spans="1:12" x14ac:dyDescent="0.3">
      <c r="A1072">
        <v>5.4</v>
      </c>
      <c r="B1072">
        <v>5.4</v>
      </c>
      <c r="C1072">
        <v>5.3147877013177176</v>
      </c>
      <c r="D1072">
        <v>5.4679355783308887</v>
      </c>
      <c r="E1072">
        <f t="shared" si="80"/>
        <v>-5.7889467918852758E-3</v>
      </c>
      <c r="F1072">
        <f t="shared" si="81"/>
        <v>7.2611358467185661E-3</v>
      </c>
      <c r="G1072">
        <f t="shared" si="82"/>
        <v>4.615242803152269E-3</v>
      </c>
      <c r="H1072">
        <v>177.90128843338192</v>
      </c>
      <c r="I1072">
        <v>162.98770131771641</v>
      </c>
      <c r="J1072">
        <v>242.63557833089328</v>
      </c>
      <c r="K1072">
        <f t="shared" si="83"/>
        <v>5.2738396166540316</v>
      </c>
      <c r="L1072">
        <f t="shared" si="84"/>
        <v>5.4229857362454377</v>
      </c>
    </row>
    <row r="1073" spans="1:12" x14ac:dyDescent="0.3">
      <c r="A1073">
        <v>5.5</v>
      </c>
      <c r="B1073">
        <v>5.6</v>
      </c>
      <c r="C1073">
        <v>5.3147877013177176</v>
      </c>
      <c r="D1073">
        <v>5.4679355783308887</v>
      </c>
      <c r="E1073">
        <f t="shared" si="80"/>
        <v>2.4459955111482259E-2</v>
      </c>
      <c r="F1073">
        <f t="shared" si="81"/>
        <v>3.4303595583174987E-2</v>
      </c>
      <c r="G1073">
        <f t="shared" si="82"/>
        <v>1.7441011470796734E-2</v>
      </c>
      <c r="H1073">
        <v>177.90128843338192</v>
      </c>
      <c r="I1073">
        <v>162.98770131771641</v>
      </c>
      <c r="J1073">
        <v>242.63557833089328</v>
      </c>
      <c r="K1073">
        <f t="shared" si="83"/>
        <v>5.4443339369265189</v>
      </c>
      <c r="L1073">
        <f t="shared" si="84"/>
        <v>5.610142054182889</v>
      </c>
    </row>
    <row r="1074" spans="1:12" x14ac:dyDescent="0.3">
      <c r="A1074">
        <v>6</v>
      </c>
      <c r="B1074">
        <v>6.4</v>
      </c>
      <c r="C1074">
        <v>5.3147877013177176</v>
      </c>
      <c r="D1074">
        <v>5.4679355783308887</v>
      </c>
      <c r="E1074">
        <f t="shared" si="80"/>
        <v>0.63866200489186409</v>
      </c>
      <c r="F1074">
        <f t="shared" si="81"/>
        <v>0.46951589426545737</v>
      </c>
      <c r="G1074">
        <f t="shared" si="82"/>
        <v>0.86874408614137555</v>
      </c>
      <c r="H1074">
        <v>177.90128843338192</v>
      </c>
      <c r="I1074">
        <v>162.98770131771641</v>
      </c>
      <c r="J1074">
        <v>242.63557833089328</v>
      </c>
      <c r="K1074">
        <f t="shared" si="83"/>
        <v>6.1405460342497094</v>
      </c>
      <c r="L1074">
        <f t="shared" si="84"/>
        <v>6.3743932763366233</v>
      </c>
    </row>
    <row r="1075" spans="1:12" x14ac:dyDescent="0.3">
      <c r="A1075">
        <v>5.4</v>
      </c>
      <c r="B1075">
        <v>5.4</v>
      </c>
      <c r="C1075">
        <v>5.3147877013177176</v>
      </c>
      <c r="D1075">
        <v>5.4679355783308887</v>
      </c>
      <c r="E1075">
        <f t="shared" si="80"/>
        <v>-5.7889467918852758E-3</v>
      </c>
      <c r="F1075">
        <f t="shared" si="81"/>
        <v>7.2611358467185661E-3</v>
      </c>
      <c r="G1075">
        <f t="shared" si="82"/>
        <v>4.615242803152269E-3</v>
      </c>
      <c r="H1075">
        <v>177.90128843338192</v>
      </c>
      <c r="I1075">
        <v>162.98770131771641</v>
      </c>
      <c r="J1075">
        <v>242.63557833089328</v>
      </c>
      <c r="K1075">
        <f t="shared" si="83"/>
        <v>5.2738396166540316</v>
      </c>
      <c r="L1075">
        <f t="shared" si="84"/>
        <v>5.4229857362454377</v>
      </c>
    </row>
    <row r="1076" spans="1:12" x14ac:dyDescent="0.3">
      <c r="A1076">
        <v>5.2</v>
      </c>
      <c r="B1076">
        <v>5.3</v>
      </c>
      <c r="C1076">
        <v>5.3147877013177176</v>
      </c>
      <c r="D1076">
        <v>5.4679355783308887</v>
      </c>
      <c r="E1076">
        <f t="shared" si="80"/>
        <v>1.9276939006064215E-2</v>
      </c>
      <c r="F1076">
        <f t="shared" si="81"/>
        <v>1.3176216373805507E-2</v>
      </c>
      <c r="G1076">
        <f t="shared" si="82"/>
        <v>2.8202358469330124E-2</v>
      </c>
      <c r="H1076">
        <v>177.90128843338192</v>
      </c>
      <c r="I1076">
        <v>162.98770131771641</v>
      </c>
      <c r="J1076">
        <v>242.63557833089328</v>
      </c>
      <c r="K1076">
        <f t="shared" si="83"/>
        <v>5.1672402321679325</v>
      </c>
      <c r="L1076">
        <f t="shared" si="84"/>
        <v>5.305968651670824</v>
      </c>
    </row>
    <row r="1077" spans="1:12" x14ac:dyDescent="0.3">
      <c r="A1077">
        <v>4.9000000000000004</v>
      </c>
      <c r="B1077">
        <v>5.3</v>
      </c>
      <c r="C1077">
        <v>5.3147877013177176</v>
      </c>
      <c r="D1077">
        <v>5.4679355783308887</v>
      </c>
      <c r="E1077">
        <f t="shared" si="80"/>
        <v>6.9657612505330854E-2</v>
      </c>
      <c r="F1077">
        <f t="shared" si="81"/>
        <v>0.17204883716443581</v>
      </c>
      <c r="G1077">
        <f t="shared" si="82"/>
        <v>2.8202358469330124E-2</v>
      </c>
      <c r="H1077">
        <v>177.90128843338192</v>
      </c>
      <c r="I1077">
        <v>162.98770131771641</v>
      </c>
      <c r="J1077">
        <v>242.63557833089328</v>
      </c>
      <c r="K1077">
        <f t="shared" si="83"/>
        <v>5.1245357834682226</v>
      </c>
      <c r="L1077">
        <f t="shared" si="84"/>
        <v>5.259090800459048</v>
      </c>
    </row>
    <row r="1078" spans="1:12" x14ac:dyDescent="0.3">
      <c r="A1078">
        <v>5.0999999999999996</v>
      </c>
      <c r="B1078">
        <v>5.3</v>
      </c>
      <c r="C1078">
        <v>5.3147877013177176</v>
      </c>
      <c r="D1078">
        <v>5.4679355783308887</v>
      </c>
      <c r="E1078">
        <f t="shared" si="80"/>
        <v>3.6070496839153192E-2</v>
      </c>
      <c r="F1078">
        <f t="shared" si="81"/>
        <v>4.613375663734922E-2</v>
      </c>
      <c r="G1078">
        <f t="shared" si="82"/>
        <v>2.8202358469330124E-2</v>
      </c>
      <c r="H1078">
        <v>177.90128843338192</v>
      </c>
      <c r="I1078">
        <v>162.98770131771641</v>
      </c>
      <c r="J1078">
        <v>242.63557833089328</v>
      </c>
      <c r="K1078">
        <f t="shared" si="83"/>
        <v>5.1530054159346959</v>
      </c>
      <c r="L1078">
        <f t="shared" si="84"/>
        <v>5.2903427012668987</v>
      </c>
    </row>
    <row r="1079" spans="1:12" x14ac:dyDescent="0.3">
      <c r="A1079">
        <v>5.2</v>
      </c>
      <c r="B1079">
        <v>5.5</v>
      </c>
      <c r="C1079">
        <v>5.3147877013177176</v>
      </c>
      <c r="D1079">
        <v>5.4679355783308887</v>
      </c>
      <c r="E1079">
        <f t="shared" si="80"/>
        <v>-3.6806012574792917E-3</v>
      </c>
      <c r="F1079">
        <f t="shared" si="81"/>
        <v>1.3176216373805507E-2</v>
      </c>
      <c r="G1079">
        <f t="shared" si="82"/>
        <v>1.0281271369745727E-3</v>
      </c>
      <c r="H1079">
        <v>177.90128843338192</v>
      </c>
      <c r="I1079">
        <v>162.98770131771641</v>
      </c>
      <c r="J1079">
        <v>242.63557833089328</v>
      </c>
      <c r="K1079">
        <f t="shared" si="83"/>
        <v>5.3234997362071841</v>
      </c>
      <c r="L1079">
        <f t="shared" si="84"/>
        <v>5.4774990192043509</v>
      </c>
    </row>
    <row r="1080" spans="1:12" x14ac:dyDescent="0.3">
      <c r="A1080">
        <v>5.2</v>
      </c>
      <c r="B1080">
        <v>5.4</v>
      </c>
      <c r="C1080">
        <v>5.3147877013177176</v>
      </c>
      <c r="D1080">
        <v>5.4679355783308887</v>
      </c>
      <c r="E1080">
        <f t="shared" si="80"/>
        <v>7.7981688742924105E-3</v>
      </c>
      <c r="F1080">
        <f t="shared" si="81"/>
        <v>1.3176216373805507E-2</v>
      </c>
      <c r="G1080">
        <f t="shared" si="82"/>
        <v>4.615242803152269E-3</v>
      </c>
      <c r="H1080">
        <v>177.90128843338192</v>
      </c>
      <c r="I1080">
        <v>162.98770131771641</v>
      </c>
      <c r="J1080">
        <v>242.63557833089328</v>
      </c>
      <c r="K1080">
        <f t="shared" si="83"/>
        <v>5.2453699841875583</v>
      </c>
      <c r="L1080">
        <f t="shared" si="84"/>
        <v>5.391733835437587</v>
      </c>
    </row>
    <row r="1081" spans="1:12" x14ac:dyDescent="0.3">
      <c r="A1081">
        <v>5.7</v>
      </c>
      <c r="B1081">
        <v>5.6</v>
      </c>
      <c r="C1081">
        <v>5.3147877013177176</v>
      </c>
      <c r="D1081">
        <v>5.4679355783308887</v>
      </c>
      <c r="E1081">
        <f t="shared" si="80"/>
        <v>5.087283944530447E-2</v>
      </c>
      <c r="F1081">
        <f t="shared" si="81"/>
        <v>0.14838851505608808</v>
      </c>
      <c r="G1081">
        <f t="shared" si="82"/>
        <v>1.7441011470796734E-2</v>
      </c>
      <c r="H1081">
        <v>177.90128843338192</v>
      </c>
      <c r="I1081">
        <v>162.98770131771641</v>
      </c>
      <c r="J1081">
        <v>242.63557833089328</v>
      </c>
      <c r="K1081">
        <f t="shared" si="83"/>
        <v>5.4728035693929922</v>
      </c>
      <c r="L1081">
        <f t="shared" si="84"/>
        <v>5.6413939549907397</v>
      </c>
    </row>
    <row r="1082" spans="1:12" x14ac:dyDescent="0.3">
      <c r="A1082">
        <v>6.1</v>
      </c>
      <c r="B1082">
        <v>6.3</v>
      </c>
      <c r="C1082">
        <v>5.3147877013177176</v>
      </c>
      <c r="D1082">
        <v>5.4679355783308887</v>
      </c>
      <c r="E1082">
        <f t="shared" si="80"/>
        <v>0.65334721719054634</v>
      </c>
      <c r="F1082">
        <f t="shared" si="81"/>
        <v>0.61655835400191328</v>
      </c>
      <c r="G1082">
        <f t="shared" si="82"/>
        <v>0.69233120180755237</v>
      </c>
      <c r="H1082">
        <v>177.90128843338192</v>
      </c>
      <c r="I1082">
        <v>162.98770131771641</v>
      </c>
      <c r="J1082">
        <v>242.63557833089328</v>
      </c>
      <c r="K1082">
        <f t="shared" si="83"/>
        <v>6.0766510984633193</v>
      </c>
      <c r="L1082">
        <f t="shared" si="84"/>
        <v>6.3042540429737839</v>
      </c>
    </row>
    <row r="1083" spans="1:12" x14ac:dyDescent="0.3">
      <c r="A1083">
        <v>5.4</v>
      </c>
      <c r="B1083">
        <v>5.0999999999999996</v>
      </c>
      <c r="C1083">
        <v>5.3147877013177176</v>
      </c>
      <c r="D1083">
        <v>5.4679355783308887</v>
      </c>
      <c r="E1083">
        <f t="shared" si="80"/>
        <v>-3.1352636396570162E-2</v>
      </c>
      <c r="F1083">
        <f t="shared" si="81"/>
        <v>7.2611358467185661E-3</v>
      </c>
      <c r="G1083">
        <f t="shared" si="82"/>
        <v>0.13537658980168582</v>
      </c>
      <c r="H1083">
        <v>177.90128843338192</v>
      </c>
      <c r="I1083">
        <v>162.98770131771641</v>
      </c>
      <c r="J1083">
        <v>242.63557833089328</v>
      </c>
      <c r="K1083">
        <f t="shared" si="83"/>
        <v>5.0394503605951542</v>
      </c>
      <c r="L1083">
        <f t="shared" si="84"/>
        <v>5.1656901849451478</v>
      </c>
    </row>
    <row r="1084" spans="1:12" x14ac:dyDescent="0.3">
      <c r="A1084">
        <v>6.1</v>
      </c>
      <c r="B1084">
        <v>6</v>
      </c>
      <c r="C1084">
        <v>5.3147877013177176</v>
      </c>
      <c r="D1084">
        <v>5.4679355783308887</v>
      </c>
      <c r="E1084">
        <f t="shared" si="80"/>
        <v>0.41778352758586185</v>
      </c>
      <c r="F1084">
        <f t="shared" si="81"/>
        <v>0.61655835400191328</v>
      </c>
      <c r="G1084">
        <f t="shared" si="82"/>
        <v>0.28309254880608586</v>
      </c>
      <c r="H1084">
        <v>177.90128843338192</v>
      </c>
      <c r="I1084">
        <v>162.98770131771641</v>
      </c>
      <c r="J1084">
        <v>242.63557833089328</v>
      </c>
      <c r="K1084">
        <f t="shared" si="83"/>
        <v>5.8422618424044419</v>
      </c>
      <c r="L1084">
        <f t="shared" si="84"/>
        <v>6.046958491673494</v>
      </c>
    </row>
    <row r="1085" spans="1:12" x14ac:dyDescent="0.3">
      <c r="A1085">
        <v>4.7</v>
      </c>
      <c r="B1085">
        <v>5.3</v>
      </c>
      <c r="C1085">
        <v>5.3147877013177176</v>
      </c>
      <c r="D1085">
        <v>5.4679355783308887</v>
      </c>
      <c r="E1085">
        <f t="shared" si="80"/>
        <v>0.10324472817150866</v>
      </c>
      <c r="F1085">
        <f t="shared" si="81"/>
        <v>0.37796391769152293</v>
      </c>
      <c r="G1085">
        <f t="shared" si="82"/>
        <v>2.8202358469330124E-2</v>
      </c>
      <c r="H1085">
        <v>177.90128843338192</v>
      </c>
      <c r="I1085">
        <v>162.98770131771641</v>
      </c>
      <c r="J1085">
        <v>242.63557833089328</v>
      </c>
      <c r="K1085">
        <f t="shared" si="83"/>
        <v>5.0960661510017493</v>
      </c>
      <c r="L1085">
        <f t="shared" si="84"/>
        <v>5.2278388996511982</v>
      </c>
    </row>
    <row r="1086" spans="1:12" x14ac:dyDescent="0.3">
      <c r="A1086">
        <v>4.9000000000000004</v>
      </c>
      <c r="B1086">
        <v>5</v>
      </c>
      <c r="C1086">
        <v>5.3147877013177176</v>
      </c>
      <c r="D1086">
        <v>5.4679355783308887</v>
      </c>
      <c r="E1086">
        <f t="shared" si="80"/>
        <v>0.19409392290064595</v>
      </c>
      <c r="F1086">
        <f t="shared" si="81"/>
        <v>0.17204883716443581</v>
      </c>
      <c r="G1086">
        <f t="shared" si="82"/>
        <v>0.21896370546786328</v>
      </c>
      <c r="H1086">
        <v>177.90128843338192</v>
      </c>
      <c r="I1086">
        <v>162.98770131771641</v>
      </c>
      <c r="J1086">
        <v>242.63557833089328</v>
      </c>
      <c r="K1086">
        <f t="shared" si="83"/>
        <v>4.8901465274093461</v>
      </c>
      <c r="L1086">
        <f t="shared" si="84"/>
        <v>5.0017952491587589</v>
      </c>
    </row>
    <row r="1087" spans="1:12" x14ac:dyDescent="0.3">
      <c r="A1087">
        <v>5.7</v>
      </c>
      <c r="B1087">
        <v>6</v>
      </c>
      <c r="C1087">
        <v>5.3147877013177176</v>
      </c>
      <c r="D1087">
        <v>5.4679355783308887</v>
      </c>
      <c r="E1087">
        <f t="shared" si="80"/>
        <v>0.20495775891821763</v>
      </c>
      <c r="F1087">
        <f t="shared" si="81"/>
        <v>0.14838851505608808</v>
      </c>
      <c r="G1087">
        <f t="shared" si="82"/>
        <v>0.28309254880608586</v>
      </c>
      <c r="H1087">
        <v>177.90128843338192</v>
      </c>
      <c r="I1087">
        <v>162.98770131771641</v>
      </c>
      <c r="J1087">
        <v>242.63557833089328</v>
      </c>
      <c r="K1087">
        <f t="shared" si="83"/>
        <v>5.7853225774714954</v>
      </c>
      <c r="L1087">
        <f t="shared" si="84"/>
        <v>5.9844546900577935</v>
      </c>
    </row>
    <row r="1088" spans="1:12" x14ac:dyDescent="0.3">
      <c r="A1088">
        <v>5.3</v>
      </c>
      <c r="B1088">
        <v>5.5</v>
      </c>
      <c r="C1088">
        <v>5.3147877013177176</v>
      </c>
      <c r="D1088">
        <v>5.4679355783308887</v>
      </c>
      <c r="E1088">
        <f t="shared" si="80"/>
        <v>-4.7415909056817545E-4</v>
      </c>
      <c r="F1088">
        <f t="shared" si="81"/>
        <v>2.1867611026203226E-4</v>
      </c>
      <c r="G1088">
        <f t="shared" si="82"/>
        <v>1.0281271369745727E-3</v>
      </c>
      <c r="H1088">
        <v>177.90128843338192</v>
      </c>
      <c r="I1088">
        <v>162.98770131771641</v>
      </c>
      <c r="J1088">
        <v>242.63557833089328</v>
      </c>
      <c r="K1088">
        <f t="shared" si="83"/>
        <v>5.3377345524404198</v>
      </c>
      <c r="L1088">
        <f t="shared" si="84"/>
        <v>5.4931249696082753</v>
      </c>
    </row>
    <row r="1089" spans="1:12" x14ac:dyDescent="0.3">
      <c r="A1089">
        <v>5.2</v>
      </c>
      <c r="B1089">
        <v>5.4</v>
      </c>
      <c r="C1089">
        <v>5.3147877013177176</v>
      </c>
      <c r="D1089">
        <v>5.4679355783308887</v>
      </c>
      <c r="E1089">
        <f t="shared" si="80"/>
        <v>7.7981688742924105E-3</v>
      </c>
      <c r="F1089">
        <f t="shared" si="81"/>
        <v>1.3176216373805507E-2</v>
      </c>
      <c r="G1089">
        <f t="shared" si="82"/>
        <v>4.615242803152269E-3</v>
      </c>
      <c r="H1089">
        <v>177.90128843338192</v>
      </c>
      <c r="I1089">
        <v>162.98770131771641</v>
      </c>
      <c r="J1089">
        <v>242.63557833089328</v>
      </c>
      <c r="K1089">
        <f t="shared" si="83"/>
        <v>5.2453699841875583</v>
      </c>
      <c r="L1089">
        <f t="shared" si="84"/>
        <v>5.391733835437587</v>
      </c>
    </row>
    <row r="1090" spans="1:12" x14ac:dyDescent="0.3">
      <c r="A1090">
        <v>5.8</v>
      </c>
      <c r="B1090">
        <v>6.6</v>
      </c>
      <c r="C1090">
        <v>5.3147877013177176</v>
      </c>
      <c r="D1090">
        <v>5.4679355783308887</v>
      </c>
      <c r="E1090">
        <f t="shared" si="80"/>
        <v>0.54929158029449776</v>
      </c>
      <c r="F1090">
        <f t="shared" si="81"/>
        <v>0.23543097479254424</v>
      </c>
      <c r="G1090">
        <f t="shared" si="82"/>
        <v>1.2815698548090186</v>
      </c>
      <c r="H1090">
        <v>177.90128843338192</v>
      </c>
      <c r="I1090">
        <v>162.98770131771641</v>
      </c>
      <c r="J1090">
        <v>242.63557833089328</v>
      </c>
      <c r="K1090">
        <f t="shared" si="83"/>
        <v>6.2683359058224859</v>
      </c>
      <c r="L1090">
        <f t="shared" si="84"/>
        <v>6.5146717430622978</v>
      </c>
    </row>
    <row r="1091" spans="1:12" x14ac:dyDescent="0.3">
      <c r="A1091">
        <v>5.5</v>
      </c>
      <c r="B1091">
        <v>6.2</v>
      </c>
      <c r="C1091">
        <v>5.3147877013177176</v>
      </c>
      <c r="D1091">
        <v>5.4679355783308887</v>
      </c>
      <c r="E1091">
        <f t="shared" ref="E1091:E1154" si="85">(A1091-C1091)*(B1091-D1091)</f>
        <v>0.13558733432085179</v>
      </c>
      <c r="F1091">
        <f t="shared" ref="F1091:F1154" si="86">(A1091-C1091)^2</f>
        <v>3.4303595583174987E-2</v>
      </c>
      <c r="G1091">
        <f t="shared" ref="G1091:G1154" si="87">(B1091-D1091)^2</f>
        <v>0.53591831747373064</v>
      </c>
      <c r="H1091">
        <v>177.90128843338192</v>
      </c>
      <c r="I1091">
        <v>162.98770131771641</v>
      </c>
      <c r="J1091">
        <v>242.63557833089328</v>
      </c>
      <c r="K1091">
        <f t="shared" ref="K1091:K1154" si="88">(1.097727582*(B1091+0.366253474)+0.2*A1091)/(0.2+1.097727582^2)</f>
        <v>5.9131124490442746</v>
      </c>
      <c r="L1091">
        <f t="shared" ref="L1091:L1154" si="89">1.097727582*K1091-0.366253474</f>
        <v>6.1247331567834706</v>
      </c>
    </row>
    <row r="1092" spans="1:12" x14ac:dyDescent="0.3">
      <c r="A1092">
        <v>5.9</v>
      </c>
      <c r="B1092">
        <v>6.5</v>
      </c>
      <c r="C1092">
        <v>5.3147877013177176</v>
      </c>
      <c r="D1092">
        <v>5.4679355783308887</v>
      </c>
      <c r="E1092">
        <f t="shared" si="85"/>
        <v>0.60397679259318138</v>
      </c>
      <c r="F1092">
        <f t="shared" si="86"/>
        <v>0.34247343452900131</v>
      </c>
      <c r="G1092">
        <f t="shared" si="87"/>
        <v>1.0651569704751971</v>
      </c>
      <c r="H1092">
        <v>177.90128843338192</v>
      </c>
      <c r="I1092">
        <v>162.98770131771641</v>
      </c>
      <c r="J1092">
        <v>242.63557833089328</v>
      </c>
      <c r="K1092">
        <f t="shared" si="88"/>
        <v>6.2044409700360976</v>
      </c>
      <c r="L1092">
        <f t="shared" si="89"/>
        <v>6.444532509699461</v>
      </c>
    </row>
    <row r="1093" spans="1:12" x14ac:dyDescent="0.3">
      <c r="A1093">
        <v>5.0999999999999996</v>
      </c>
      <c r="B1093">
        <v>5.3</v>
      </c>
      <c r="C1093">
        <v>5.3147877013177176</v>
      </c>
      <c r="D1093">
        <v>5.4679355783308887</v>
      </c>
      <c r="E1093">
        <f t="shared" si="85"/>
        <v>3.6070496839153192E-2</v>
      </c>
      <c r="F1093">
        <f t="shared" si="86"/>
        <v>4.613375663734922E-2</v>
      </c>
      <c r="G1093">
        <f t="shared" si="87"/>
        <v>2.8202358469330124E-2</v>
      </c>
      <c r="H1093">
        <v>177.90128843338192</v>
      </c>
      <c r="I1093">
        <v>162.98770131771641</v>
      </c>
      <c r="J1093">
        <v>242.63557833089328</v>
      </c>
      <c r="K1093">
        <f t="shared" si="88"/>
        <v>5.1530054159346959</v>
      </c>
      <c r="L1093">
        <f t="shared" si="89"/>
        <v>5.2903427012668987</v>
      </c>
    </row>
    <row r="1094" spans="1:12" x14ac:dyDescent="0.3">
      <c r="A1094">
        <v>5</v>
      </c>
      <c r="B1094">
        <v>5.4</v>
      </c>
      <c r="C1094">
        <v>5.3147877013177176</v>
      </c>
      <c r="D1094">
        <v>5.4679355783308887</v>
      </c>
      <c r="E1094">
        <f t="shared" si="85"/>
        <v>2.1385284540470097E-2</v>
      </c>
      <c r="F1094">
        <f t="shared" si="86"/>
        <v>9.9091296900892592E-2</v>
      </c>
      <c r="G1094">
        <f t="shared" si="87"/>
        <v>4.615242803152269E-3</v>
      </c>
      <c r="H1094">
        <v>177.90128843338192</v>
      </c>
      <c r="I1094">
        <v>162.98770131771641</v>
      </c>
      <c r="J1094">
        <v>242.63557833089328</v>
      </c>
      <c r="K1094">
        <f t="shared" si="88"/>
        <v>5.2169003517210859</v>
      </c>
      <c r="L1094">
        <f t="shared" si="89"/>
        <v>5.3604819346297381</v>
      </c>
    </row>
    <row r="1095" spans="1:12" x14ac:dyDescent="0.3">
      <c r="A1095">
        <v>4.9000000000000004</v>
      </c>
      <c r="B1095">
        <v>5.0999999999999996</v>
      </c>
      <c r="C1095">
        <v>5.3147877013177176</v>
      </c>
      <c r="D1095">
        <v>5.4679355783308887</v>
      </c>
      <c r="E1095">
        <f t="shared" si="85"/>
        <v>0.15261515276887438</v>
      </c>
      <c r="F1095">
        <f t="shared" si="86"/>
        <v>0.17204883716443581</v>
      </c>
      <c r="G1095">
        <f t="shared" si="87"/>
        <v>0.13537658980168582</v>
      </c>
      <c r="H1095">
        <v>177.90128843338192</v>
      </c>
      <c r="I1095">
        <v>162.98770131771641</v>
      </c>
      <c r="J1095">
        <v>242.63557833089328</v>
      </c>
      <c r="K1095">
        <f t="shared" si="88"/>
        <v>4.968276279428971</v>
      </c>
      <c r="L1095">
        <f t="shared" si="89"/>
        <v>5.0875604329255211</v>
      </c>
    </row>
    <row r="1096" spans="1:12" x14ac:dyDescent="0.3">
      <c r="A1096">
        <v>5.9</v>
      </c>
      <c r="B1096">
        <v>6.4</v>
      </c>
      <c r="C1096">
        <v>5.3147877013177176</v>
      </c>
      <c r="D1096">
        <v>5.4679355783308887</v>
      </c>
      <c r="E1096">
        <f t="shared" si="85"/>
        <v>0.54545556272495332</v>
      </c>
      <c r="F1096">
        <f t="shared" si="86"/>
        <v>0.34247343452900131</v>
      </c>
      <c r="G1096">
        <f t="shared" si="87"/>
        <v>0.86874408614137555</v>
      </c>
      <c r="H1096">
        <v>177.90128843338192</v>
      </c>
      <c r="I1096">
        <v>162.98770131771641</v>
      </c>
      <c r="J1096">
        <v>242.63557833089328</v>
      </c>
      <c r="K1096">
        <f t="shared" si="88"/>
        <v>6.1263112180164727</v>
      </c>
      <c r="L1096">
        <f t="shared" si="89"/>
        <v>6.358767325932698</v>
      </c>
    </row>
    <row r="1097" spans="1:12" x14ac:dyDescent="0.3">
      <c r="A1097">
        <v>4.7</v>
      </c>
      <c r="B1097">
        <v>5.0999999999999996</v>
      </c>
      <c r="C1097">
        <v>5.3147877013177176</v>
      </c>
      <c r="D1097">
        <v>5.4679355783308887</v>
      </c>
      <c r="E1097">
        <f t="shared" si="85"/>
        <v>0.22620226843505226</v>
      </c>
      <c r="F1097">
        <f t="shared" si="86"/>
        <v>0.37796391769152293</v>
      </c>
      <c r="G1097">
        <f t="shared" si="87"/>
        <v>0.13537658980168582</v>
      </c>
      <c r="H1097">
        <v>177.90128843338192</v>
      </c>
      <c r="I1097">
        <v>162.98770131771641</v>
      </c>
      <c r="J1097">
        <v>242.63557833089328</v>
      </c>
      <c r="K1097">
        <f t="shared" si="88"/>
        <v>4.9398066469624977</v>
      </c>
      <c r="L1097">
        <f t="shared" si="89"/>
        <v>5.0563085321176713</v>
      </c>
    </row>
    <row r="1098" spans="1:12" x14ac:dyDescent="0.3">
      <c r="A1098">
        <v>5.0999999999999996</v>
      </c>
      <c r="B1098">
        <v>5.4</v>
      </c>
      <c r="C1098">
        <v>5.3147877013177176</v>
      </c>
      <c r="D1098">
        <v>5.4679355783308887</v>
      </c>
      <c r="E1098">
        <f t="shared" si="85"/>
        <v>1.4591726707381283E-2</v>
      </c>
      <c r="F1098">
        <f t="shared" si="86"/>
        <v>4.613375663734922E-2</v>
      </c>
      <c r="G1098">
        <f t="shared" si="87"/>
        <v>4.615242803152269E-3</v>
      </c>
      <c r="H1098">
        <v>177.90128843338192</v>
      </c>
      <c r="I1098">
        <v>162.98770131771641</v>
      </c>
      <c r="J1098">
        <v>242.63557833089328</v>
      </c>
      <c r="K1098">
        <f t="shared" si="88"/>
        <v>5.2311351679543217</v>
      </c>
      <c r="L1098">
        <f t="shared" si="89"/>
        <v>5.3761078850336625</v>
      </c>
    </row>
    <row r="1099" spans="1:12" x14ac:dyDescent="0.3">
      <c r="A1099">
        <v>5.3</v>
      </c>
      <c r="B1099">
        <v>5.4</v>
      </c>
      <c r="C1099">
        <v>5.3147877013177176</v>
      </c>
      <c r="D1099">
        <v>5.4679355783308887</v>
      </c>
      <c r="E1099">
        <f t="shared" si="85"/>
        <v>1.0046110412035977E-3</v>
      </c>
      <c r="F1099">
        <f t="shared" si="86"/>
        <v>2.1867611026203226E-4</v>
      </c>
      <c r="G1099">
        <f t="shared" si="87"/>
        <v>4.615242803152269E-3</v>
      </c>
      <c r="H1099">
        <v>177.90128843338192</v>
      </c>
      <c r="I1099">
        <v>162.98770131771641</v>
      </c>
      <c r="J1099">
        <v>242.63557833089328</v>
      </c>
      <c r="K1099">
        <f t="shared" si="88"/>
        <v>5.2596048004207958</v>
      </c>
      <c r="L1099">
        <f t="shared" si="89"/>
        <v>5.4073597858415132</v>
      </c>
    </row>
    <row r="1100" spans="1:12" x14ac:dyDescent="0.3">
      <c r="A1100">
        <v>5.5</v>
      </c>
      <c r="B1100">
        <v>5.7</v>
      </c>
      <c r="C1100">
        <v>5.3147877013177176</v>
      </c>
      <c r="D1100">
        <v>5.4679355783308887</v>
      </c>
      <c r="E1100">
        <f t="shared" si="85"/>
        <v>4.2981184979710596E-2</v>
      </c>
      <c r="F1100">
        <f t="shared" si="86"/>
        <v>3.4303595583174987E-2</v>
      </c>
      <c r="G1100">
        <f t="shared" si="87"/>
        <v>5.3853895804619169E-2</v>
      </c>
      <c r="H1100">
        <v>177.90128843338192</v>
      </c>
      <c r="I1100">
        <v>162.98770131771641</v>
      </c>
      <c r="J1100">
        <v>242.63557833089328</v>
      </c>
      <c r="K1100">
        <f t="shared" si="88"/>
        <v>5.5224636889461456</v>
      </c>
      <c r="L1100">
        <f t="shared" si="89"/>
        <v>5.6959072379496538</v>
      </c>
    </row>
    <row r="1101" spans="1:12" x14ac:dyDescent="0.3">
      <c r="A1101">
        <v>5.5</v>
      </c>
      <c r="B1101">
        <v>5.8</v>
      </c>
      <c r="C1101">
        <v>5.3147877013177176</v>
      </c>
      <c r="D1101">
        <v>5.4679355783308887</v>
      </c>
      <c r="E1101">
        <f t="shared" si="85"/>
        <v>6.1502414847938773E-2</v>
      </c>
      <c r="F1101">
        <f t="shared" si="86"/>
        <v>3.4303595583174987E-2</v>
      </c>
      <c r="G1101">
        <f t="shared" si="87"/>
        <v>0.11026678013844123</v>
      </c>
      <c r="H1101">
        <v>177.90128843338192</v>
      </c>
      <c r="I1101">
        <v>162.98770131771641</v>
      </c>
      <c r="J1101">
        <v>242.63557833089328</v>
      </c>
      <c r="K1101">
        <f t="shared" si="88"/>
        <v>5.6005934409657705</v>
      </c>
      <c r="L1101">
        <f t="shared" si="89"/>
        <v>5.7816724217164159</v>
      </c>
    </row>
    <row r="1102" spans="1:12" x14ac:dyDescent="0.3">
      <c r="A1102">
        <v>5.2</v>
      </c>
      <c r="B1102">
        <v>5.3</v>
      </c>
      <c r="C1102">
        <v>5.3147877013177176</v>
      </c>
      <c r="D1102">
        <v>5.4679355783308887</v>
      </c>
      <c r="E1102">
        <f t="shared" si="85"/>
        <v>1.9276939006064215E-2</v>
      </c>
      <c r="F1102">
        <f t="shared" si="86"/>
        <v>1.3176216373805507E-2</v>
      </c>
      <c r="G1102">
        <f t="shared" si="87"/>
        <v>2.8202358469330124E-2</v>
      </c>
      <c r="H1102">
        <v>177.90128843338192</v>
      </c>
      <c r="I1102">
        <v>162.98770131771641</v>
      </c>
      <c r="J1102">
        <v>242.63557833089328</v>
      </c>
      <c r="K1102">
        <f t="shared" si="88"/>
        <v>5.1672402321679325</v>
      </c>
      <c r="L1102">
        <f t="shared" si="89"/>
        <v>5.305968651670824</v>
      </c>
    </row>
    <row r="1103" spans="1:12" x14ac:dyDescent="0.3">
      <c r="A1103">
        <v>5.4</v>
      </c>
      <c r="B1103">
        <v>5.0999999999999996</v>
      </c>
      <c r="C1103">
        <v>5.3147877013177176</v>
      </c>
      <c r="D1103">
        <v>5.4679355783308887</v>
      </c>
      <c r="E1103">
        <f t="shared" si="85"/>
        <v>-3.1352636396570162E-2</v>
      </c>
      <c r="F1103">
        <f t="shared" si="86"/>
        <v>7.2611358467185661E-3</v>
      </c>
      <c r="G1103">
        <f t="shared" si="87"/>
        <v>0.13537658980168582</v>
      </c>
      <c r="H1103">
        <v>177.90128843338192</v>
      </c>
      <c r="I1103">
        <v>162.98770131771641</v>
      </c>
      <c r="J1103">
        <v>242.63557833089328</v>
      </c>
      <c r="K1103">
        <f t="shared" si="88"/>
        <v>5.0394503605951542</v>
      </c>
      <c r="L1103">
        <f t="shared" si="89"/>
        <v>5.1656901849451478</v>
      </c>
    </row>
    <row r="1104" spans="1:12" x14ac:dyDescent="0.3">
      <c r="A1104">
        <v>5.7</v>
      </c>
      <c r="B1104">
        <v>5.5</v>
      </c>
      <c r="C1104">
        <v>5.3147877013177176</v>
      </c>
      <c r="D1104">
        <v>5.4679355783308887</v>
      </c>
      <c r="E1104">
        <f t="shared" si="85"/>
        <v>1.2351609577076346E-2</v>
      </c>
      <c r="F1104">
        <f t="shared" si="86"/>
        <v>0.14838851505608808</v>
      </c>
      <c r="G1104">
        <f t="shared" si="87"/>
        <v>1.0281271369745727E-3</v>
      </c>
      <c r="H1104">
        <v>177.90128843338192</v>
      </c>
      <c r="I1104">
        <v>162.98770131771641</v>
      </c>
      <c r="J1104">
        <v>242.63557833089328</v>
      </c>
      <c r="K1104">
        <f t="shared" si="88"/>
        <v>5.3946738173733664</v>
      </c>
      <c r="L1104">
        <f t="shared" si="89"/>
        <v>5.5556287712239758</v>
      </c>
    </row>
    <row r="1105" spans="1:12" x14ac:dyDescent="0.3">
      <c r="A1105">
        <v>5.4</v>
      </c>
      <c r="B1105">
        <v>5.8</v>
      </c>
      <c r="C1105">
        <v>5.3147877013177176</v>
      </c>
      <c r="D1105">
        <v>5.4679355783308887</v>
      </c>
      <c r="E1105">
        <f t="shared" si="85"/>
        <v>2.8295972681027778E-2</v>
      </c>
      <c r="F1105">
        <f t="shared" si="86"/>
        <v>7.2611358467185661E-3</v>
      </c>
      <c r="G1105">
        <f t="shared" si="87"/>
        <v>0.11026678013844123</v>
      </c>
      <c r="H1105">
        <v>177.90128843338192</v>
      </c>
      <c r="I1105">
        <v>162.98770131771641</v>
      </c>
      <c r="J1105">
        <v>242.63557833089328</v>
      </c>
      <c r="K1105">
        <f t="shared" si="88"/>
        <v>5.5863586247325339</v>
      </c>
      <c r="L1105">
        <f t="shared" si="89"/>
        <v>5.7660464713124906</v>
      </c>
    </row>
    <row r="1106" spans="1:12" x14ac:dyDescent="0.3">
      <c r="A1106">
        <v>5.2</v>
      </c>
      <c r="B1106">
        <v>5.2</v>
      </c>
      <c r="C1106">
        <v>5.3147877013177176</v>
      </c>
      <c r="D1106">
        <v>5.4679355783308887</v>
      </c>
      <c r="E1106">
        <f t="shared" si="85"/>
        <v>3.0755709137835915E-2</v>
      </c>
      <c r="F1106">
        <f t="shared" si="86"/>
        <v>1.3176216373805507E-2</v>
      </c>
      <c r="G1106">
        <f t="shared" si="87"/>
        <v>7.1789474135507708E-2</v>
      </c>
      <c r="H1106">
        <v>177.90128843338192</v>
      </c>
      <c r="I1106">
        <v>162.98770131771641</v>
      </c>
      <c r="J1106">
        <v>242.63557833089328</v>
      </c>
      <c r="K1106">
        <f t="shared" si="88"/>
        <v>5.0891104801483067</v>
      </c>
      <c r="L1106">
        <f t="shared" si="89"/>
        <v>5.2202034679040601</v>
      </c>
    </row>
    <row r="1107" spans="1:12" x14ac:dyDescent="0.3">
      <c r="A1107">
        <v>5.2</v>
      </c>
      <c r="B1107">
        <v>5.5</v>
      </c>
      <c r="C1107">
        <v>5.3147877013177176</v>
      </c>
      <c r="D1107">
        <v>5.4679355783308887</v>
      </c>
      <c r="E1107">
        <f t="shared" si="85"/>
        <v>-3.6806012574792917E-3</v>
      </c>
      <c r="F1107">
        <f t="shared" si="86"/>
        <v>1.3176216373805507E-2</v>
      </c>
      <c r="G1107">
        <f t="shared" si="87"/>
        <v>1.0281271369745727E-3</v>
      </c>
      <c r="H1107">
        <v>177.90128843338192</v>
      </c>
      <c r="I1107">
        <v>162.98770131771641</v>
      </c>
      <c r="J1107">
        <v>242.63557833089328</v>
      </c>
      <c r="K1107">
        <f t="shared" si="88"/>
        <v>5.3234997362071841</v>
      </c>
      <c r="L1107">
        <f t="shared" si="89"/>
        <v>5.4774990192043509</v>
      </c>
    </row>
    <row r="1108" spans="1:12" x14ac:dyDescent="0.3">
      <c r="A1108">
        <v>5.2</v>
      </c>
      <c r="B1108">
        <v>5.0999999999999996</v>
      </c>
      <c r="C1108">
        <v>5.3147877013177176</v>
      </c>
      <c r="D1108">
        <v>5.4679355783308887</v>
      </c>
      <c r="E1108">
        <f t="shared" si="85"/>
        <v>4.2234479269607723E-2</v>
      </c>
      <c r="F1108">
        <f t="shared" si="86"/>
        <v>1.3176216373805507E-2</v>
      </c>
      <c r="G1108">
        <f t="shared" si="87"/>
        <v>0.13537658980168582</v>
      </c>
      <c r="H1108">
        <v>177.90128843338192</v>
      </c>
      <c r="I1108">
        <v>162.98770131771641</v>
      </c>
      <c r="J1108">
        <v>242.63557833089328</v>
      </c>
      <c r="K1108">
        <f t="shared" si="88"/>
        <v>5.0109807281286809</v>
      </c>
      <c r="L1108">
        <f t="shared" si="89"/>
        <v>5.1344382841372971</v>
      </c>
    </row>
    <row r="1109" spans="1:12" x14ac:dyDescent="0.3">
      <c r="A1109">
        <v>5.3</v>
      </c>
      <c r="B1109">
        <v>5.5</v>
      </c>
      <c r="C1109">
        <v>5.3147877013177176</v>
      </c>
      <c r="D1109">
        <v>5.4679355783308887</v>
      </c>
      <c r="E1109">
        <f t="shared" si="85"/>
        <v>-4.7415909056817545E-4</v>
      </c>
      <c r="F1109">
        <f t="shared" si="86"/>
        <v>2.1867611026203226E-4</v>
      </c>
      <c r="G1109">
        <f t="shared" si="87"/>
        <v>1.0281271369745727E-3</v>
      </c>
      <c r="H1109">
        <v>177.90128843338192</v>
      </c>
      <c r="I1109">
        <v>162.98770131771641</v>
      </c>
      <c r="J1109">
        <v>242.63557833089328</v>
      </c>
      <c r="K1109">
        <f t="shared" si="88"/>
        <v>5.3377345524404198</v>
      </c>
      <c r="L1109">
        <f t="shared" si="89"/>
        <v>5.4931249696082753</v>
      </c>
    </row>
    <row r="1110" spans="1:12" x14ac:dyDescent="0.3">
      <c r="A1110">
        <v>5.0999999999999996</v>
      </c>
      <c r="B1110">
        <v>5.3</v>
      </c>
      <c r="C1110">
        <v>5.3147877013177176</v>
      </c>
      <c r="D1110">
        <v>5.4679355783308887</v>
      </c>
      <c r="E1110">
        <f t="shared" si="85"/>
        <v>3.6070496839153192E-2</v>
      </c>
      <c r="F1110">
        <f t="shared" si="86"/>
        <v>4.613375663734922E-2</v>
      </c>
      <c r="G1110">
        <f t="shared" si="87"/>
        <v>2.8202358469330124E-2</v>
      </c>
      <c r="H1110">
        <v>177.90128843338192</v>
      </c>
      <c r="I1110">
        <v>162.98770131771641</v>
      </c>
      <c r="J1110">
        <v>242.63557833089328</v>
      </c>
      <c r="K1110">
        <f t="shared" si="88"/>
        <v>5.1530054159346959</v>
      </c>
      <c r="L1110">
        <f t="shared" si="89"/>
        <v>5.2903427012668987</v>
      </c>
    </row>
    <row r="1111" spans="1:12" x14ac:dyDescent="0.3">
      <c r="A1111">
        <v>5.3</v>
      </c>
      <c r="B1111">
        <v>5.3</v>
      </c>
      <c r="C1111">
        <v>5.3147877013177176</v>
      </c>
      <c r="D1111">
        <v>5.4679355783308887</v>
      </c>
      <c r="E1111">
        <f t="shared" si="85"/>
        <v>2.4833811729753838E-3</v>
      </c>
      <c r="F1111">
        <f t="shared" si="86"/>
        <v>2.1867611026203226E-4</v>
      </c>
      <c r="G1111">
        <f t="shared" si="87"/>
        <v>2.8202358469330124E-2</v>
      </c>
      <c r="H1111">
        <v>177.90128843338192</v>
      </c>
      <c r="I1111">
        <v>162.98770131771641</v>
      </c>
      <c r="J1111">
        <v>242.63557833089328</v>
      </c>
      <c r="K1111">
        <f t="shared" si="88"/>
        <v>5.1814750484011682</v>
      </c>
      <c r="L1111">
        <f t="shared" si="89"/>
        <v>5.3215946020747484</v>
      </c>
    </row>
    <row r="1112" spans="1:12" x14ac:dyDescent="0.3">
      <c r="A1112">
        <v>5.3</v>
      </c>
      <c r="B1112">
        <v>5.6</v>
      </c>
      <c r="C1112">
        <v>5.3147877013177176</v>
      </c>
      <c r="D1112">
        <v>5.4679355783308887</v>
      </c>
      <c r="E1112">
        <f t="shared" si="85"/>
        <v>-1.9529292223399485E-3</v>
      </c>
      <c r="F1112">
        <f t="shared" si="86"/>
        <v>2.1867611026203226E-4</v>
      </c>
      <c r="G1112">
        <f t="shared" si="87"/>
        <v>1.7441011470796734E-2</v>
      </c>
      <c r="H1112">
        <v>177.90128843338192</v>
      </c>
      <c r="I1112">
        <v>162.98770131771641</v>
      </c>
      <c r="J1112">
        <v>242.63557833089328</v>
      </c>
      <c r="K1112">
        <f t="shared" si="88"/>
        <v>5.4158643044600456</v>
      </c>
      <c r="L1112">
        <f t="shared" si="89"/>
        <v>5.5788901533750384</v>
      </c>
    </row>
    <row r="1113" spans="1:12" x14ac:dyDescent="0.3">
      <c r="A1113">
        <v>6.2</v>
      </c>
      <c r="B1113">
        <v>5.9</v>
      </c>
      <c r="C1113">
        <v>5.3147877013177176</v>
      </c>
      <c r="D1113">
        <v>5.4679355783308887</v>
      </c>
      <c r="E1113">
        <f t="shared" si="85"/>
        <v>0.38246873988454533</v>
      </c>
      <c r="F1113">
        <f t="shared" si="86"/>
        <v>0.78360081373837065</v>
      </c>
      <c r="G1113">
        <f t="shared" si="87"/>
        <v>0.18667966447226389</v>
      </c>
      <c r="H1113">
        <v>177.90128843338192</v>
      </c>
      <c r="I1113">
        <v>162.98770131771641</v>
      </c>
      <c r="J1113">
        <v>242.63557833089328</v>
      </c>
      <c r="K1113">
        <f t="shared" si="88"/>
        <v>5.7783669066180527</v>
      </c>
      <c r="L1113">
        <f t="shared" si="89"/>
        <v>5.9768192583106554</v>
      </c>
    </row>
    <row r="1114" spans="1:12" x14ac:dyDescent="0.3">
      <c r="A1114">
        <v>5.4</v>
      </c>
      <c r="B1114">
        <v>5.2</v>
      </c>
      <c r="C1114">
        <v>5.3147877013177176</v>
      </c>
      <c r="D1114">
        <v>5.4679355783308887</v>
      </c>
      <c r="E1114">
        <f t="shared" si="85"/>
        <v>-2.2831406528341841E-2</v>
      </c>
      <c r="F1114">
        <f t="shared" si="86"/>
        <v>7.2611358467185661E-3</v>
      </c>
      <c r="G1114">
        <f t="shared" si="87"/>
        <v>7.1789474135507708E-2</v>
      </c>
      <c r="H1114">
        <v>177.90128843338192</v>
      </c>
      <c r="I1114">
        <v>162.98770131771641</v>
      </c>
      <c r="J1114">
        <v>242.63557833089328</v>
      </c>
      <c r="K1114">
        <f t="shared" si="88"/>
        <v>5.11758011261478</v>
      </c>
      <c r="L1114">
        <f t="shared" si="89"/>
        <v>5.2514553687119108</v>
      </c>
    </row>
    <row r="1115" spans="1:12" x14ac:dyDescent="0.3">
      <c r="A1115">
        <v>5.6</v>
      </c>
      <c r="B1115">
        <v>5.0999999999999996</v>
      </c>
      <c r="C1115">
        <v>5.3147877013177176</v>
      </c>
      <c r="D1115">
        <v>5.4679355783308887</v>
      </c>
      <c r="E1115">
        <f t="shared" si="85"/>
        <v>-0.10493975206274772</v>
      </c>
      <c r="F1115">
        <f t="shared" si="86"/>
        <v>8.1346055319631266E-2</v>
      </c>
      <c r="G1115">
        <f t="shared" si="87"/>
        <v>0.13537658980168582</v>
      </c>
      <c r="H1115">
        <v>177.90128843338192</v>
      </c>
      <c r="I1115">
        <v>162.98770131771641</v>
      </c>
      <c r="J1115">
        <v>242.63557833089328</v>
      </c>
      <c r="K1115">
        <f t="shared" si="88"/>
        <v>5.0679199930616265</v>
      </c>
      <c r="L1115">
        <f t="shared" si="89"/>
        <v>5.1969420857529967</v>
      </c>
    </row>
    <row r="1116" spans="1:12" x14ac:dyDescent="0.3">
      <c r="A1116">
        <v>5.7</v>
      </c>
      <c r="B1116">
        <v>5.6</v>
      </c>
      <c r="C1116">
        <v>5.3147877013177176</v>
      </c>
      <c r="D1116">
        <v>5.4679355783308887</v>
      </c>
      <c r="E1116">
        <f t="shared" si="85"/>
        <v>5.087283944530447E-2</v>
      </c>
      <c r="F1116">
        <f t="shared" si="86"/>
        <v>0.14838851505608808</v>
      </c>
      <c r="G1116">
        <f t="shared" si="87"/>
        <v>1.7441011470796734E-2</v>
      </c>
      <c r="H1116">
        <v>177.90128843338192</v>
      </c>
      <c r="I1116">
        <v>162.98770131771641</v>
      </c>
      <c r="J1116">
        <v>242.63557833089328</v>
      </c>
      <c r="K1116">
        <f t="shared" si="88"/>
        <v>5.4728035693929922</v>
      </c>
      <c r="L1116">
        <f t="shared" si="89"/>
        <v>5.6413939549907397</v>
      </c>
    </row>
    <row r="1117" spans="1:12" x14ac:dyDescent="0.3">
      <c r="A1117">
        <v>5.4</v>
      </c>
      <c r="B1117">
        <v>5.3</v>
      </c>
      <c r="C1117">
        <v>5.3147877013177176</v>
      </c>
      <c r="D1117">
        <v>5.4679355783308887</v>
      </c>
      <c r="E1117">
        <f t="shared" si="85"/>
        <v>-1.4310176660113597E-2</v>
      </c>
      <c r="F1117">
        <f t="shared" si="86"/>
        <v>7.2611358467185661E-3</v>
      </c>
      <c r="G1117">
        <f t="shared" si="87"/>
        <v>2.8202358469330124E-2</v>
      </c>
      <c r="H1117">
        <v>177.90128843338192</v>
      </c>
      <c r="I1117">
        <v>162.98770131771641</v>
      </c>
      <c r="J1117">
        <v>242.63557833089328</v>
      </c>
      <c r="K1117">
        <f t="shared" si="88"/>
        <v>5.1957098646344058</v>
      </c>
      <c r="L1117">
        <f t="shared" si="89"/>
        <v>5.3372205524786747</v>
      </c>
    </row>
    <row r="1118" spans="1:12" x14ac:dyDescent="0.3">
      <c r="A1118">
        <v>5.8</v>
      </c>
      <c r="B1118">
        <v>7</v>
      </c>
      <c r="C1118">
        <v>5.3147877013177176</v>
      </c>
      <c r="D1118">
        <v>5.4679355783308887</v>
      </c>
      <c r="E1118">
        <f t="shared" si="85"/>
        <v>0.74337649976741083</v>
      </c>
      <c r="F1118">
        <f t="shared" si="86"/>
        <v>0.23543097479254424</v>
      </c>
      <c r="G1118">
        <f t="shared" si="87"/>
        <v>2.3472213921443084</v>
      </c>
      <c r="H1118">
        <v>177.90128843338192</v>
      </c>
      <c r="I1118">
        <v>162.98770131771641</v>
      </c>
      <c r="J1118">
        <v>242.63557833089328</v>
      </c>
      <c r="K1118">
        <f t="shared" si="88"/>
        <v>6.58085491390099</v>
      </c>
      <c r="L1118">
        <f t="shared" si="89"/>
        <v>6.8577324781293525</v>
      </c>
    </row>
    <row r="1119" spans="1:12" x14ac:dyDescent="0.3">
      <c r="A1119">
        <v>5.7</v>
      </c>
      <c r="B1119">
        <v>6.3</v>
      </c>
      <c r="C1119">
        <v>5.3147877013177176</v>
      </c>
      <c r="D1119">
        <v>5.4679355783308887</v>
      </c>
      <c r="E1119">
        <f t="shared" si="85"/>
        <v>0.32052144852290232</v>
      </c>
      <c r="F1119">
        <f t="shared" si="86"/>
        <v>0.14838851505608808</v>
      </c>
      <c r="G1119">
        <f t="shared" si="87"/>
        <v>0.69233120180755237</v>
      </c>
      <c r="H1119">
        <v>177.90128843338192</v>
      </c>
      <c r="I1119">
        <v>162.98770131771641</v>
      </c>
      <c r="J1119">
        <v>242.63557833089328</v>
      </c>
      <c r="K1119">
        <f t="shared" si="88"/>
        <v>6.0197118335303728</v>
      </c>
      <c r="L1119">
        <f t="shared" si="89"/>
        <v>6.2417502413580834</v>
      </c>
    </row>
    <row r="1120" spans="1:12" x14ac:dyDescent="0.3">
      <c r="A1120">
        <v>5</v>
      </c>
      <c r="B1120">
        <v>5</v>
      </c>
      <c r="C1120">
        <v>5.3147877013177176</v>
      </c>
      <c r="D1120">
        <v>5.4679355783308887</v>
      </c>
      <c r="E1120">
        <f t="shared" si="85"/>
        <v>0.14730036506755725</v>
      </c>
      <c r="F1120">
        <f t="shared" si="86"/>
        <v>9.9091296900892592E-2</v>
      </c>
      <c r="G1120">
        <f t="shared" si="87"/>
        <v>0.21896370546786328</v>
      </c>
      <c r="H1120">
        <v>177.90128843338192</v>
      </c>
      <c r="I1120">
        <v>162.98770131771641</v>
      </c>
      <c r="J1120">
        <v>242.63557833089328</v>
      </c>
      <c r="K1120">
        <f t="shared" si="88"/>
        <v>4.9043813436425818</v>
      </c>
      <c r="L1120">
        <f t="shared" si="89"/>
        <v>5.0174211995626834</v>
      </c>
    </row>
    <row r="1121" spans="1:12" x14ac:dyDescent="0.3">
      <c r="A1121">
        <v>5.5</v>
      </c>
      <c r="B1121">
        <v>6.2</v>
      </c>
      <c r="C1121">
        <v>5.3147877013177176</v>
      </c>
      <c r="D1121">
        <v>5.4679355783308887</v>
      </c>
      <c r="E1121">
        <f t="shared" si="85"/>
        <v>0.13558733432085179</v>
      </c>
      <c r="F1121">
        <f t="shared" si="86"/>
        <v>3.4303595583174987E-2</v>
      </c>
      <c r="G1121">
        <f t="shared" si="87"/>
        <v>0.53591831747373064</v>
      </c>
      <c r="H1121">
        <v>177.90128843338192</v>
      </c>
      <c r="I1121">
        <v>162.98770131771641</v>
      </c>
      <c r="J1121">
        <v>242.63557833089328</v>
      </c>
      <c r="K1121">
        <f t="shared" si="88"/>
        <v>5.9131124490442746</v>
      </c>
      <c r="L1121">
        <f t="shared" si="89"/>
        <v>6.1247331567834706</v>
      </c>
    </row>
    <row r="1122" spans="1:12" x14ac:dyDescent="0.3">
      <c r="A1122">
        <v>4.8</v>
      </c>
      <c r="B1122">
        <v>5.0999999999999996</v>
      </c>
      <c r="C1122">
        <v>5.3147877013177176</v>
      </c>
      <c r="D1122">
        <v>5.4679355783308887</v>
      </c>
      <c r="E1122">
        <f t="shared" si="85"/>
        <v>0.18940871060196349</v>
      </c>
      <c r="F1122">
        <f t="shared" si="86"/>
        <v>0.26500637742797983</v>
      </c>
      <c r="G1122">
        <f t="shared" si="87"/>
        <v>0.13537658980168582</v>
      </c>
      <c r="H1122">
        <v>177.90128843338192</v>
      </c>
      <c r="I1122">
        <v>162.98770131771641</v>
      </c>
      <c r="J1122">
        <v>242.63557833089328</v>
      </c>
      <c r="K1122">
        <f t="shared" si="88"/>
        <v>4.9540414631957344</v>
      </c>
      <c r="L1122">
        <f t="shared" si="89"/>
        <v>5.0719344825215966</v>
      </c>
    </row>
    <row r="1123" spans="1:12" x14ac:dyDescent="0.3">
      <c r="A1123">
        <v>5.4</v>
      </c>
      <c r="B1123">
        <v>5.3</v>
      </c>
      <c r="C1123">
        <v>5.3147877013177176</v>
      </c>
      <c r="D1123">
        <v>5.4679355783308887</v>
      </c>
      <c r="E1123">
        <f t="shared" si="85"/>
        <v>-1.4310176660113597E-2</v>
      </c>
      <c r="F1123">
        <f t="shared" si="86"/>
        <v>7.2611358467185661E-3</v>
      </c>
      <c r="G1123">
        <f t="shared" si="87"/>
        <v>2.8202358469330124E-2</v>
      </c>
      <c r="H1123">
        <v>177.90128843338192</v>
      </c>
      <c r="I1123">
        <v>162.98770131771641</v>
      </c>
      <c r="J1123">
        <v>242.63557833089328</v>
      </c>
      <c r="K1123">
        <f t="shared" si="88"/>
        <v>5.1957098646344058</v>
      </c>
      <c r="L1123">
        <f t="shared" si="89"/>
        <v>5.3372205524786747</v>
      </c>
    </row>
    <row r="1124" spans="1:12" x14ac:dyDescent="0.3">
      <c r="A1124">
        <v>5.5</v>
      </c>
      <c r="B1124">
        <v>5.4</v>
      </c>
      <c r="C1124">
        <v>5.3147877013177176</v>
      </c>
      <c r="D1124">
        <v>5.4679355783308887</v>
      </c>
      <c r="E1124">
        <f t="shared" si="85"/>
        <v>-1.2582504624974088E-2</v>
      </c>
      <c r="F1124">
        <f t="shared" si="86"/>
        <v>3.4303595583174987E-2</v>
      </c>
      <c r="G1124">
        <f t="shared" si="87"/>
        <v>4.615242803152269E-3</v>
      </c>
      <c r="H1124">
        <v>177.90128843338192</v>
      </c>
      <c r="I1124">
        <v>162.98770131771641</v>
      </c>
      <c r="J1124">
        <v>242.63557833089328</v>
      </c>
      <c r="K1124">
        <f t="shared" si="88"/>
        <v>5.2880744328872682</v>
      </c>
      <c r="L1124">
        <f t="shared" si="89"/>
        <v>5.438611686649363</v>
      </c>
    </row>
    <row r="1125" spans="1:12" x14ac:dyDescent="0.3">
      <c r="A1125">
        <v>5.3</v>
      </c>
      <c r="B1125">
        <v>5.0999999999999996</v>
      </c>
      <c r="C1125">
        <v>5.3147877013177176</v>
      </c>
      <c r="D1125">
        <v>5.4679355783308887</v>
      </c>
      <c r="E1125">
        <f t="shared" si="85"/>
        <v>5.440921436518943E-3</v>
      </c>
      <c r="F1125">
        <f t="shared" si="86"/>
        <v>2.1867611026203226E-4</v>
      </c>
      <c r="G1125">
        <f t="shared" si="87"/>
        <v>0.13537658980168582</v>
      </c>
      <c r="H1125">
        <v>177.90128843338192</v>
      </c>
      <c r="I1125">
        <v>162.98770131771641</v>
      </c>
      <c r="J1125">
        <v>242.63557833089328</v>
      </c>
      <c r="K1125">
        <f t="shared" si="88"/>
        <v>5.0252155443619166</v>
      </c>
      <c r="L1125">
        <f t="shared" si="89"/>
        <v>5.1500642345412215</v>
      </c>
    </row>
    <row r="1126" spans="1:12" x14ac:dyDescent="0.3">
      <c r="A1126">
        <v>4.8</v>
      </c>
      <c r="B1126">
        <v>4.9000000000000004</v>
      </c>
      <c r="C1126">
        <v>5.3147877013177176</v>
      </c>
      <c r="D1126">
        <v>5.4679355783308887</v>
      </c>
      <c r="E1126">
        <f t="shared" si="85"/>
        <v>0.29236625086550666</v>
      </c>
      <c r="F1126">
        <f t="shared" si="86"/>
        <v>0.26500637742797983</v>
      </c>
      <c r="G1126">
        <f t="shared" si="87"/>
        <v>0.32255082113404066</v>
      </c>
      <c r="H1126">
        <v>177.90128843338192</v>
      </c>
      <c r="I1126">
        <v>162.98770131771641</v>
      </c>
      <c r="J1126">
        <v>242.63557833089328</v>
      </c>
      <c r="K1126">
        <f t="shared" si="88"/>
        <v>4.7977819591564828</v>
      </c>
      <c r="L1126">
        <f t="shared" si="89"/>
        <v>4.9004041149880697</v>
      </c>
    </row>
    <row r="1127" spans="1:12" x14ac:dyDescent="0.3">
      <c r="A1127">
        <v>5.2</v>
      </c>
      <c r="B1127">
        <v>5.4</v>
      </c>
      <c r="C1127">
        <v>5.3147877013177176</v>
      </c>
      <c r="D1127">
        <v>5.4679355783308887</v>
      </c>
      <c r="E1127">
        <f t="shared" si="85"/>
        <v>7.7981688742924105E-3</v>
      </c>
      <c r="F1127">
        <f t="shared" si="86"/>
        <v>1.3176216373805507E-2</v>
      </c>
      <c r="G1127">
        <f t="shared" si="87"/>
        <v>4.615242803152269E-3</v>
      </c>
      <c r="H1127">
        <v>177.90128843338192</v>
      </c>
      <c r="I1127">
        <v>162.98770131771641</v>
      </c>
      <c r="J1127">
        <v>242.63557833089328</v>
      </c>
      <c r="K1127">
        <f t="shared" si="88"/>
        <v>5.2453699841875583</v>
      </c>
      <c r="L1127">
        <f t="shared" si="89"/>
        <v>5.391733835437587</v>
      </c>
    </row>
    <row r="1128" spans="1:12" x14ac:dyDescent="0.3">
      <c r="A1128">
        <v>5.9</v>
      </c>
      <c r="B1128">
        <v>6.1</v>
      </c>
      <c r="C1128">
        <v>5.3147877013177176</v>
      </c>
      <c r="D1128">
        <v>5.4679355783308887</v>
      </c>
      <c r="E1128">
        <f t="shared" si="85"/>
        <v>0.36989187312026806</v>
      </c>
      <c r="F1128">
        <f t="shared" si="86"/>
        <v>0.34247343452900131</v>
      </c>
      <c r="G1128">
        <f t="shared" si="87"/>
        <v>0.39950543313990766</v>
      </c>
      <c r="H1128">
        <v>177.90128843338192</v>
      </c>
      <c r="I1128">
        <v>162.98770131771641</v>
      </c>
      <c r="J1128">
        <v>242.63557833089328</v>
      </c>
      <c r="K1128">
        <f t="shared" si="88"/>
        <v>5.8919219619575944</v>
      </c>
      <c r="L1128">
        <f t="shared" si="89"/>
        <v>6.1014717746324072</v>
      </c>
    </row>
    <row r="1129" spans="1:12" x14ac:dyDescent="0.3">
      <c r="A1129">
        <v>5.3</v>
      </c>
      <c r="B1129">
        <v>5.9</v>
      </c>
      <c r="C1129">
        <v>5.3147877013177176</v>
      </c>
      <c r="D1129">
        <v>5.4679355783308887</v>
      </c>
      <c r="E1129">
        <f t="shared" si="85"/>
        <v>-6.3892396176552938E-3</v>
      </c>
      <c r="F1129">
        <f t="shared" si="86"/>
        <v>2.1867611026203226E-4</v>
      </c>
      <c r="G1129">
        <f t="shared" si="87"/>
        <v>0.18667966447226389</v>
      </c>
      <c r="H1129">
        <v>177.90128843338192</v>
      </c>
      <c r="I1129">
        <v>162.98770131771641</v>
      </c>
      <c r="J1129">
        <v>242.63557833089328</v>
      </c>
      <c r="K1129">
        <f t="shared" si="88"/>
        <v>5.650253560518923</v>
      </c>
      <c r="L1129">
        <f t="shared" si="89"/>
        <v>5.8361857046753292</v>
      </c>
    </row>
    <row r="1130" spans="1:12" x14ac:dyDescent="0.3">
      <c r="A1130">
        <v>5.6</v>
      </c>
      <c r="B1130">
        <v>5.5</v>
      </c>
      <c r="C1130">
        <v>5.3147877013177176</v>
      </c>
      <c r="D1130">
        <v>5.4679355783308887</v>
      </c>
      <c r="E1130">
        <f t="shared" si="85"/>
        <v>9.1451674101652013E-3</v>
      </c>
      <c r="F1130">
        <f t="shared" si="86"/>
        <v>8.1346055319631266E-2</v>
      </c>
      <c r="G1130">
        <f t="shared" si="87"/>
        <v>1.0281271369745727E-3</v>
      </c>
      <c r="H1130">
        <v>177.90128843338192</v>
      </c>
      <c r="I1130">
        <v>162.98770131771641</v>
      </c>
      <c r="J1130">
        <v>242.63557833089328</v>
      </c>
      <c r="K1130">
        <f t="shared" si="88"/>
        <v>5.3804390011401306</v>
      </c>
      <c r="L1130">
        <f t="shared" si="89"/>
        <v>5.5400028208200514</v>
      </c>
    </row>
    <row r="1131" spans="1:12" x14ac:dyDescent="0.3">
      <c r="A1131">
        <v>5.2</v>
      </c>
      <c r="B1131">
        <v>5.5</v>
      </c>
      <c r="C1131">
        <v>5.3147877013177176</v>
      </c>
      <c r="D1131">
        <v>5.4679355783308887</v>
      </c>
      <c r="E1131">
        <f t="shared" si="85"/>
        <v>-3.6806012574792917E-3</v>
      </c>
      <c r="F1131">
        <f t="shared" si="86"/>
        <v>1.3176216373805507E-2</v>
      </c>
      <c r="G1131">
        <f t="shared" si="87"/>
        <v>1.0281271369745727E-3</v>
      </c>
      <c r="H1131">
        <v>177.90128843338192</v>
      </c>
      <c r="I1131">
        <v>162.98770131771641</v>
      </c>
      <c r="J1131">
        <v>242.63557833089328</v>
      </c>
      <c r="K1131">
        <f t="shared" si="88"/>
        <v>5.3234997362071841</v>
      </c>
      <c r="L1131">
        <f t="shared" si="89"/>
        <v>5.4774990192043509</v>
      </c>
    </row>
    <row r="1132" spans="1:12" x14ac:dyDescent="0.3">
      <c r="A1132">
        <v>5</v>
      </c>
      <c r="B1132">
        <v>5</v>
      </c>
      <c r="C1132">
        <v>5.3147877013177176</v>
      </c>
      <c r="D1132">
        <v>5.4679355783308887</v>
      </c>
      <c r="E1132">
        <f t="shared" si="85"/>
        <v>0.14730036506755725</v>
      </c>
      <c r="F1132">
        <f t="shared" si="86"/>
        <v>9.9091296900892592E-2</v>
      </c>
      <c r="G1132">
        <f t="shared" si="87"/>
        <v>0.21896370546786328</v>
      </c>
      <c r="H1132">
        <v>177.90128843338192</v>
      </c>
      <c r="I1132">
        <v>162.98770131771641</v>
      </c>
      <c r="J1132">
        <v>242.63557833089328</v>
      </c>
      <c r="K1132">
        <f t="shared" si="88"/>
        <v>4.9043813436425818</v>
      </c>
      <c r="L1132">
        <f t="shared" si="89"/>
        <v>5.0174211995626834</v>
      </c>
    </row>
    <row r="1133" spans="1:12" x14ac:dyDescent="0.3">
      <c r="A1133">
        <v>5.8</v>
      </c>
      <c r="B1133">
        <v>6.3</v>
      </c>
      <c r="C1133">
        <v>5.3147877013177176</v>
      </c>
      <c r="D1133">
        <v>5.4679355783308887</v>
      </c>
      <c r="E1133">
        <f t="shared" si="85"/>
        <v>0.40372789068981313</v>
      </c>
      <c r="F1133">
        <f t="shared" si="86"/>
        <v>0.23543097479254424</v>
      </c>
      <c r="G1133">
        <f t="shared" si="87"/>
        <v>0.69233120180755237</v>
      </c>
      <c r="H1133">
        <v>177.90128843338192</v>
      </c>
      <c r="I1133">
        <v>162.98770131771641</v>
      </c>
      <c r="J1133">
        <v>242.63557833089328</v>
      </c>
      <c r="K1133">
        <f t="shared" si="88"/>
        <v>6.0339466497636094</v>
      </c>
      <c r="L1133">
        <f t="shared" si="89"/>
        <v>6.2573761917620088</v>
      </c>
    </row>
    <row r="1134" spans="1:12" x14ac:dyDescent="0.3">
      <c r="A1134">
        <v>5.6</v>
      </c>
      <c r="B1134">
        <v>5.6</v>
      </c>
      <c r="C1134">
        <v>5.3147877013177176</v>
      </c>
      <c r="D1134">
        <v>5.4679355783308887</v>
      </c>
      <c r="E1134">
        <f t="shared" si="85"/>
        <v>3.7666397278393306E-2</v>
      </c>
      <c r="F1134">
        <f t="shared" si="86"/>
        <v>8.1346055319631266E-2</v>
      </c>
      <c r="G1134">
        <f t="shared" si="87"/>
        <v>1.7441011470796734E-2</v>
      </c>
      <c r="H1134">
        <v>177.90128843338192</v>
      </c>
      <c r="I1134">
        <v>162.98770131771641</v>
      </c>
      <c r="J1134">
        <v>242.63557833089328</v>
      </c>
      <c r="K1134">
        <f t="shared" si="88"/>
        <v>5.4585687531597555</v>
      </c>
      <c r="L1134">
        <f t="shared" si="89"/>
        <v>5.6257680045868144</v>
      </c>
    </row>
    <row r="1135" spans="1:12" x14ac:dyDescent="0.3">
      <c r="A1135">
        <v>5.7</v>
      </c>
      <c r="B1135">
        <v>5.5</v>
      </c>
      <c r="C1135">
        <v>5.3147877013177176</v>
      </c>
      <c r="D1135">
        <v>5.4679355783308887</v>
      </c>
      <c r="E1135">
        <f t="shared" si="85"/>
        <v>1.2351609577076346E-2</v>
      </c>
      <c r="F1135">
        <f t="shared" si="86"/>
        <v>0.14838851505608808</v>
      </c>
      <c r="G1135">
        <f t="shared" si="87"/>
        <v>1.0281271369745727E-3</v>
      </c>
      <c r="H1135">
        <v>177.90128843338192</v>
      </c>
      <c r="I1135">
        <v>162.98770131771641</v>
      </c>
      <c r="J1135">
        <v>242.63557833089328</v>
      </c>
      <c r="K1135">
        <f t="shared" si="88"/>
        <v>5.3946738173733664</v>
      </c>
      <c r="L1135">
        <f t="shared" si="89"/>
        <v>5.5556287712239758</v>
      </c>
    </row>
    <row r="1136" spans="1:12" x14ac:dyDescent="0.3">
      <c r="A1136">
        <v>5.3</v>
      </c>
      <c r="B1136">
        <v>5</v>
      </c>
      <c r="C1136">
        <v>5.3147877013177176</v>
      </c>
      <c r="D1136">
        <v>5.4679355783308887</v>
      </c>
      <c r="E1136">
        <f t="shared" si="85"/>
        <v>6.9196915682907161E-3</v>
      </c>
      <c r="F1136">
        <f t="shared" si="86"/>
        <v>2.1867611026203226E-4</v>
      </c>
      <c r="G1136">
        <f t="shared" si="87"/>
        <v>0.21896370546786328</v>
      </c>
      <c r="H1136">
        <v>177.90128843338192</v>
      </c>
      <c r="I1136">
        <v>162.98770131771641</v>
      </c>
      <c r="J1136">
        <v>242.63557833089328</v>
      </c>
      <c r="K1136">
        <f t="shared" si="88"/>
        <v>4.9470857923422926</v>
      </c>
      <c r="L1136">
        <f t="shared" si="89"/>
        <v>5.0642990507744594</v>
      </c>
    </row>
    <row r="1137" spans="1:12" x14ac:dyDescent="0.3">
      <c r="A1137">
        <v>5.0999999999999996</v>
      </c>
      <c r="B1137">
        <v>5.6</v>
      </c>
      <c r="C1137">
        <v>5.3147877013177176</v>
      </c>
      <c r="D1137">
        <v>5.4679355783308887</v>
      </c>
      <c r="E1137">
        <f t="shared" si="85"/>
        <v>-2.8365813556162155E-2</v>
      </c>
      <c r="F1137">
        <f t="shared" si="86"/>
        <v>4.613375663734922E-2</v>
      </c>
      <c r="G1137">
        <f t="shared" si="87"/>
        <v>1.7441011470796734E-2</v>
      </c>
      <c r="H1137">
        <v>177.90128843338192</v>
      </c>
      <c r="I1137">
        <v>162.98770131771641</v>
      </c>
      <c r="J1137">
        <v>242.63557833089328</v>
      </c>
      <c r="K1137">
        <f t="shared" si="88"/>
        <v>5.3873946719935724</v>
      </c>
      <c r="L1137">
        <f t="shared" si="89"/>
        <v>5.5476382525671886</v>
      </c>
    </row>
    <row r="1138" spans="1:12" x14ac:dyDescent="0.3">
      <c r="A1138">
        <v>5.3</v>
      </c>
      <c r="B1138">
        <v>5.5</v>
      </c>
      <c r="C1138">
        <v>5.3147877013177176</v>
      </c>
      <c r="D1138">
        <v>5.4679355783308887</v>
      </c>
      <c r="E1138">
        <f t="shared" si="85"/>
        <v>-4.7415909056817545E-4</v>
      </c>
      <c r="F1138">
        <f t="shared" si="86"/>
        <v>2.1867611026203226E-4</v>
      </c>
      <c r="G1138">
        <f t="shared" si="87"/>
        <v>1.0281271369745727E-3</v>
      </c>
      <c r="H1138">
        <v>177.90128843338192</v>
      </c>
      <c r="I1138">
        <v>162.98770131771641</v>
      </c>
      <c r="J1138">
        <v>242.63557833089328</v>
      </c>
      <c r="K1138">
        <f t="shared" si="88"/>
        <v>5.3377345524404198</v>
      </c>
      <c r="L1138">
        <f t="shared" si="89"/>
        <v>5.4931249696082753</v>
      </c>
    </row>
    <row r="1139" spans="1:12" x14ac:dyDescent="0.3">
      <c r="A1139">
        <v>5.4</v>
      </c>
      <c r="B1139">
        <v>5.4</v>
      </c>
      <c r="C1139">
        <v>5.3147877013177176</v>
      </c>
      <c r="D1139">
        <v>5.4679355783308887</v>
      </c>
      <c r="E1139">
        <f t="shared" si="85"/>
        <v>-5.7889467918852758E-3</v>
      </c>
      <c r="F1139">
        <f t="shared" si="86"/>
        <v>7.2611358467185661E-3</v>
      </c>
      <c r="G1139">
        <f t="shared" si="87"/>
        <v>4.615242803152269E-3</v>
      </c>
      <c r="H1139">
        <v>177.90128843338192</v>
      </c>
      <c r="I1139">
        <v>162.98770131771641</v>
      </c>
      <c r="J1139">
        <v>242.63557833089328</v>
      </c>
      <c r="K1139">
        <f t="shared" si="88"/>
        <v>5.2738396166540316</v>
      </c>
      <c r="L1139">
        <f t="shared" si="89"/>
        <v>5.4229857362454377</v>
      </c>
    </row>
    <row r="1140" spans="1:12" x14ac:dyDescent="0.3">
      <c r="A1140">
        <v>5.2</v>
      </c>
      <c r="B1140">
        <v>5.4</v>
      </c>
      <c r="C1140">
        <v>5.3147877013177176</v>
      </c>
      <c r="D1140">
        <v>5.4679355783308887</v>
      </c>
      <c r="E1140">
        <f t="shared" si="85"/>
        <v>7.7981688742924105E-3</v>
      </c>
      <c r="F1140">
        <f t="shared" si="86"/>
        <v>1.3176216373805507E-2</v>
      </c>
      <c r="G1140">
        <f t="shared" si="87"/>
        <v>4.615242803152269E-3</v>
      </c>
      <c r="H1140">
        <v>177.90128843338192</v>
      </c>
      <c r="I1140">
        <v>162.98770131771641</v>
      </c>
      <c r="J1140">
        <v>242.63557833089328</v>
      </c>
      <c r="K1140">
        <f t="shared" si="88"/>
        <v>5.2453699841875583</v>
      </c>
      <c r="L1140">
        <f t="shared" si="89"/>
        <v>5.391733835437587</v>
      </c>
    </row>
    <row r="1141" spans="1:12" x14ac:dyDescent="0.3">
      <c r="A1141">
        <v>5.2</v>
      </c>
      <c r="B1141">
        <v>5.0999999999999996</v>
      </c>
      <c r="C1141">
        <v>5.3147877013177176</v>
      </c>
      <c r="D1141">
        <v>5.4679355783308887</v>
      </c>
      <c r="E1141">
        <f t="shared" si="85"/>
        <v>4.2234479269607723E-2</v>
      </c>
      <c r="F1141">
        <f t="shared" si="86"/>
        <v>1.3176216373805507E-2</v>
      </c>
      <c r="G1141">
        <f t="shared" si="87"/>
        <v>0.13537658980168582</v>
      </c>
      <c r="H1141">
        <v>177.90128843338192</v>
      </c>
      <c r="I1141">
        <v>162.98770131771641</v>
      </c>
      <c r="J1141">
        <v>242.63557833089328</v>
      </c>
      <c r="K1141">
        <f t="shared" si="88"/>
        <v>5.0109807281286809</v>
      </c>
      <c r="L1141">
        <f t="shared" si="89"/>
        <v>5.1344382841372971</v>
      </c>
    </row>
    <row r="1142" spans="1:12" x14ac:dyDescent="0.3">
      <c r="A1142">
        <v>4.8</v>
      </c>
      <c r="B1142">
        <v>5.0999999999999996</v>
      </c>
      <c r="C1142">
        <v>5.3147877013177176</v>
      </c>
      <c r="D1142">
        <v>5.4679355783308887</v>
      </c>
      <c r="E1142">
        <f t="shared" si="85"/>
        <v>0.18940871060196349</v>
      </c>
      <c r="F1142">
        <f t="shared" si="86"/>
        <v>0.26500637742797983</v>
      </c>
      <c r="G1142">
        <f t="shared" si="87"/>
        <v>0.13537658980168582</v>
      </c>
      <c r="H1142">
        <v>177.90128843338192</v>
      </c>
      <c r="I1142">
        <v>162.98770131771641</v>
      </c>
      <c r="J1142">
        <v>242.63557833089328</v>
      </c>
      <c r="K1142">
        <f t="shared" si="88"/>
        <v>4.9540414631957344</v>
      </c>
      <c r="L1142">
        <f t="shared" si="89"/>
        <v>5.0719344825215966</v>
      </c>
    </row>
    <row r="1143" spans="1:12" x14ac:dyDescent="0.3">
      <c r="A1143">
        <v>6</v>
      </c>
      <c r="B1143">
        <v>5.8</v>
      </c>
      <c r="C1143">
        <v>5.3147877013177176</v>
      </c>
      <c r="D1143">
        <v>5.4679355783308887</v>
      </c>
      <c r="E1143">
        <f t="shared" si="85"/>
        <v>0.22753462568249433</v>
      </c>
      <c r="F1143">
        <f t="shared" si="86"/>
        <v>0.46951589426545737</v>
      </c>
      <c r="G1143">
        <f t="shared" si="87"/>
        <v>0.11026678013844123</v>
      </c>
      <c r="H1143">
        <v>177.90128843338192</v>
      </c>
      <c r="I1143">
        <v>162.98770131771641</v>
      </c>
      <c r="J1143">
        <v>242.63557833089328</v>
      </c>
      <c r="K1143">
        <f t="shared" si="88"/>
        <v>5.6717675221319537</v>
      </c>
      <c r="L1143">
        <f t="shared" si="89"/>
        <v>5.8598021737360417</v>
      </c>
    </row>
    <row r="1144" spans="1:12" x14ac:dyDescent="0.3">
      <c r="A1144">
        <v>5.3</v>
      </c>
      <c r="B1144">
        <v>5.3</v>
      </c>
      <c r="C1144">
        <v>5.3147877013177176</v>
      </c>
      <c r="D1144">
        <v>5.4679355783308887</v>
      </c>
      <c r="E1144">
        <f t="shared" si="85"/>
        <v>2.4833811729753838E-3</v>
      </c>
      <c r="F1144">
        <f t="shared" si="86"/>
        <v>2.1867611026203226E-4</v>
      </c>
      <c r="G1144">
        <f t="shared" si="87"/>
        <v>2.8202358469330124E-2</v>
      </c>
      <c r="H1144">
        <v>177.90128843338192</v>
      </c>
      <c r="I1144">
        <v>162.98770131771641</v>
      </c>
      <c r="J1144">
        <v>242.63557833089328</v>
      </c>
      <c r="K1144">
        <f t="shared" si="88"/>
        <v>5.1814750484011682</v>
      </c>
      <c r="L1144">
        <f t="shared" si="89"/>
        <v>5.3215946020747484</v>
      </c>
    </row>
    <row r="1145" spans="1:12" x14ac:dyDescent="0.3">
      <c r="A1145">
        <v>5.3</v>
      </c>
      <c r="B1145">
        <v>5.0999999999999996</v>
      </c>
      <c r="C1145">
        <v>5.3147877013177176</v>
      </c>
      <c r="D1145">
        <v>5.4679355783308887</v>
      </c>
      <c r="E1145">
        <f t="shared" si="85"/>
        <v>5.440921436518943E-3</v>
      </c>
      <c r="F1145">
        <f t="shared" si="86"/>
        <v>2.1867611026203226E-4</v>
      </c>
      <c r="G1145">
        <f t="shared" si="87"/>
        <v>0.13537658980168582</v>
      </c>
      <c r="H1145">
        <v>177.90128843338192</v>
      </c>
      <c r="I1145">
        <v>162.98770131771641</v>
      </c>
      <c r="J1145">
        <v>242.63557833089328</v>
      </c>
      <c r="K1145">
        <f t="shared" si="88"/>
        <v>5.0252155443619166</v>
      </c>
      <c r="L1145">
        <f t="shared" si="89"/>
        <v>5.1500642345412215</v>
      </c>
    </row>
    <row r="1146" spans="1:12" x14ac:dyDescent="0.3">
      <c r="A1146">
        <v>5</v>
      </c>
      <c r="B1146">
        <v>5.2</v>
      </c>
      <c r="C1146">
        <v>5.3147877013177176</v>
      </c>
      <c r="D1146">
        <v>5.4679355783308887</v>
      </c>
      <c r="E1146">
        <f t="shared" si="85"/>
        <v>8.4342824804013672E-2</v>
      </c>
      <c r="F1146">
        <f t="shared" si="86"/>
        <v>9.9091296900892592E-2</v>
      </c>
      <c r="G1146">
        <f t="shared" si="87"/>
        <v>7.1789474135507708E-2</v>
      </c>
      <c r="H1146">
        <v>177.90128843338192</v>
      </c>
      <c r="I1146">
        <v>162.98770131771641</v>
      </c>
      <c r="J1146">
        <v>242.63557833089328</v>
      </c>
      <c r="K1146">
        <f t="shared" si="88"/>
        <v>5.0606408476818334</v>
      </c>
      <c r="L1146">
        <f t="shared" si="89"/>
        <v>5.1889515670962103</v>
      </c>
    </row>
    <row r="1147" spans="1:12" x14ac:dyDescent="0.3">
      <c r="A1147">
        <v>4.8</v>
      </c>
      <c r="B1147">
        <v>5.0999999999999996</v>
      </c>
      <c r="C1147">
        <v>5.3147877013177176</v>
      </c>
      <c r="D1147">
        <v>5.4679355783308887</v>
      </c>
      <c r="E1147">
        <f t="shared" si="85"/>
        <v>0.18940871060196349</v>
      </c>
      <c r="F1147">
        <f t="shared" si="86"/>
        <v>0.26500637742797983</v>
      </c>
      <c r="G1147">
        <f t="shared" si="87"/>
        <v>0.13537658980168582</v>
      </c>
      <c r="H1147">
        <v>177.90128843338192</v>
      </c>
      <c r="I1147">
        <v>162.98770131771641</v>
      </c>
      <c r="J1147">
        <v>242.63557833089328</v>
      </c>
      <c r="K1147">
        <f t="shared" si="88"/>
        <v>4.9540414631957344</v>
      </c>
      <c r="L1147">
        <f t="shared" si="89"/>
        <v>5.0719344825215966</v>
      </c>
    </row>
    <row r="1148" spans="1:12" x14ac:dyDescent="0.3">
      <c r="A1148">
        <v>5.8</v>
      </c>
      <c r="B1148">
        <v>5.8</v>
      </c>
      <c r="C1148">
        <v>5.3147877013177176</v>
      </c>
      <c r="D1148">
        <v>5.4679355783308887</v>
      </c>
      <c r="E1148">
        <f t="shared" si="85"/>
        <v>0.16112174134867205</v>
      </c>
      <c r="F1148">
        <f t="shared" si="86"/>
        <v>0.23543097479254424</v>
      </c>
      <c r="G1148">
        <f t="shared" si="87"/>
        <v>0.11026678013844123</v>
      </c>
      <c r="H1148">
        <v>177.90128843338192</v>
      </c>
      <c r="I1148">
        <v>162.98770131771641</v>
      </c>
      <c r="J1148">
        <v>242.63557833089328</v>
      </c>
      <c r="K1148">
        <f t="shared" si="88"/>
        <v>5.6432978896654804</v>
      </c>
      <c r="L1148">
        <f t="shared" si="89"/>
        <v>5.8285502729281911</v>
      </c>
    </row>
    <row r="1149" spans="1:12" x14ac:dyDescent="0.3">
      <c r="A1149">
        <v>5.3</v>
      </c>
      <c r="B1149">
        <v>5.0999999999999996</v>
      </c>
      <c r="C1149">
        <v>5.3147877013177176</v>
      </c>
      <c r="D1149">
        <v>5.4679355783308887</v>
      </c>
      <c r="E1149">
        <f t="shared" si="85"/>
        <v>5.440921436518943E-3</v>
      </c>
      <c r="F1149">
        <f t="shared" si="86"/>
        <v>2.1867611026203226E-4</v>
      </c>
      <c r="G1149">
        <f t="shared" si="87"/>
        <v>0.13537658980168582</v>
      </c>
      <c r="H1149">
        <v>177.90128843338192</v>
      </c>
      <c r="I1149">
        <v>162.98770131771641</v>
      </c>
      <c r="J1149">
        <v>242.63557833089328</v>
      </c>
      <c r="K1149">
        <f t="shared" si="88"/>
        <v>5.0252155443619166</v>
      </c>
      <c r="L1149">
        <f t="shared" si="89"/>
        <v>5.1500642345412215</v>
      </c>
    </row>
    <row r="1150" spans="1:12" x14ac:dyDescent="0.3">
      <c r="A1150">
        <v>5.6</v>
      </c>
      <c r="B1150">
        <v>5.7</v>
      </c>
      <c r="C1150">
        <v>5.3147877013177176</v>
      </c>
      <c r="D1150">
        <v>5.4679355783308887</v>
      </c>
      <c r="E1150">
        <f t="shared" si="85"/>
        <v>6.6187627146621658E-2</v>
      </c>
      <c r="F1150">
        <f t="shared" si="86"/>
        <v>8.1346055319631266E-2</v>
      </c>
      <c r="G1150">
        <f t="shared" si="87"/>
        <v>5.3853895804619169E-2</v>
      </c>
      <c r="H1150">
        <v>177.90128843338192</v>
      </c>
      <c r="I1150">
        <v>162.98770131771641</v>
      </c>
      <c r="J1150">
        <v>242.63557833089328</v>
      </c>
      <c r="K1150">
        <f t="shared" si="88"/>
        <v>5.5366985051793822</v>
      </c>
      <c r="L1150">
        <f t="shared" si="89"/>
        <v>5.7115331883535783</v>
      </c>
    </row>
    <row r="1151" spans="1:12" x14ac:dyDescent="0.3">
      <c r="A1151">
        <v>5.4</v>
      </c>
      <c r="B1151">
        <v>5.9</v>
      </c>
      <c r="C1151">
        <v>5.3147877013177176</v>
      </c>
      <c r="D1151">
        <v>5.4679355783308887</v>
      </c>
      <c r="E1151">
        <f t="shared" si="85"/>
        <v>3.6817202549256099E-2</v>
      </c>
      <c r="F1151">
        <f t="shared" si="86"/>
        <v>7.2611358467185661E-3</v>
      </c>
      <c r="G1151">
        <f t="shared" si="87"/>
        <v>0.18667966447226389</v>
      </c>
      <c r="H1151">
        <v>177.90128843338192</v>
      </c>
      <c r="I1151">
        <v>162.98770131771641</v>
      </c>
      <c r="J1151">
        <v>242.63557833089328</v>
      </c>
      <c r="K1151">
        <f t="shared" si="88"/>
        <v>5.6644883767521605</v>
      </c>
      <c r="L1151">
        <f t="shared" si="89"/>
        <v>5.8518116550792554</v>
      </c>
    </row>
    <row r="1152" spans="1:12" x14ac:dyDescent="0.3">
      <c r="A1152">
        <v>6</v>
      </c>
      <c r="B1152">
        <v>6</v>
      </c>
      <c r="C1152">
        <v>5.3147877013177176</v>
      </c>
      <c r="D1152">
        <v>5.4679355783308887</v>
      </c>
      <c r="E1152">
        <f t="shared" si="85"/>
        <v>0.3645770854189509</v>
      </c>
      <c r="F1152">
        <f t="shared" si="86"/>
        <v>0.46951589426545737</v>
      </c>
      <c r="G1152">
        <f t="shared" si="87"/>
        <v>0.28309254880608586</v>
      </c>
      <c r="H1152">
        <v>177.90128843338192</v>
      </c>
      <c r="I1152">
        <v>162.98770131771641</v>
      </c>
      <c r="J1152">
        <v>242.63557833089328</v>
      </c>
      <c r="K1152">
        <f t="shared" si="88"/>
        <v>5.8280270261712062</v>
      </c>
      <c r="L1152">
        <f t="shared" si="89"/>
        <v>6.0313325412695695</v>
      </c>
    </row>
    <row r="1153" spans="1:12" x14ac:dyDescent="0.3">
      <c r="A1153">
        <v>5.9</v>
      </c>
      <c r="B1153">
        <v>6.5</v>
      </c>
      <c r="C1153">
        <v>5.3147877013177176</v>
      </c>
      <c r="D1153">
        <v>5.4679355783308887</v>
      </c>
      <c r="E1153">
        <f t="shared" si="85"/>
        <v>0.60397679259318138</v>
      </c>
      <c r="F1153">
        <f t="shared" si="86"/>
        <v>0.34247343452900131</v>
      </c>
      <c r="G1153">
        <f t="shared" si="87"/>
        <v>1.0651569704751971</v>
      </c>
      <c r="H1153">
        <v>177.90128843338192</v>
      </c>
      <c r="I1153">
        <v>162.98770131771641</v>
      </c>
      <c r="J1153">
        <v>242.63557833089328</v>
      </c>
      <c r="K1153">
        <f t="shared" si="88"/>
        <v>6.2044409700360976</v>
      </c>
      <c r="L1153">
        <f t="shared" si="89"/>
        <v>6.444532509699461</v>
      </c>
    </row>
    <row r="1154" spans="1:12" x14ac:dyDescent="0.3">
      <c r="A1154">
        <v>5.6</v>
      </c>
      <c r="B1154">
        <v>5.4</v>
      </c>
      <c r="C1154">
        <v>5.3147877013177176</v>
      </c>
      <c r="D1154">
        <v>5.4679355783308887</v>
      </c>
      <c r="E1154">
        <f t="shared" si="85"/>
        <v>-1.93760624580629E-2</v>
      </c>
      <c r="F1154">
        <f t="shared" si="86"/>
        <v>8.1346055319631266E-2</v>
      </c>
      <c r="G1154">
        <f t="shared" si="87"/>
        <v>4.615242803152269E-3</v>
      </c>
      <c r="H1154">
        <v>177.90128843338192</v>
      </c>
      <c r="I1154">
        <v>162.98770131771641</v>
      </c>
      <c r="J1154">
        <v>242.63557833089328</v>
      </c>
      <c r="K1154">
        <f t="shared" si="88"/>
        <v>5.3023092491205048</v>
      </c>
      <c r="L1154">
        <f t="shared" si="89"/>
        <v>5.4542376370532883</v>
      </c>
    </row>
    <row r="1155" spans="1:12" x14ac:dyDescent="0.3">
      <c r="A1155">
        <v>6</v>
      </c>
      <c r="B1155">
        <v>6.5</v>
      </c>
      <c r="C1155">
        <v>5.3147877013177176</v>
      </c>
      <c r="D1155">
        <v>5.4679355783308887</v>
      </c>
      <c r="E1155">
        <f t="shared" ref="E1155:E1218" si="90">(A1155-C1155)*(B1155-D1155)</f>
        <v>0.70718323476009215</v>
      </c>
      <c r="F1155">
        <f t="shared" ref="F1155:F1218" si="91">(A1155-C1155)^2</f>
        <v>0.46951589426545737</v>
      </c>
      <c r="G1155">
        <f t="shared" ref="G1155:G1218" si="92">(B1155-D1155)^2</f>
        <v>1.0651569704751971</v>
      </c>
      <c r="H1155">
        <v>177.90128843338192</v>
      </c>
      <c r="I1155">
        <v>162.98770131771641</v>
      </c>
      <c r="J1155">
        <v>242.63557833089328</v>
      </c>
      <c r="K1155">
        <f t="shared" ref="K1155:K1218" si="93">(1.097727582*(B1155+0.366253474)+0.2*A1155)/(0.2+1.097727582^2)</f>
        <v>6.2186757862693351</v>
      </c>
      <c r="L1155">
        <f t="shared" ref="L1155:L1218" si="94">1.097727582*K1155-0.366253474</f>
        <v>6.4601584601033872</v>
      </c>
    </row>
    <row r="1156" spans="1:12" x14ac:dyDescent="0.3">
      <c r="A1156">
        <v>5</v>
      </c>
      <c r="B1156">
        <v>5.0999999999999996</v>
      </c>
      <c r="C1156">
        <v>5.3147877013177176</v>
      </c>
      <c r="D1156">
        <v>5.4679355783308887</v>
      </c>
      <c r="E1156">
        <f t="shared" si="90"/>
        <v>0.1158215949357856</v>
      </c>
      <c r="F1156">
        <f t="shared" si="91"/>
        <v>9.9091296900892592E-2</v>
      </c>
      <c r="G1156">
        <f t="shared" si="92"/>
        <v>0.13537658980168582</v>
      </c>
      <c r="H1156">
        <v>177.90128843338192</v>
      </c>
      <c r="I1156">
        <v>162.98770131771641</v>
      </c>
      <c r="J1156">
        <v>242.63557833089328</v>
      </c>
      <c r="K1156">
        <f t="shared" si="93"/>
        <v>4.9825110956622076</v>
      </c>
      <c r="L1156">
        <f t="shared" si="94"/>
        <v>5.1031863833294464</v>
      </c>
    </row>
    <row r="1157" spans="1:12" x14ac:dyDescent="0.3">
      <c r="A1157">
        <v>5.6</v>
      </c>
      <c r="B1157">
        <v>5.6</v>
      </c>
      <c r="C1157">
        <v>5.3147877013177176</v>
      </c>
      <c r="D1157">
        <v>5.4679355783308887</v>
      </c>
      <c r="E1157">
        <f t="shared" si="90"/>
        <v>3.7666397278393306E-2</v>
      </c>
      <c r="F1157">
        <f t="shared" si="91"/>
        <v>8.1346055319631266E-2</v>
      </c>
      <c r="G1157">
        <f t="shared" si="92"/>
        <v>1.7441011470796734E-2</v>
      </c>
      <c r="H1157">
        <v>177.90128843338192</v>
      </c>
      <c r="I1157">
        <v>162.98770131771641</v>
      </c>
      <c r="J1157">
        <v>242.63557833089328</v>
      </c>
      <c r="K1157">
        <f t="shared" si="93"/>
        <v>5.4585687531597555</v>
      </c>
      <c r="L1157">
        <f t="shared" si="94"/>
        <v>5.6257680045868144</v>
      </c>
    </row>
    <row r="1158" spans="1:12" x14ac:dyDescent="0.3">
      <c r="A1158">
        <v>5.6</v>
      </c>
      <c r="B1158">
        <v>5.3</v>
      </c>
      <c r="C1158">
        <v>5.3147877013177176</v>
      </c>
      <c r="D1158">
        <v>5.4679355783308887</v>
      </c>
      <c r="E1158">
        <f t="shared" si="90"/>
        <v>-4.7897292326291259E-2</v>
      </c>
      <c r="F1158">
        <f t="shared" si="91"/>
        <v>8.1346055319631266E-2</v>
      </c>
      <c r="G1158">
        <f t="shared" si="92"/>
        <v>2.8202358469330124E-2</v>
      </c>
      <c r="H1158">
        <v>177.90128843338192</v>
      </c>
      <c r="I1158">
        <v>162.98770131771641</v>
      </c>
      <c r="J1158">
        <v>242.63557833089328</v>
      </c>
      <c r="K1158">
        <f t="shared" si="93"/>
        <v>5.224179497100879</v>
      </c>
      <c r="L1158">
        <f t="shared" si="94"/>
        <v>5.3684724532865244</v>
      </c>
    </row>
    <row r="1159" spans="1:12" x14ac:dyDescent="0.3">
      <c r="A1159">
        <v>5.0999999999999996</v>
      </c>
      <c r="B1159">
        <v>5.3</v>
      </c>
      <c r="C1159">
        <v>5.3147877013177176</v>
      </c>
      <c r="D1159">
        <v>5.4679355783308887</v>
      </c>
      <c r="E1159">
        <f t="shared" si="90"/>
        <v>3.6070496839153192E-2</v>
      </c>
      <c r="F1159">
        <f t="shared" si="91"/>
        <v>4.613375663734922E-2</v>
      </c>
      <c r="G1159">
        <f t="shared" si="92"/>
        <v>2.8202358469330124E-2</v>
      </c>
      <c r="H1159">
        <v>177.90128843338192</v>
      </c>
      <c r="I1159">
        <v>162.98770131771641</v>
      </c>
      <c r="J1159">
        <v>242.63557833089328</v>
      </c>
      <c r="K1159">
        <f t="shared" si="93"/>
        <v>5.1530054159346959</v>
      </c>
      <c r="L1159">
        <f t="shared" si="94"/>
        <v>5.2903427012668987</v>
      </c>
    </row>
    <row r="1160" spans="1:12" x14ac:dyDescent="0.3">
      <c r="A1160">
        <v>5.4</v>
      </c>
      <c r="B1160">
        <v>5.8</v>
      </c>
      <c r="C1160">
        <v>5.3147877013177176</v>
      </c>
      <c r="D1160">
        <v>5.4679355783308887</v>
      </c>
      <c r="E1160">
        <f t="shared" si="90"/>
        <v>2.8295972681027778E-2</v>
      </c>
      <c r="F1160">
        <f t="shared" si="91"/>
        <v>7.2611358467185661E-3</v>
      </c>
      <c r="G1160">
        <f t="shared" si="92"/>
        <v>0.11026678013844123</v>
      </c>
      <c r="H1160">
        <v>177.90128843338192</v>
      </c>
      <c r="I1160">
        <v>162.98770131771641</v>
      </c>
      <c r="J1160">
        <v>242.63557833089328</v>
      </c>
      <c r="K1160">
        <f t="shared" si="93"/>
        <v>5.5863586247325339</v>
      </c>
      <c r="L1160">
        <f t="shared" si="94"/>
        <v>5.7660464713124906</v>
      </c>
    </row>
    <row r="1161" spans="1:12" x14ac:dyDescent="0.3">
      <c r="A1161">
        <v>5.3</v>
      </c>
      <c r="B1161">
        <v>5.4</v>
      </c>
      <c r="C1161">
        <v>5.3147877013177176</v>
      </c>
      <c r="D1161">
        <v>5.4679355783308887</v>
      </c>
      <c r="E1161">
        <f t="shared" si="90"/>
        <v>1.0046110412035977E-3</v>
      </c>
      <c r="F1161">
        <f t="shared" si="91"/>
        <v>2.1867611026203226E-4</v>
      </c>
      <c r="G1161">
        <f t="shared" si="92"/>
        <v>4.615242803152269E-3</v>
      </c>
      <c r="H1161">
        <v>177.90128843338192</v>
      </c>
      <c r="I1161">
        <v>162.98770131771641</v>
      </c>
      <c r="J1161">
        <v>242.63557833089328</v>
      </c>
      <c r="K1161">
        <f t="shared" si="93"/>
        <v>5.2596048004207958</v>
      </c>
      <c r="L1161">
        <f t="shared" si="94"/>
        <v>5.4073597858415132</v>
      </c>
    </row>
    <row r="1162" spans="1:12" x14ac:dyDescent="0.3">
      <c r="A1162">
        <v>5.2</v>
      </c>
      <c r="B1162">
        <v>5.3</v>
      </c>
      <c r="C1162">
        <v>5.3147877013177176</v>
      </c>
      <c r="D1162">
        <v>5.4679355783308887</v>
      </c>
      <c r="E1162">
        <f t="shared" si="90"/>
        <v>1.9276939006064215E-2</v>
      </c>
      <c r="F1162">
        <f t="shared" si="91"/>
        <v>1.3176216373805507E-2</v>
      </c>
      <c r="G1162">
        <f t="shared" si="92"/>
        <v>2.8202358469330124E-2</v>
      </c>
      <c r="H1162">
        <v>177.90128843338192</v>
      </c>
      <c r="I1162">
        <v>162.98770131771641</v>
      </c>
      <c r="J1162">
        <v>242.63557833089328</v>
      </c>
      <c r="K1162">
        <f t="shared" si="93"/>
        <v>5.1672402321679325</v>
      </c>
      <c r="L1162">
        <f t="shared" si="94"/>
        <v>5.305968651670824</v>
      </c>
    </row>
    <row r="1163" spans="1:12" x14ac:dyDescent="0.3">
      <c r="A1163">
        <v>5.2</v>
      </c>
      <c r="B1163">
        <v>5.5</v>
      </c>
      <c r="C1163">
        <v>5.3147877013177176</v>
      </c>
      <c r="D1163">
        <v>5.4679355783308887</v>
      </c>
      <c r="E1163">
        <f t="shared" si="90"/>
        <v>-3.6806012574792917E-3</v>
      </c>
      <c r="F1163">
        <f t="shared" si="91"/>
        <v>1.3176216373805507E-2</v>
      </c>
      <c r="G1163">
        <f t="shared" si="92"/>
        <v>1.0281271369745727E-3</v>
      </c>
      <c r="H1163">
        <v>177.90128843338192</v>
      </c>
      <c r="I1163">
        <v>162.98770131771641</v>
      </c>
      <c r="J1163">
        <v>242.63557833089328</v>
      </c>
      <c r="K1163">
        <f t="shared" si="93"/>
        <v>5.3234997362071841</v>
      </c>
      <c r="L1163">
        <f t="shared" si="94"/>
        <v>5.4774990192043509</v>
      </c>
    </row>
    <row r="1164" spans="1:12" x14ac:dyDescent="0.3">
      <c r="A1164">
        <v>5.9</v>
      </c>
      <c r="B1164">
        <v>6.2</v>
      </c>
      <c r="C1164">
        <v>5.3147877013177176</v>
      </c>
      <c r="D1164">
        <v>5.4679355783308887</v>
      </c>
      <c r="E1164">
        <f t="shared" si="90"/>
        <v>0.42841310298849666</v>
      </c>
      <c r="F1164">
        <f t="shared" si="91"/>
        <v>0.34247343452900131</v>
      </c>
      <c r="G1164">
        <f t="shared" si="92"/>
        <v>0.53591831747373064</v>
      </c>
      <c r="H1164">
        <v>177.90128843338192</v>
      </c>
      <c r="I1164">
        <v>162.98770131771641</v>
      </c>
      <c r="J1164">
        <v>242.63557833089328</v>
      </c>
      <c r="K1164">
        <f t="shared" si="93"/>
        <v>5.9700517139772211</v>
      </c>
      <c r="L1164">
        <f t="shared" si="94"/>
        <v>6.1872369583991711</v>
      </c>
    </row>
    <row r="1165" spans="1:12" x14ac:dyDescent="0.3">
      <c r="A1165">
        <v>4.8</v>
      </c>
      <c r="B1165">
        <v>5.3</v>
      </c>
      <c r="C1165">
        <v>5.3147877013177176</v>
      </c>
      <c r="D1165">
        <v>5.4679355783308887</v>
      </c>
      <c r="E1165">
        <f t="shared" si="90"/>
        <v>8.6451170338419828E-2</v>
      </c>
      <c r="F1165">
        <f t="shared" si="91"/>
        <v>0.26500637742797983</v>
      </c>
      <c r="G1165">
        <f t="shared" si="92"/>
        <v>2.8202358469330124E-2</v>
      </c>
      <c r="H1165">
        <v>177.90128843338192</v>
      </c>
      <c r="I1165">
        <v>162.98770131771641</v>
      </c>
      <c r="J1165">
        <v>242.63557833089328</v>
      </c>
      <c r="K1165">
        <f t="shared" si="93"/>
        <v>5.1103009672349859</v>
      </c>
      <c r="L1165">
        <f t="shared" si="94"/>
        <v>5.2434648500551235</v>
      </c>
    </row>
    <row r="1166" spans="1:12" x14ac:dyDescent="0.3">
      <c r="A1166">
        <v>5</v>
      </c>
      <c r="B1166">
        <v>5.3</v>
      </c>
      <c r="C1166">
        <v>5.3147877013177176</v>
      </c>
      <c r="D1166">
        <v>5.4679355783308887</v>
      </c>
      <c r="E1166">
        <f t="shared" si="90"/>
        <v>5.2864054672242027E-2</v>
      </c>
      <c r="F1166">
        <f t="shared" si="91"/>
        <v>9.9091296900892592E-2</v>
      </c>
      <c r="G1166">
        <f t="shared" si="92"/>
        <v>2.8202358469330124E-2</v>
      </c>
      <c r="H1166">
        <v>177.90128843338192</v>
      </c>
      <c r="I1166">
        <v>162.98770131771641</v>
      </c>
      <c r="J1166">
        <v>242.63557833089328</v>
      </c>
      <c r="K1166">
        <f t="shared" si="93"/>
        <v>5.1387705997014592</v>
      </c>
      <c r="L1166">
        <f t="shared" si="94"/>
        <v>5.2747167508629733</v>
      </c>
    </row>
    <row r="1167" spans="1:12" x14ac:dyDescent="0.3">
      <c r="A1167">
        <v>5.4</v>
      </c>
      <c r="B1167">
        <v>5.9</v>
      </c>
      <c r="C1167">
        <v>5.3147877013177176</v>
      </c>
      <c r="D1167">
        <v>5.4679355783308887</v>
      </c>
      <c r="E1167">
        <f t="shared" si="90"/>
        <v>3.6817202549256099E-2</v>
      </c>
      <c r="F1167">
        <f t="shared" si="91"/>
        <v>7.2611358467185661E-3</v>
      </c>
      <c r="G1167">
        <f t="shared" si="92"/>
        <v>0.18667966447226389</v>
      </c>
      <c r="H1167">
        <v>177.90128843338192</v>
      </c>
      <c r="I1167">
        <v>162.98770131771641</v>
      </c>
      <c r="J1167">
        <v>242.63557833089328</v>
      </c>
      <c r="K1167">
        <f t="shared" si="93"/>
        <v>5.6644883767521605</v>
      </c>
      <c r="L1167">
        <f t="shared" si="94"/>
        <v>5.8518116550792554</v>
      </c>
    </row>
    <row r="1168" spans="1:12" x14ac:dyDescent="0.3">
      <c r="A1168">
        <v>5.7</v>
      </c>
      <c r="B1168">
        <v>5.8</v>
      </c>
      <c r="C1168">
        <v>5.3147877013177176</v>
      </c>
      <c r="D1168">
        <v>5.4679355783308887</v>
      </c>
      <c r="E1168">
        <f t="shared" si="90"/>
        <v>0.12791529918176106</v>
      </c>
      <c r="F1168">
        <f t="shared" si="91"/>
        <v>0.14838851505608808</v>
      </c>
      <c r="G1168">
        <f t="shared" si="92"/>
        <v>0.11026678013844123</v>
      </c>
      <c r="H1168">
        <v>177.90128843338192</v>
      </c>
      <c r="I1168">
        <v>162.98770131771641</v>
      </c>
      <c r="J1168">
        <v>242.63557833089328</v>
      </c>
      <c r="K1168">
        <f t="shared" si="93"/>
        <v>5.6290630734322438</v>
      </c>
      <c r="L1168">
        <f t="shared" si="94"/>
        <v>5.8129243225242666</v>
      </c>
    </row>
    <row r="1169" spans="1:12" x14ac:dyDescent="0.3">
      <c r="A1169">
        <v>5.5</v>
      </c>
      <c r="B1169">
        <v>5.3</v>
      </c>
      <c r="C1169">
        <v>5.3147877013177176</v>
      </c>
      <c r="D1169">
        <v>5.4679355783308887</v>
      </c>
      <c r="E1169">
        <f t="shared" si="90"/>
        <v>-3.1103734493202428E-2</v>
      </c>
      <c r="F1169">
        <f t="shared" si="91"/>
        <v>3.4303595583174987E-2</v>
      </c>
      <c r="G1169">
        <f t="shared" si="92"/>
        <v>2.8202358469330124E-2</v>
      </c>
      <c r="H1169">
        <v>177.90128843338192</v>
      </c>
      <c r="I1169">
        <v>162.98770131771641</v>
      </c>
      <c r="J1169">
        <v>242.63557833089328</v>
      </c>
      <c r="K1169">
        <f t="shared" si="93"/>
        <v>5.2099446808676424</v>
      </c>
      <c r="L1169">
        <f t="shared" si="94"/>
        <v>5.3528465028826</v>
      </c>
    </row>
    <row r="1170" spans="1:12" x14ac:dyDescent="0.3">
      <c r="A1170">
        <v>5.9</v>
      </c>
      <c r="B1170">
        <v>5.9</v>
      </c>
      <c r="C1170">
        <v>5.3147877013177176</v>
      </c>
      <c r="D1170">
        <v>5.4679355783308887</v>
      </c>
      <c r="E1170">
        <f t="shared" si="90"/>
        <v>0.25284941338381189</v>
      </c>
      <c r="F1170">
        <f t="shared" si="91"/>
        <v>0.34247343452900131</v>
      </c>
      <c r="G1170">
        <f t="shared" si="92"/>
        <v>0.18667966447226389</v>
      </c>
      <c r="H1170">
        <v>177.90128843338192</v>
      </c>
      <c r="I1170">
        <v>162.98770131771641</v>
      </c>
      <c r="J1170">
        <v>242.63557833089328</v>
      </c>
      <c r="K1170">
        <f t="shared" si="93"/>
        <v>5.7356624579183437</v>
      </c>
      <c r="L1170">
        <f t="shared" si="94"/>
        <v>5.9299414070988812</v>
      </c>
    </row>
    <row r="1171" spans="1:12" x14ac:dyDescent="0.3">
      <c r="A1171">
        <v>5.9</v>
      </c>
      <c r="B1171">
        <v>5.7</v>
      </c>
      <c r="C1171">
        <v>5.3147877013177176</v>
      </c>
      <c r="D1171">
        <v>5.4679355783308887</v>
      </c>
      <c r="E1171">
        <f t="shared" si="90"/>
        <v>0.13580695364735526</v>
      </c>
      <c r="F1171">
        <f t="shared" si="91"/>
        <v>0.34247343452900131</v>
      </c>
      <c r="G1171">
        <f t="shared" si="92"/>
        <v>5.3853895804619169E-2</v>
      </c>
      <c r="H1171">
        <v>177.90128843338192</v>
      </c>
      <c r="I1171">
        <v>162.98770131771641</v>
      </c>
      <c r="J1171">
        <v>242.63557833089328</v>
      </c>
      <c r="K1171">
        <f t="shared" si="93"/>
        <v>5.5794029538790921</v>
      </c>
      <c r="L1171">
        <f t="shared" si="94"/>
        <v>5.7584110395653543</v>
      </c>
    </row>
    <row r="1172" spans="1:12" x14ac:dyDescent="0.3">
      <c r="A1172">
        <v>5.3</v>
      </c>
      <c r="B1172">
        <v>5.7</v>
      </c>
      <c r="C1172">
        <v>5.3147877013177176</v>
      </c>
      <c r="D1172">
        <v>5.4679355783308887</v>
      </c>
      <c r="E1172">
        <f t="shared" si="90"/>
        <v>-3.4316993541117346E-3</v>
      </c>
      <c r="F1172">
        <f t="shared" si="91"/>
        <v>2.1867611026203226E-4</v>
      </c>
      <c r="G1172">
        <f t="shared" si="92"/>
        <v>5.3853895804619169E-2</v>
      </c>
      <c r="H1172">
        <v>177.90128843338192</v>
      </c>
      <c r="I1172">
        <v>162.98770131771641</v>
      </c>
      <c r="J1172">
        <v>242.63557833089328</v>
      </c>
      <c r="K1172">
        <f t="shared" si="93"/>
        <v>5.4939940564796714</v>
      </c>
      <c r="L1172">
        <f t="shared" si="94"/>
        <v>5.6646553371418022</v>
      </c>
    </row>
    <row r="1173" spans="1:12" x14ac:dyDescent="0.3">
      <c r="A1173">
        <v>5.3</v>
      </c>
      <c r="B1173">
        <v>5</v>
      </c>
      <c r="C1173">
        <v>5.3147877013177176</v>
      </c>
      <c r="D1173">
        <v>5.4679355783308887</v>
      </c>
      <c r="E1173">
        <f t="shared" si="90"/>
        <v>6.9196915682907161E-3</v>
      </c>
      <c r="F1173">
        <f t="shared" si="91"/>
        <v>2.1867611026203226E-4</v>
      </c>
      <c r="G1173">
        <f t="shared" si="92"/>
        <v>0.21896370546786328</v>
      </c>
      <c r="H1173">
        <v>177.90128843338192</v>
      </c>
      <c r="I1173">
        <v>162.98770131771641</v>
      </c>
      <c r="J1173">
        <v>242.63557833089328</v>
      </c>
      <c r="K1173">
        <f t="shared" si="93"/>
        <v>4.9470857923422926</v>
      </c>
      <c r="L1173">
        <f t="shared" si="94"/>
        <v>5.0642990507744594</v>
      </c>
    </row>
    <row r="1174" spans="1:12" x14ac:dyDescent="0.3">
      <c r="A1174">
        <v>5.5</v>
      </c>
      <c r="B1174">
        <v>6.1</v>
      </c>
      <c r="C1174">
        <v>5.3147877013177176</v>
      </c>
      <c r="D1174">
        <v>5.4679355783308887</v>
      </c>
      <c r="E1174">
        <f t="shared" si="90"/>
        <v>0.11706610445262346</v>
      </c>
      <c r="F1174">
        <f t="shared" si="91"/>
        <v>3.4303595583174987E-2</v>
      </c>
      <c r="G1174">
        <f t="shared" si="92"/>
        <v>0.39950543313990766</v>
      </c>
      <c r="H1174">
        <v>177.90128843338192</v>
      </c>
      <c r="I1174">
        <v>162.98770131771641</v>
      </c>
      <c r="J1174">
        <v>242.63557833089328</v>
      </c>
      <c r="K1174">
        <f t="shared" si="93"/>
        <v>5.8349826970246479</v>
      </c>
      <c r="L1174">
        <f t="shared" si="94"/>
        <v>6.0389679730167058</v>
      </c>
    </row>
    <row r="1175" spans="1:12" x14ac:dyDescent="0.3">
      <c r="A1175">
        <v>5.9</v>
      </c>
      <c r="B1175">
        <v>6</v>
      </c>
      <c r="C1175">
        <v>5.3147877013177176</v>
      </c>
      <c r="D1175">
        <v>5.4679355783308887</v>
      </c>
      <c r="E1175">
        <f t="shared" si="90"/>
        <v>0.31137064325204</v>
      </c>
      <c r="F1175">
        <f t="shared" si="91"/>
        <v>0.34247343452900131</v>
      </c>
      <c r="G1175">
        <f t="shared" si="92"/>
        <v>0.28309254880608586</v>
      </c>
      <c r="H1175">
        <v>177.90128843338192</v>
      </c>
      <c r="I1175">
        <v>162.98770131771641</v>
      </c>
      <c r="J1175">
        <v>242.63557833089328</v>
      </c>
      <c r="K1175">
        <f t="shared" si="93"/>
        <v>5.8137922099379695</v>
      </c>
      <c r="L1175">
        <f t="shared" si="94"/>
        <v>6.0157065908656442</v>
      </c>
    </row>
    <row r="1176" spans="1:12" x14ac:dyDescent="0.3">
      <c r="A1176">
        <v>5.4</v>
      </c>
      <c r="B1176">
        <v>5.5</v>
      </c>
      <c r="C1176">
        <v>5.3147877013177176</v>
      </c>
      <c r="D1176">
        <v>5.4679355783308887</v>
      </c>
      <c r="E1176">
        <f t="shared" si="90"/>
        <v>2.7322830763429691E-3</v>
      </c>
      <c r="F1176">
        <f t="shared" si="91"/>
        <v>7.2611358467185661E-3</v>
      </c>
      <c r="G1176">
        <f t="shared" si="92"/>
        <v>1.0281271369745727E-3</v>
      </c>
      <c r="H1176">
        <v>177.90128843338192</v>
      </c>
      <c r="I1176">
        <v>162.98770131771641</v>
      </c>
      <c r="J1176">
        <v>242.63557833089328</v>
      </c>
      <c r="K1176">
        <f t="shared" si="93"/>
        <v>5.3519693686736574</v>
      </c>
      <c r="L1176">
        <f t="shared" si="94"/>
        <v>5.5087509200122016</v>
      </c>
    </row>
    <row r="1177" spans="1:12" x14ac:dyDescent="0.3">
      <c r="A1177">
        <v>5.2</v>
      </c>
      <c r="B1177">
        <v>5.4</v>
      </c>
      <c r="C1177">
        <v>5.3147877013177176</v>
      </c>
      <c r="D1177">
        <v>5.4679355783308887</v>
      </c>
      <c r="E1177">
        <f t="shared" si="90"/>
        <v>7.7981688742924105E-3</v>
      </c>
      <c r="F1177">
        <f t="shared" si="91"/>
        <v>1.3176216373805507E-2</v>
      </c>
      <c r="G1177">
        <f t="shared" si="92"/>
        <v>4.615242803152269E-3</v>
      </c>
      <c r="H1177">
        <v>177.90128843338192</v>
      </c>
      <c r="I1177">
        <v>162.98770131771641</v>
      </c>
      <c r="J1177">
        <v>242.63557833089328</v>
      </c>
      <c r="K1177">
        <f t="shared" si="93"/>
        <v>5.2453699841875583</v>
      </c>
      <c r="L1177">
        <f t="shared" si="94"/>
        <v>5.391733835437587</v>
      </c>
    </row>
    <row r="1178" spans="1:12" x14ac:dyDescent="0.3">
      <c r="A1178">
        <v>5.2</v>
      </c>
      <c r="B1178">
        <v>5</v>
      </c>
      <c r="C1178">
        <v>5.3147877013177176</v>
      </c>
      <c r="D1178">
        <v>5.4679355783308887</v>
      </c>
      <c r="E1178">
        <f t="shared" si="90"/>
        <v>5.371324940137942E-2</v>
      </c>
      <c r="F1178">
        <f t="shared" si="91"/>
        <v>1.3176216373805507E-2</v>
      </c>
      <c r="G1178">
        <f t="shared" si="92"/>
        <v>0.21896370546786328</v>
      </c>
      <c r="H1178">
        <v>177.90128843338192</v>
      </c>
      <c r="I1178">
        <v>162.98770131771641</v>
      </c>
      <c r="J1178">
        <v>242.63557833089328</v>
      </c>
      <c r="K1178">
        <f t="shared" si="93"/>
        <v>4.9328509761090551</v>
      </c>
      <c r="L1178">
        <f t="shared" si="94"/>
        <v>5.0486731003705341</v>
      </c>
    </row>
    <row r="1179" spans="1:12" x14ac:dyDescent="0.3">
      <c r="A1179">
        <v>5.4</v>
      </c>
      <c r="B1179">
        <v>5.2</v>
      </c>
      <c r="C1179">
        <v>5.3147877013177176</v>
      </c>
      <c r="D1179">
        <v>5.4679355783308887</v>
      </c>
      <c r="E1179">
        <f t="shared" si="90"/>
        <v>-2.2831406528341841E-2</v>
      </c>
      <c r="F1179">
        <f t="shared" si="91"/>
        <v>7.2611358467185661E-3</v>
      </c>
      <c r="G1179">
        <f t="shared" si="92"/>
        <v>7.1789474135507708E-2</v>
      </c>
      <c r="H1179">
        <v>177.90128843338192</v>
      </c>
      <c r="I1179">
        <v>162.98770131771641</v>
      </c>
      <c r="J1179">
        <v>242.63557833089328</v>
      </c>
      <c r="K1179">
        <f t="shared" si="93"/>
        <v>5.11758011261478</v>
      </c>
      <c r="L1179">
        <f t="shared" si="94"/>
        <v>5.2514553687119108</v>
      </c>
    </row>
    <row r="1180" spans="1:12" x14ac:dyDescent="0.3">
      <c r="A1180">
        <v>6.2</v>
      </c>
      <c r="B1180">
        <v>6.7</v>
      </c>
      <c r="C1180">
        <v>5.3147877013177176</v>
      </c>
      <c r="D1180">
        <v>5.4679355783308887</v>
      </c>
      <c r="E1180">
        <f t="shared" si="90"/>
        <v>1.0906385788303712</v>
      </c>
      <c r="F1180">
        <f t="shared" si="91"/>
        <v>0.78360081373837065</v>
      </c>
      <c r="G1180">
        <f t="shared" si="92"/>
        <v>1.517982739142842</v>
      </c>
      <c r="H1180">
        <v>177.90128843338192</v>
      </c>
      <c r="I1180">
        <v>162.98770131771641</v>
      </c>
      <c r="J1180">
        <v>242.63557833089328</v>
      </c>
      <c r="K1180">
        <f t="shared" si="93"/>
        <v>6.4034049227750591</v>
      </c>
      <c r="L1180">
        <f t="shared" si="94"/>
        <v>6.662940728444763</v>
      </c>
    </row>
    <row r="1181" spans="1:12" x14ac:dyDescent="0.3">
      <c r="A1181">
        <v>4.8</v>
      </c>
      <c r="B1181">
        <v>4.8</v>
      </c>
      <c r="C1181">
        <v>5.3147877013177176</v>
      </c>
      <c r="D1181">
        <v>5.4679355783308887</v>
      </c>
      <c r="E1181">
        <f t="shared" si="90"/>
        <v>0.34384502099727871</v>
      </c>
      <c r="F1181">
        <f t="shared" si="91"/>
        <v>0.26500637742797983</v>
      </c>
      <c r="G1181">
        <f t="shared" si="92"/>
        <v>0.44613793680021901</v>
      </c>
      <c r="H1181">
        <v>177.90128843338192</v>
      </c>
      <c r="I1181">
        <v>162.98770131771641</v>
      </c>
      <c r="J1181">
        <v>242.63557833089328</v>
      </c>
      <c r="K1181">
        <f t="shared" si="93"/>
        <v>4.719652207136857</v>
      </c>
      <c r="L1181">
        <f t="shared" si="94"/>
        <v>4.8146389312213058</v>
      </c>
    </row>
    <row r="1182" spans="1:12" x14ac:dyDescent="0.3">
      <c r="A1182">
        <v>5</v>
      </c>
      <c r="B1182">
        <v>4.9000000000000004</v>
      </c>
      <c r="C1182">
        <v>5.3147877013177176</v>
      </c>
      <c r="D1182">
        <v>5.4679355783308887</v>
      </c>
      <c r="E1182">
        <f t="shared" si="90"/>
        <v>0.17877913519932889</v>
      </c>
      <c r="F1182">
        <f t="shared" si="91"/>
        <v>9.9091296900892592E-2</v>
      </c>
      <c r="G1182">
        <f t="shared" si="92"/>
        <v>0.32255082113404066</v>
      </c>
      <c r="H1182">
        <v>177.90128843338192</v>
      </c>
      <c r="I1182">
        <v>162.98770131771641</v>
      </c>
      <c r="J1182">
        <v>242.63557833089328</v>
      </c>
      <c r="K1182">
        <f t="shared" si="93"/>
        <v>4.826251591622956</v>
      </c>
      <c r="L1182">
        <f t="shared" si="94"/>
        <v>4.9316560157959195</v>
      </c>
    </row>
    <row r="1183" spans="1:12" x14ac:dyDescent="0.3">
      <c r="A1183">
        <v>5.0999999999999996</v>
      </c>
      <c r="B1183">
        <v>5.2</v>
      </c>
      <c r="C1183">
        <v>5.3147877013177176</v>
      </c>
      <c r="D1183">
        <v>5.4679355783308887</v>
      </c>
      <c r="E1183">
        <f t="shared" si="90"/>
        <v>5.7549266970924912E-2</v>
      </c>
      <c r="F1183">
        <f t="shared" si="91"/>
        <v>4.613375663734922E-2</v>
      </c>
      <c r="G1183">
        <f t="shared" si="92"/>
        <v>7.1789474135507708E-2</v>
      </c>
      <c r="H1183">
        <v>177.90128843338192</v>
      </c>
      <c r="I1183">
        <v>162.98770131771641</v>
      </c>
      <c r="J1183">
        <v>242.63557833089328</v>
      </c>
      <c r="K1183">
        <f t="shared" si="93"/>
        <v>5.0748756639150701</v>
      </c>
      <c r="L1183">
        <f t="shared" si="94"/>
        <v>5.2045775175001356</v>
      </c>
    </row>
    <row r="1184" spans="1:12" x14ac:dyDescent="0.3">
      <c r="A1184">
        <v>5</v>
      </c>
      <c r="B1184">
        <v>5.0999999999999996</v>
      </c>
      <c r="C1184">
        <v>5.3147877013177176</v>
      </c>
      <c r="D1184">
        <v>5.4679355783308887</v>
      </c>
      <c r="E1184">
        <f t="shared" si="90"/>
        <v>0.1158215949357856</v>
      </c>
      <c r="F1184">
        <f t="shared" si="91"/>
        <v>9.9091296900892592E-2</v>
      </c>
      <c r="G1184">
        <f t="shared" si="92"/>
        <v>0.13537658980168582</v>
      </c>
      <c r="H1184">
        <v>177.90128843338192</v>
      </c>
      <c r="I1184">
        <v>162.98770131771641</v>
      </c>
      <c r="J1184">
        <v>242.63557833089328</v>
      </c>
      <c r="K1184">
        <f t="shared" si="93"/>
        <v>4.9825110956622076</v>
      </c>
      <c r="L1184">
        <f t="shared" si="94"/>
        <v>5.1031863833294464</v>
      </c>
    </row>
    <row r="1185" spans="1:12" x14ac:dyDescent="0.3">
      <c r="A1185">
        <v>5</v>
      </c>
      <c r="B1185">
        <v>5.3</v>
      </c>
      <c r="C1185">
        <v>5.3147877013177176</v>
      </c>
      <c r="D1185">
        <v>5.4679355783308887</v>
      </c>
      <c r="E1185">
        <f t="shared" si="90"/>
        <v>5.2864054672242027E-2</v>
      </c>
      <c r="F1185">
        <f t="shared" si="91"/>
        <v>9.9091296900892592E-2</v>
      </c>
      <c r="G1185">
        <f t="shared" si="92"/>
        <v>2.8202358469330124E-2</v>
      </c>
      <c r="H1185">
        <v>177.90128843338192</v>
      </c>
      <c r="I1185">
        <v>162.98770131771641</v>
      </c>
      <c r="J1185">
        <v>242.63557833089328</v>
      </c>
      <c r="K1185">
        <f t="shared" si="93"/>
        <v>5.1387705997014592</v>
      </c>
      <c r="L1185">
        <f t="shared" si="94"/>
        <v>5.2747167508629733</v>
      </c>
    </row>
    <row r="1186" spans="1:12" x14ac:dyDescent="0.3">
      <c r="A1186">
        <v>5.5</v>
      </c>
      <c r="B1186">
        <v>5.9</v>
      </c>
      <c r="C1186">
        <v>5.3147877013177176</v>
      </c>
      <c r="D1186">
        <v>5.4679355783308887</v>
      </c>
      <c r="E1186">
        <f t="shared" si="90"/>
        <v>8.0023644716167103E-2</v>
      </c>
      <c r="F1186">
        <f t="shared" si="91"/>
        <v>3.4303595583174987E-2</v>
      </c>
      <c r="G1186">
        <f t="shared" si="92"/>
        <v>0.18667966447226389</v>
      </c>
      <c r="H1186">
        <v>177.90128843338192</v>
      </c>
      <c r="I1186">
        <v>162.98770131771641</v>
      </c>
      <c r="J1186">
        <v>242.63557833089328</v>
      </c>
      <c r="K1186">
        <f t="shared" si="93"/>
        <v>5.6787231929853972</v>
      </c>
      <c r="L1186">
        <f t="shared" si="94"/>
        <v>5.8674376054831807</v>
      </c>
    </row>
    <row r="1187" spans="1:12" x14ac:dyDescent="0.3">
      <c r="A1187">
        <v>5.3</v>
      </c>
      <c r="B1187">
        <v>5.3</v>
      </c>
      <c r="C1187">
        <v>5.3147877013177176</v>
      </c>
      <c r="D1187">
        <v>5.4679355783308887</v>
      </c>
      <c r="E1187">
        <f t="shared" si="90"/>
        <v>2.4833811729753838E-3</v>
      </c>
      <c r="F1187">
        <f t="shared" si="91"/>
        <v>2.1867611026203226E-4</v>
      </c>
      <c r="G1187">
        <f t="shared" si="92"/>
        <v>2.8202358469330124E-2</v>
      </c>
      <c r="H1187">
        <v>177.90128843338192</v>
      </c>
      <c r="I1187">
        <v>162.98770131771641</v>
      </c>
      <c r="J1187">
        <v>242.63557833089328</v>
      </c>
      <c r="K1187">
        <f t="shared" si="93"/>
        <v>5.1814750484011682</v>
      </c>
      <c r="L1187">
        <f t="shared" si="94"/>
        <v>5.3215946020747484</v>
      </c>
    </row>
    <row r="1188" spans="1:12" x14ac:dyDescent="0.3">
      <c r="A1188">
        <v>5.2</v>
      </c>
      <c r="B1188">
        <v>5.4</v>
      </c>
      <c r="C1188">
        <v>5.3147877013177176</v>
      </c>
      <c r="D1188">
        <v>5.4679355783308887</v>
      </c>
      <c r="E1188">
        <f t="shared" si="90"/>
        <v>7.7981688742924105E-3</v>
      </c>
      <c r="F1188">
        <f t="shared" si="91"/>
        <v>1.3176216373805507E-2</v>
      </c>
      <c r="G1188">
        <f t="shared" si="92"/>
        <v>4.615242803152269E-3</v>
      </c>
      <c r="H1188">
        <v>177.90128843338192</v>
      </c>
      <c r="I1188">
        <v>162.98770131771641</v>
      </c>
      <c r="J1188">
        <v>242.63557833089328</v>
      </c>
      <c r="K1188">
        <f t="shared" si="93"/>
        <v>5.2453699841875583</v>
      </c>
      <c r="L1188">
        <f t="shared" si="94"/>
        <v>5.391733835437587</v>
      </c>
    </row>
    <row r="1189" spans="1:12" x14ac:dyDescent="0.3">
      <c r="A1189">
        <v>4.8</v>
      </c>
      <c r="B1189">
        <v>5.0999999999999996</v>
      </c>
      <c r="C1189">
        <v>5.3147877013177176</v>
      </c>
      <c r="D1189">
        <v>5.4679355783308887</v>
      </c>
      <c r="E1189">
        <f t="shared" si="90"/>
        <v>0.18940871060196349</v>
      </c>
      <c r="F1189">
        <f t="shared" si="91"/>
        <v>0.26500637742797983</v>
      </c>
      <c r="G1189">
        <f t="shared" si="92"/>
        <v>0.13537658980168582</v>
      </c>
      <c r="H1189">
        <v>177.90128843338192</v>
      </c>
      <c r="I1189">
        <v>162.98770131771641</v>
      </c>
      <c r="J1189">
        <v>242.63557833089328</v>
      </c>
      <c r="K1189">
        <f t="shared" si="93"/>
        <v>4.9540414631957344</v>
      </c>
      <c r="L1189">
        <f t="shared" si="94"/>
        <v>5.0719344825215966</v>
      </c>
    </row>
    <row r="1190" spans="1:12" x14ac:dyDescent="0.3">
      <c r="A1190">
        <v>5.3</v>
      </c>
      <c r="B1190">
        <v>5.5</v>
      </c>
      <c r="C1190">
        <v>5.3147877013177176</v>
      </c>
      <c r="D1190">
        <v>5.4679355783308887</v>
      </c>
      <c r="E1190">
        <f t="shared" si="90"/>
        <v>-4.7415909056817545E-4</v>
      </c>
      <c r="F1190">
        <f t="shared" si="91"/>
        <v>2.1867611026203226E-4</v>
      </c>
      <c r="G1190">
        <f t="shared" si="92"/>
        <v>1.0281271369745727E-3</v>
      </c>
      <c r="H1190">
        <v>177.90128843338192</v>
      </c>
      <c r="I1190">
        <v>162.98770131771641</v>
      </c>
      <c r="J1190">
        <v>242.63557833089328</v>
      </c>
      <c r="K1190">
        <f t="shared" si="93"/>
        <v>5.3377345524404198</v>
      </c>
      <c r="L1190">
        <f t="shared" si="94"/>
        <v>5.4931249696082753</v>
      </c>
    </row>
    <row r="1191" spans="1:12" x14ac:dyDescent="0.3">
      <c r="A1191">
        <v>5.0999999999999996</v>
      </c>
      <c r="B1191">
        <v>5.4</v>
      </c>
      <c r="C1191">
        <v>5.3147877013177176</v>
      </c>
      <c r="D1191">
        <v>5.4679355783308887</v>
      </c>
      <c r="E1191">
        <f t="shared" si="90"/>
        <v>1.4591726707381283E-2</v>
      </c>
      <c r="F1191">
        <f t="shared" si="91"/>
        <v>4.613375663734922E-2</v>
      </c>
      <c r="G1191">
        <f t="shared" si="92"/>
        <v>4.615242803152269E-3</v>
      </c>
      <c r="H1191">
        <v>177.90128843338192</v>
      </c>
      <c r="I1191">
        <v>162.98770131771641</v>
      </c>
      <c r="J1191">
        <v>242.63557833089328</v>
      </c>
      <c r="K1191">
        <f t="shared" si="93"/>
        <v>5.2311351679543217</v>
      </c>
      <c r="L1191">
        <f t="shared" si="94"/>
        <v>5.3761078850336625</v>
      </c>
    </row>
    <row r="1192" spans="1:12" x14ac:dyDescent="0.3">
      <c r="A1192">
        <v>5.2</v>
      </c>
      <c r="B1192">
        <v>5.3</v>
      </c>
      <c r="C1192">
        <v>5.3147877013177176</v>
      </c>
      <c r="D1192">
        <v>5.4679355783308887</v>
      </c>
      <c r="E1192">
        <f t="shared" si="90"/>
        <v>1.9276939006064215E-2</v>
      </c>
      <c r="F1192">
        <f t="shared" si="91"/>
        <v>1.3176216373805507E-2</v>
      </c>
      <c r="G1192">
        <f t="shared" si="92"/>
        <v>2.8202358469330124E-2</v>
      </c>
      <c r="H1192">
        <v>177.90128843338192</v>
      </c>
      <c r="I1192">
        <v>162.98770131771641</v>
      </c>
      <c r="J1192">
        <v>242.63557833089328</v>
      </c>
      <c r="K1192">
        <f t="shared" si="93"/>
        <v>5.1672402321679325</v>
      </c>
      <c r="L1192">
        <f t="shared" si="94"/>
        <v>5.305968651670824</v>
      </c>
    </row>
    <row r="1193" spans="1:12" x14ac:dyDescent="0.3">
      <c r="A1193">
        <v>5</v>
      </c>
      <c r="B1193">
        <v>5.0999999999999996</v>
      </c>
      <c r="C1193">
        <v>5.3147877013177176</v>
      </c>
      <c r="D1193">
        <v>5.4679355783308887</v>
      </c>
      <c r="E1193">
        <f t="shared" si="90"/>
        <v>0.1158215949357856</v>
      </c>
      <c r="F1193">
        <f t="shared" si="91"/>
        <v>9.9091296900892592E-2</v>
      </c>
      <c r="G1193">
        <f t="shared" si="92"/>
        <v>0.13537658980168582</v>
      </c>
      <c r="H1193">
        <v>177.90128843338192</v>
      </c>
      <c r="I1193">
        <v>162.98770131771641</v>
      </c>
      <c r="J1193">
        <v>242.63557833089328</v>
      </c>
      <c r="K1193">
        <f t="shared" si="93"/>
        <v>4.9825110956622076</v>
      </c>
      <c r="L1193">
        <f t="shared" si="94"/>
        <v>5.1031863833294464</v>
      </c>
    </row>
    <row r="1194" spans="1:12" x14ac:dyDescent="0.3">
      <c r="A1194">
        <v>5.2</v>
      </c>
      <c r="B1194">
        <v>5.2</v>
      </c>
      <c r="C1194">
        <v>5.3147877013177176</v>
      </c>
      <c r="D1194">
        <v>5.4679355783308887</v>
      </c>
      <c r="E1194">
        <f t="shared" si="90"/>
        <v>3.0755709137835915E-2</v>
      </c>
      <c r="F1194">
        <f t="shared" si="91"/>
        <v>1.3176216373805507E-2</v>
      </c>
      <c r="G1194">
        <f t="shared" si="92"/>
        <v>7.1789474135507708E-2</v>
      </c>
      <c r="H1194">
        <v>177.90128843338192</v>
      </c>
      <c r="I1194">
        <v>162.98770131771641</v>
      </c>
      <c r="J1194">
        <v>242.63557833089328</v>
      </c>
      <c r="K1194">
        <f t="shared" si="93"/>
        <v>5.0891104801483067</v>
      </c>
      <c r="L1194">
        <f t="shared" si="94"/>
        <v>5.2202034679040601</v>
      </c>
    </row>
    <row r="1195" spans="1:12" x14ac:dyDescent="0.3">
      <c r="A1195">
        <v>5.2</v>
      </c>
      <c r="B1195">
        <v>5.2</v>
      </c>
      <c r="C1195">
        <v>5.3147877013177176</v>
      </c>
      <c r="D1195">
        <v>5.4679355783308887</v>
      </c>
      <c r="E1195">
        <f t="shared" si="90"/>
        <v>3.0755709137835915E-2</v>
      </c>
      <c r="F1195">
        <f t="shared" si="91"/>
        <v>1.3176216373805507E-2</v>
      </c>
      <c r="G1195">
        <f t="shared" si="92"/>
        <v>7.1789474135507708E-2</v>
      </c>
      <c r="H1195">
        <v>177.90128843338192</v>
      </c>
      <c r="I1195">
        <v>162.98770131771641</v>
      </c>
      <c r="J1195">
        <v>242.63557833089328</v>
      </c>
      <c r="K1195">
        <f t="shared" si="93"/>
        <v>5.0891104801483067</v>
      </c>
      <c r="L1195">
        <f t="shared" si="94"/>
        <v>5.2202034679040601</v>
      </c>
    </row>
    <row r="1196" spans="1:12" x14ac:dyDescent="0.3">
      <c r="A1196">
        <v>5.2</v>
      </c>
      <c r="B1196">
        <v>5.2</v>
      </c>
      <c r="C1196">
        <v>5.3147877013177176</v>
      </c>
      <c r="D1196">
        <v>5.4679355783308887</v>
      </c>
      <c r="E1196">
        <f t="shared" si="90"/>
        <v>3.0755709137835915E-2</v>
      </c>
      <c r="F1196">
        <f t="shared" si="91"/>
        <v>1.3176216373805507E-2</v>
      </c>
      <c r="G1196">
        <f t="shared" si="92"/>
        <v>7.1789474135507708E-2</v>
      </c>
      <c r="H1196">
        <v>177.90128843338192</v>
      </c>
      <c r="I1196">
        <v>162.98770131771641</v>
      </c>
      <c r="J1196">
        <v>242.63557833089328</v>
      </c>
      <c r="K1196">
        <f t="shared" si="93"/>
        <v>5.0891104801483067</v>
      </c>
      <c r="L1196">
        <f t="shared" si="94"/>
        <v>5.2202034679040601</v>
      </c>
    </row>
    <row r="1197" spans="1:12" x14ac:dyDescent="0.3">
      <c r="A1197">
        <v>5.8</v>
      </c>
      <c r="B1197">
        <v>6.5</v>
      </c>
      <c r="C1197">
        <v>5.3147877013177176</v>
      </c>
      <c r="D1197">
        <v>5.4679355783308887</v>
      </c>
      <c r="E1197">
        <f t="shared" si="90"/>
        <v>0.50077035042626972</v>
      </c>
      <c r="F1197">
        <f t="shared" si="91"/>
        <v>0.23543097479254424</v>
      </c>
      <c r="G1197">
        <f t="shared" si="92"/>
        <v>1.0651569704751971</v>
      </c>
      <c r="H1197">
        <v>177.90128843338192</v>
      </c>
      <c r="I1197">
        <v>162.98770131771641</v>
      </c>
      <c r="J1197">
        <v>242.63557833089328</v>
      </c>
      <c r="K1197">
        <f t="shared" si="93"/>
        <v>6.190206153802861</v>
      </c>
      <c r="L1197">
        <f t="shared" si="94"/>
        <v>6.4289065592955357</v>
      </c>
    </row>
    <row r="1198" spans="1:12" x14ac:dyDescent="0.3">
      <c r="A1198">
        <v>5</v>
      </c>
      <c r="B1198">
        <v>5</v>
      </c>
      <c r="C1198">
        <v>5.3147877013177176</v>
      </c>
      <c r="D1198">
        <v>5.4679355783308887</v>
      </c>
      <c r="E1198">
        <f t="shared" si="90"/>
        <v>0.14730036506755725</v>
      </c>
      <c r="F1198">
        <f t="shared" si="91"/>
        <v>9.9091296900892592E-2</v>
      </c>
      <c r="G1198">
        <f t="shared" si="92"/>
        <v>0.21896370546786328</v>
      </c>
      <c r="H1198">
        <v>177.90128843338192</v>
      </c>
      <c r="I1198">
        <v>162.98770131771641</v>
      </c>
      <c r="J1198">
        <v>242.63557833089328</v>
      </c>
      <c r="K1198">
        <f t="shared" si="93"/>
        <v>4.9043813436425818</v>
      </c>
      <c r="L1198">
        <f t="shared" si="94"/>
        <v>5.0174211995626834</v>
      </c>
    </row>
    <row r="1199" spans="1:12" x14ac:dyDescent="0.3">
      <c r="A1199">
        <v>6.1</v>
      </c>
      <c r="B1199">
        <v>5.8</v>
      </c>
      <c r="C1199">
        <v>5.3147877013177176</v>
      </c>
      <c r="D1199">
        <v>5.4679355783308887</v>
      </c>
      <c r="E1199">
        <f t="shared" si="90"/>
        <v>0.26074106784940532</v>
      </c>
      <c r="F1199">
        <f t="shared" si="91"/>
        <v>0.61655835400191328</v>
      </c>
      <c r="G1199">
        <f t="shared" si="92"/>
        <v>0.11026678013844123</v>
      </c>
      <c r="H1199">
        <v>177.90128843338192</v>
      </c>
      <c r="I1199">
        <v>162.98770131771641</v>
      </c>
      <c r="J1199">
        <v>242.63557833089328</v>
      </c>
      <c r="K1199">
        <f t="shared" si="93"/>
        <v>5.6860023383651894</v>
      </c>
      <c r="L1199">
        <f t="shared" si="94"/>
        <v>5.8754281241399662</v>
      </c>
    </row>
    <row r="1200" spans="1:12" x14ac:dyDescent="0.3">
      <c r="A1200">
        <v>4.8</v>
      </c>
      <c r="B1200">
        <v>5</v>
      </c>
      <c r="C1200">
        <v>5.3147877013177176</v>
      </c>
      <c r="D1200">
        <v>5.4679355783308887</v>
      </c>
      <c r="E1200">
        <f t="shared" si="90"/>
        <v>0.24088748073373509</v>
      </c>
      <c r="F1200">
        <f t="shared" si="91"/>
        <v>0.26500637742797983</v>
      </c>
      <c r="G1200">
        <f t="shared" si="92"/>
        <v>0.21896370546786328</v>
      </c>
      <c r="H1200">
        <v>177.90128843338192</v>
      </c>
      <c r="I1200">
        <v>162.98770131771641</v>
      </c>
      <c r="J1200">
        <v>242.63557833089328</v>
      </c>
      <c r="K1200">
        <f t="shared" si="93"/>
        <v>4.8759117111761086</v>
      </c>
      <c r="L1200">
        <f t="shared" si="94"/>
        <v>4.9861692987548327</v>
      </c>
    </row>
    <row r="1201" spans="1:12" x14ac:dyDescent="0.3">
      <c r="A1201">
        <v>5.4</v>
      </c>
      <c r="B1201">
        <v>5.3</v>
      </c>
      <c r="C1201">
        <v>5.3147877013177176</v>
      </c>
      <c r="D1201">
        <v>5.4679355783308887</v>
      </c>
      <c r="E1201">
        <f t="shared" si="90"/>
        <v>-1.4310176660113597E-2</v>
      </c>
      <c r="F1201">
        <f t="shared" si="91"/>
        <v>7.2611358467185661E-3</v>
      </c>
      <c r="G1201">
        <f t="shared" si="92"/>
        <v>2.8202358469330124E-2</v>
      </c>
      <c r="H1201">
        <v>177.90128843338192</v>
      </c>
      <c r="I1201">
        <v>162.98770131771641</v>
      </c>
      <c r="J1201">
        <v>242.63557833089328</v>
      </c>
      <c r="K1201">
        <f t="shared" si="93"/>
        <v>5.1957098646344058</v>
      </c>
      <c r="L1201">
        <f t="shared" si="94"/>
        <v>5.3372205524786747</v>
      </c>
    </row>
    <row r="1202" spans="1:12" x14ac:dyDescent="0.3">
      <c r="A1202">
        <v>5.3</v>
      </c>
      <c r="B1202">
        <v>5.7</v>
      </c>
      <c r="C1202">
        <v>5.3147877013177176</v>
      </c>
      <c r="D1202">
        <v>5.4679355783308887</v>
      </c>
      <c r="E1202">
        <f t="shared" si="90"/>
        <v>-3.4316993541117346E-3</v>
      </c>
      <c r="F1202">
        <f t="shared" si="91"/>
        <v>2.1867611026203226E-4</v>
      </c>
      <c r="G1202">
        <f t="shared" si="92"/>
        <v>5.3853895804619169E-2</v>
      </c>
      <c r="H1202">
        <v>177.90128843338192</v>
      </c>
      <c r="I1202">
        <v>162.98770131771641</v>
      </c>
      <c r="J1202">
        <v>242.63557833089328</v>
      </c>
      <c r="K1202">
        <f t="shared" si="93"/>
        <v>5.4939940564796714</v>
      </c>
      <c r="L1202">
        <f t="shared" si="94"/>
        <v>5.6646553371418022</v>
      </c>
    </row>
    <row r="1203" spans="1:12" x14ac:dyDescent="0.3">
      <c r="A1203">
        <v>4.5999999999999996</v>
      </c>
      <c r="B1203">
        <v>5.3</v>
      </c>
      <c r="C1203">
        <v>5.3147877013177176</v>
      </c>
      <c r="D1203">
        <v>5.4679355783308887</v>
      </c>
      <c r="E1203">
        <f t="shared" si="90"/>
        <v>0.12003828600459765</v>
      </c>
      <c r="F1203">
        <f t="shared" si="91"/>
        <v>0.51092145795506716</v>
      </c>
      <c r="G1203">
        <f t="shared" si="92"/>
        <v>2.8202358469330124E-2</v>
      </c>
      <c r="H1203">
        <v>177.90128843338192</v>
      </c>
      <c r="I1203">
        <v>162.98770131771641</v>
      </c>
      <c r="J1203">
        <v>242.63557833089328</v>
      </c>
      <c r="K1203">
        <f t="shared" si="93"/>
        <v>5.0818313347685127</v>
      </c>
      <c r="L1203">
        <f t="shared" si="94"/>
        <v>5.2122129492472729</v>
      </c>
    </row>
    <row r="1204" spans="1:12" x14ac:dyDescent="0.3">
      <c r="A1204">
        <v>4.8</v>
      </c>
      <c r="B1204">
        <v>4.9000000000000004</v>
      </c>
      <c r="C1204">
        <v>5.3147877013177176</v>
      </c>
      <c r="D1204">
        <v>5.4679355783308887</v>
      </c>
      <c r="E1204">
        <f t="shared" si="90"/>
        <v>0.29236625086550666</v>
      </c>
      <c r="F1204">
        <f t="shared" si="91"/>
        <v>0.26500637742797983</v>
      </c>
      <c r="G1204">
        <f t="shared" si="92"/>
        <v>0.32255082113404066</v>
      </c>
      <c r="H1204">
        <v>177.90128843338192</v>
      </c>
      <c r="I1204">
        <v>162.98770131771641</v>
      </c>
      <c r="J1204">
        <v>242.63557833089328</v>
      </c>
      <c r="K1204">
        <f t="shared" si="93"/>
        <v>4.7977819591564828</v>
      </c>
      <c r="L1204">
        <f t="shared" si="94"/>
        <v>4.9004041149880697</v>
      </c>
    </row>
    <row r="1205" spans="1:12" x14ac:dyDescent="0.3">
      <c r="A1205">
        <v>4.5999999999999996</v>
      </c>
      <c r="B1205">
        <v>4.9000000000000004</v>
      </c>
      <c r="C1205">
        <v>5.3147877013177176</v>
      </c>
      <c r="D1205">
        <v>5.4679355783308887</v>
      </c>
      <c r="E1205">
        <f t="shared" si="90"/>
        <v>0.40595336653168446</v>
      </c>
      <c r="F1205">
        <f t="shared" si="91"/>
        <v>0.51092145795506716</v>
      </c>
      <c r="G1205">
        <f t="shared" si="92"/>
        <v>0.32255082113404066</v>
      </c>
      <c r="H1205">
        <v>177.90128843338192</v>
      </c>
      <c r="I1205">
        <v>162.98770131771641</v>
      </c>
      <c r="J1205">
        <v>242.63557833089328</v>
      </c>
      <c r="K1205">
        <f t="shared" si="93"/>
        <v>4.7693123266900095</v>
      </c>
      <c r="L1205">
        <f t="shared" si="94"/>
        <v>4.869152214180219</v>
      </c>
    </row>
    <row r="1206" spans="1:12" x14ac:dyDescent="0.3">
      <c r="A1206">
        <v>5.4</v>
      </c>
      <c r="B1206">
        <v>5.4</v>
      </c>
      <c r="C1206">
        <v>5.3147877013177176</v>
      </c>
      <c r="D1206">
        <v>5.4679355783308887</v>
      </c>
      <c r="E1206">
        <f t="shared" si="90"/>
        <v>-5.7889467918852758E-3</v>
      </c>
      <c r="F1206">
        <f t="shared" si="91"/>
        <v>7.2611358467185661E-3</v>
      </c>
      <c r="G1206">
        <f t="shared" si="92"/>
        <v>4.615242803152269E-3</v>
      </c>
      <c r="H1206">
        <v>177.90128843338192</v>
      </c>
      <c r="I1206">
        <v>162.98770131771641</v>
      </c>
      <c r="J1206">
        <v>242.63557833089328</v>
      </c>
      <c r="K1206">
        <f t="shared" si="93"/>
        <v>5.2738396166540316</v>
      </c>
      <c r="L1206">
        <f t="shared" si="94"/>
        <v>5.4229857362454377</v>
      </c>
    </row>
    <row r="1207" spans="1:12" x14ac:dyDescent="0.3">
      <c r="A1207">
        <v>5.3</v>
      </c>
      <c r="B1207">
        <v>5.0999999999999996</v>
      </c>
      <c r="C1207">
        <v>5.3147877013177176</v>
      </c>
      <c r="D1207">
        <v>5.4679355783308887</v>
      </c>
      <c r="E1207">
        <f t="shared" si="90"/>
        <v>5.440921436518943E-3</v>
      </c>
      <c r="F1207">
        <f t="shared" si="91"/>
        <v>2.1867611026203226E-4</v>
      </c>
      <c r="G1207">
        <f t="shared" si="92"/>
        <v>0.13537658980168582</v>
      </c>
      <c r="H1207">
        <v>177.90128843338192</v>
      </c>
      <c r="I1207">
        <v>162.98770131771641</v>
      </c>
      <c r="J1207">
        <v>242.63557833089328</v>
      </c>
      <c r="K1207">
        <f t="shared" si="93"/>
        <v>5.0252155443619166</v>
      </c>
      <c r="L1207">
        <f t="shared" si="94"/>
        <v>5.1500642345412215</v>
      </c>
    </row>
    <row r="1208" spans="1:12" x14ac:dyDescent="0.3">
      <c r="A1208">
        <v>5.2</v>
      </c>
      <c r="B1208">
        <v>5.2</v>
      </c>
      <c r="C1208">
        <v>5.3147877013177176</v>
      </c>
      <c r="D1208">
        <v>5.4679355783308887</v>
      </c>
      <c r="E1208">
        <f t="shared" si="90"/>
        <v>3.0755709137835915E-2</v>
      </c>
      <c r="F1208">
        <f t="shared" si="91"/>
        <v>1.3176216373805507E-2</v>
      </c>
      <c r="G1208">
        <f t="shared" si="92"/>
        <v>7.1789474135507708E-2</v>
      </c>
      <c r="H1208">
        <v>177.90128843338192</v>
      </c>
      <c r="I1208">
        <v>162.98770131771641</v>
      </c>
      <c r="J1208">
        <v>242.63557833089328</v>
      </c>
      <c r="K1208">
        <f t="shared" si="93"/>
        <v>5.0891104801483067</v>
      </c>
      <c r="L1208">
        <f t="shared" si="94"/>
        <v>5.2202034679040601</v>
      </c>
    </row>
    <row r="1209" spans="1:12" x14ac:dyDescent="0.3">
      <c r="A1209">
        <v>5</v>
      </c>
      <c r="B1209">
        <v>5.0999999999999996</v>
      </c>
      <c r="C1209">
        <v>5.3147877013177176</v>
      </c>
      <c r="D1209">
        <v>5.4679355783308887</v>
      </c>
      <c r="E1209">
        <f t="shared" si="90"/>
        <v>0.1158215949357856</v>
      </c>
      <c r="F1209">
        <f t="shared" si="91"/>
        <v>9.9091296900892592E-2</v>
      </c>
      <c r="G1209">
        <f t="shared" si="92"/>
        <v>0.13537658980168582</v>
      </c>
      <c r="H1209">
        <v>177.90128843338192</v>
      </c>
      <c r="I1209">
        <v>162.98770131771641</v>
      </c>
      <c r="J1209">
        <v>242.63557833089328</v>
      </c>
      <c r="K1209">
        <f t="shared" si="93"/>
        <v>4.9825110956622076</v>
      </c>
      <c r="L1209">
        <f t="shared" si="94"/>
        <v>5.1031863833294464</v>
      </c>
    </row>
    <row r="1210" spans="1:12" x14ac:dyDescent="0.3">
      <c r="A1210">
        <v>5.2</v>
      </c>
      <c r="B1210">
        <v>5.3</v>
      </c>
      <c r="C1210">
        <v>5.3147877013177176</v>
      </c>
      <c r="D1210">
        <v>5.4679355783308887</v>
      </c>
      <c r="E1210">
        <f t="shared" si="90"/>
        <v>1.9276939006064215E-2</v>
      </c>
      <c r="F1210">
        <f t="shared" si="91"/>
        <v>1.3176216373805507E-2</v>
      </c>
      <c r="G1210">
        <f t="shared" si="92"/>
        <v>2.8202358469330124E-2</v>
      </c>
      <c r="H1210">
        <v>177.90128843338192</v>
      </c>
      <c r="I1210">
        <v>162.98770131771641</v>
      </c>
      <c r="J1210">
        <v>242.63557833089328</v>
      </c>
      <c r="K1210">
        <f t="shared" si="93"/>
        <v>5.1672402321679325</v>
      </c>
      <c r="L1210">
        <f t="shared" si="94"/>
        <v>5.305968651670824</v>
      </c>
    </row>
    <row r="1211" spans="1:12" x14ac:dyDescent="0.3">
      <c r="A1211">
        <v>5.5</v>
      </c>
      <c r="B1211">
        <v>6.1</v>
      </c>
      <c r="C1211">
        <v>5.3147877013177176</v>
      </c>
      <c r="D1211">
        <v>5.4679355783308887</v>
      </c>
      <c r="E1211">
        <f t="shared" si="90"/>
        <v>0.11706610445262346</v>
      </c>
      <c r="F1211">
        <f t="shared" si="91"/>
        <v>3.4303595583174987E-2</v>
      </c>
      <c r="G1211">
        <f t="shared" si="92"/>
        <v>0.39950543313990766</v>
      </c>
      <c r="H1211">
        <v>177.90128843338192</v>
      </c>
      <c r="I1211">
        <v>162.98770131771641</v>
      </c>
      <c r="J1211">
        <v>242.63557833089328</v>
      </c>
      <c r="K1211">
        <f t="shared" si="93"/>
        <v>5.8349826970246479</v>
      </c>
      <c r="L1211">
        <f t="shared" si="94"/>
        <v>6.0389679730167058</v>
      </c>
    </row>
    <row r="1212" spans="1:12" x14ac:dyDescent="0.3">
      <c r="A1212">
        <v>6</v>
      </c>
      <c r="B1212">
        <v>6.4</v>
      </c>
      <c r="C1212">
        <v>5.3147877013177176</v>
      </c>
      <c r="D1212">
        <v>5.4679355783308887</v>
      </c>
      <c r="E1212">
        <f t="shared" si="90"/>
        <v>0.63866200489186409</v>
      </c>
      <c r="F1212">
        <f t="shared" si="91"/>
        <v>0.46951589426545737</v>
      </c>
      <c r="G1212">
        <f t="shared" si="92"/>
        <v>0.86874408614137555</v>
      </c>
      <c r="H1212">
        <v>177.90128843338192</v>
      </c>
      <c r="I1212">
        <v>162.98770131771641</v>
      </c>
      <c r="J1212">
        <v>242.63557833089328</v>
      </c>
      <c r="K1212">
        <f t="shared" si="93"/>
        <v>6.1405460342497094</v>
      </c>
      <c r="L1212">
        <f t="shared" si="94"/>
        <v>6.3743932763366233</v>
      </c>
    </row>
    <row r="1213" spans="1:12" x14ac:dyDescent="0.3">
      <c r="A1213">
        <v>5</v>
      </c>
      <c r="B1213">
        <v>5.3</v>
      </c>
      <c r="C1213">
        <v>5.3147877013177176</v>
      </c>
      <c r="D1213">
        <v>5.4679355783308887</v>
      </c>
      <c r="E1213">
        <f t="shared" si="90"/>
        <v>5.2864054672242027E-2</v>
      </c>
      <c r="F1213">
        <f t="shared" si="91"/>
        <v>9.9091296900892592E-2</v>
      </c>
      <c r="G1213">
        <f t="shared" si="92"/>
        <v>2.8202358469330124E-2</v>
      </c>
      <c r="H1213">
        <v>177.90128843338192</v>
      </c>
      <c r="I1213">
        <v>162.98770131771641</v>
      </c>
      <c r="J1213">
        <v>242.63557833089328</v>
      </c>
      <c r="K1213">
        <f t="shared" si="93"/>
        <v>5.1387705997014592</v>
      </c>
      <c r="L1213">
        <f t="shared" si="94"/>
        <v>5.2747167508629733</v>
      </c>
    </row>
    <row r="1214" spans="1:12" x14ac:dyDescent="0.3">
      <c r="A1214">
        <v>5.0999999999999996</v>
      </c>
      <c r="B1214">
        <v>5</v>
      </c>
      <c r="C1214">
        <v>5.3147877013177176</v>
      </c>
      <c r="D1214">
        <v>5.4679355783308887</v>
      </c>
      <c r="E1214">
        <f t="shared" si="90"/>
        <v>0.10050680723446855</v>
      </c>
      <c r="F1214">
        <f t="shared" si="91"/>
        <v>4.613375663734922E-2</v>
      </c>
      <c r="G1214">
        <f t="shared" si="92"/>
        <v>0.21896370546786328</v>
      </c>
      <c r="H1214">
        <v>177.90128843338192</v>
      </c>
      <c r="I1214">
        <v>162.98770131771641</v>
      </c>
      <c r="J1214">
        <v>242.63557833089328</v>
      </c>
      <c r="K1214">
        <f t="shared" si="93"/>
        <v>4.9186161598758185</v>
      </c>
      <c r="L1214">
        <f t="shared" si="94"/>
        <v>5.0330471499666087</v>
      </c>
    </row>
    <row r="1215" spans="1:12" x14ac:dyDescent="0.3">
      <c r="A1215">
        <v>5.4</v>
      </c>
      <c r="B1215">
        <v>5.5</v>
      </c>
      <c r="C1215">
        <v>5.3147877013177176</v>
      </c>
      <c r="D1215">
        <v>5.4679355783308887</v>
      </c>
      <c r="E1215">
        <f t="shared" si="90"/>
        <v>2.7322830763429691E-3</v>
      </c>
      <c r="F1215">
        <f t="shared" si="91"/>
        <v>7.2611358467185661E-3</v>
      </c>
      <c r="G1215">
        <f t="shared" si="92"/>
        <v>1.0281271369745727E-3</v>
      </c>
      <c r="H1215">
        <v>177.90128843338192</v>
      </c>
      <c r="I1215">
        <v>162.98770131771641</v>
      </c>
      <c r="J1215">
        <v>242.63557833089328</v>
      </c>
      <c r="K1215">
        <f t="shared" si="93"/>
        <v>5.3519693686736574</v>
      </c>
      <c r="L1215">
        <f t="shared" si="94"/>
        <v>5.5087509200122016</v>
      </c>
    </row>
    <row r="1216" spans="1:12" x14ac:dyDescent="0.3">
      <c r="A1216">
        <v>5.3</v>
      </c>
      <c r="B1216">
        <v>5.4</v>
      </c>
      <c r="C1216">
        <v>5.3147877013177176</v>
      </c>
      <c r="D1216">
        <v>5.4679355783308887</v>
      </c>
      <c r="E1216">
        <f t="shared" si="90"/>
        <v>1.0046110412035977E-3</v>
      </c>
      <c r="F1216">
        <f t="shared" si="91"/>
        <v>2.1867611026203226E-4</v>
      </c>
      <c r="G1216">
        <f t="shared" si="92"/>
        <v>4.615242803152269E-3</v>
      </c>
      <c r="H1216">
        <v>177.90128843338192</v>
      </c>
      <c r="I1216">
        <v>162.98770131771641</v>
      </c>
      <c r="J1216">
        <v>242.63557833089328</v>
      </c>
      <c r="K1216">
        <f t="shared" si="93"/>
        <v>5.2596048004207958</v>
      </c>
      <c r="L1216">
        <f t="shared" si="94"/>
        <v>5.4073597858415132</v>
      </c>
    </row>
    <row r="1217" spans="1:12" x14ac:dyDescent="0.3">
      <c r="A1217">
        <v>5.5</v>
      </c>
      <c r="B1217">
        <v>6</v>
      </c>
      <c r="C1217">
        <v>5.3147877013177176</v>
      </c>
      <c r="D1217">
        <v>5.4679355783308887</v>
      </c>
      <c r="E1217">
        <f t="shared" si="90"/>
        <v>9.8544874584395287E-2</v>
      </c>
      <c r="F1217">
        <f t="shared" si="91"/>
        <v>3.4303595583174987E-2</v>
      </c>
      <c r="G1217">
        <f t="shared" si="92"/>
        <v>0.28309254880608586</v>
      </c>
      <c r="H1217">
        <v>177.90128843338192</v>
      </c>
      <c r="I1217">
        <v>162.98770131771641</v>
      </c>
      <c r="J1217">
        <v>242.63557833089328</v>
      </c>
      <c r="K1217">
        <f t="shared" si="93"/>
        <v>5.756852945005023</v>
      </c>
      <c r="L1217">
        <f t="shared" si="94"/>
        <v>5.9532027892499437</v>
      </c>
    </row>
    <row r="1218" spans="1:12" x14ac:dyDescent="0.3">
      <c r="A1218">
        <v>5.0999999999999996</v>
      </c>
      <c r="B1218">
        <v>5.4</v>
      </c>
      <c r="C1218">
        <v>5.3147877013177176</v>
      </c>
      <c r="D1218">
        <v>5.4679355783308887</v>
      </c>
      <c r="E1218">
        <f t="shared" si="90"/>
        <v>1.4591726707381283E-2</v>
      </c>
      <c r="F1218">
        <f t="shared" si="91"/>
        <v>4.613375663734922E-2</v>
      </c>
      <c r="G1218">
        <f t="shared" si="92"/>
        <v>4.615242803152269E-3</v>
      </c>
      <c r="H1218">
        <v>177.90128843338192</v>
      </c>
      <c r="I1218">
        <v>162.98770131771641</v>
      </c>
      <c r="J1218">
        <v>242.63557833089328</v>
      </c>
      <c r="K1218">
        <f t="shared" si="93"/>
        <v>5.2311351679543217</v>
      </c>
      <c r="L1218">
        <f t="shared" si="94"/>
        <v>5.3761078850336625</v>
      </c>
    </row>
    <row r="1219" spans="1:12" x14ac:dyDescent="0.3">
      <c r="A1219">
        <v>4.8</v>
      </c>
      <c r="B1219">
        <v>4.7</v>
      </c>
      <c r="C1219">
        <v>5.3147877013177176</v>
      </c>
      <c r="D1219">
        <v>5.4679355783308887</v>
      </c>
      <c r="E1219">
        <f t="shared" ref="E1219:E1282" si="95">(A1219-C1219)*(B1219-D1219)</f>
        <v>0.39532379112905031</v>
      </c>
      <c r="F1219">
        <f t="shared" ref="F1219:F1282" si="96">(A1219-C1219)^2</f>
        <v>0.26500637742797983</v>
      </c>
      <c r="G1219">
        <f t="shared" ref="G1219:G1282" si="97">(B1219-D1219)^2</f>
        <v>0.58972505246639628</v>
      </c>
      <c r="H1219">
        <v>177.90128843338192</v>
      </c>
      <c r="I1219">
        <v>162.98770131771641</v>
      </c>
      <c r="J1219">
        <v>242.63557833089328</v>
      </c>
      <c r="K1219">
        <f t="shared" ref="K1219:K1282" si="98">(1.097727582*(B1219+0.366253474)+0.2*A1219)/(0.2+1.097727582^2)</f>
        <v>4.6415224551172312</v>
      </c>
      <c r="L1219">
        <f t="shared" ref="L1219:L1282" si="99">1.097727582*K1219-0.366253474</f>
        <v>4.7288737474545428</v>
      </c>
    </row>
    <row r="1220" spans="1:12" x14ac:dyDescent="0.3">
      <c r="A1220">
        <v>5.2</v>
      </c>
      <c r="B1220">
        <v>5.3</v>
      </c>
      <c r="C1220">
        <v>5.3147877013177176</v>
      </c>
      <c r="D1220">
        <v>5.4679355783308887</v>
      </c>
      <c r="E1220">
        <f t="shared" si="95"/>
        <v>1.9276939006064215E-2</v>
      </c>
      <c r="F1220">
        <f t="shared" si="96"/>
        <v>1.3176216373805507E-2</v>
      </c>
      <c r="G1220">
        <f t="shared" si="97"/>
        <v>2.8202358469330124E-2</v>
      </c>
      <c r="H1220">
        <v>177.90128843338192</v>
      </c>
      <c r="I1220">
        <v>162.98770131771641</v>
      </c>
      <c r="J1220">
        <v>242.63557833089328</v>
      </c>
      <c r="K1220">
        <f t="shared" si="98"/>
        <v>5.1672402321679325</v>
      </c>
      <c r="L1220">
        <f t="shared" si="99"/>
        <v>5.305968651670824</v>
      </c>
    </row>
    <row r="1221" spans="1:12" x14ac:dyDescent="0.3">
      <c r="A1221">
        <v>5.3</v>
      </c>
      <c r="B1221">
        <v>5.6</v>
      </c>
      <c r="C1221">
        <v>5.3147877013177176</v>
      </c>
      <c r="D1221">
        <v>5.4679355783308887</v>
      </c>
      <c r="E1221">
        <f t="shared" si="95"/>
        <v>-1.9529292223399485E-3</v>
      </c>
      <c r="F1221">
        <f t="shared" si="96"/>
        <v>2.1867611026203226E-4</v>
      </c>
      <c r="G1221">
        <f t="shared" si="97"/>
        <v>1.7441011470796734E-2</v>
      </c>
      <c r="H1221">
        <v>177.90128843338192</v>
      </c>
      <c r="I1221">
        <v>162.98770131771641</v>
      </c>
      <c r="J1221">
        <v>242.63557833089328</v>
      </c>
      <c r="K1221">
        <f t="shared" si="98"/>
        <v>5.4158643044600456</v>
      </c>
      <c r="L1221">
        <f t="shared" si="99"/>
        <v>5.5788901533750384</v>
      </c>
    </row>
    <row r="1222" spans="1:12" x14ac:dyDescent="0.3">
      <c r="A1222">
        <v>5.2</v>
      </c>
      <c r="B1222">
        <v>5.3</v>
      </c>
      <c r="C1222">
        <v>5.3147877013177176</v>
      </c>
      <c r="D1222">
        <v>5.4679355783308887</v>
      </c>
      <c r="E1222">
        <f t="shared" si="95"/>
        <v>1.9276939006064215E-2</v>
      </c>
      <c r="F1222">
        <f t="shared" si="96"/>
        <v>1.3176216373805507E-2</v>
      </c>
      <c r="G1222">
        <f t="shared" si="97"/>
        <v>2.8202358469330124E-2</v>
      </c>
      <c r="H1222">
        <v>177.90128843338192</v>
      </c>
      <c r="I1222">
        <v>162.98770131771641</v>
      </c>
      <c r="J1222">
        <v>242.63557833089328</v>
      </c>
      <c r="K1222">
        <f t="shared" si="98"/>
        <v>5.1672402321679325</v>
      </c>
      <c r="L1222">
        <f t="shared" si="99"/>
        <v>5.305968651670824</v>
      </c>
    </row>
    <row r="1223" spans="1:12" x14ac:dyDescent="0.3">
      <c r="A1223">
        <v>6</v>
      </c>
      <c r="B1223">
        <v>5.9</v>
      </c>
      <c r="C1223">
        <v>5.3147877013177176</v>
      </c>
      <c r="D1223">
        <v>5.4679355783308887</v>
      </c>
      <c r="E1223">
        <f t="shared" si="95"/>
        <v>0.29605585555072295</v>
      </c>
      <c r="F1223">
        <f t="shared" si="96"/>
        <v>0.46951589426545737</v>
      </c>
      <c r="G1223">
        <f t="shared" si="97"/>
        <v>0.18667966447226389</v>
      </c>
      <c r="H1223">
        <v>177.90128843338192</v>
      </c>
      <c r="I1223">
        <v>162.98770131771641</v>
      </c>
      <c r="J1223">
        <v>242.63557833089328</v>
      </c>
      <c r="K1223">
        <f t="shared" si="98"/>
        <v>5.7498972741515804</v>
      </c>
      <c r="L1223">
        <f t="shared" si="99"/>
        <v>5.9455673575028065</v>
      </c>
    </row>
    <row r="1224" spans="1:12" x14ac:dyDescent="0.3">
      <c r="A1224">
        <v>5.7</v>
      </c>
      <c r="B1224">
        <v>6</v>
      </c>
      <c r="C1224">
        <v>5.3147877013177176</v>
      </c>
      <c r="D1224">
        <v>5.4679355783308887</v>
      </c>
      <c r="E1224">
        <f t="shared" si="95"/>
        <v>0.20495775891821763</v>
      </c>
      <c r="F1224">
        <f t="shared" si="96"/>
        <v>0.14838851505608808</v>
      </c>
      <c r="G1224">
        <f t="shared" si="97"/>
        <v>0.28309254880608586</v>
      </c>
      <c r="H1224">
        <v>177.90128843338192</v>
      </c>
      <c r="I1224">
        <v>162.98770131771641</v>
      </c>
      <c r="J1224">
        <v>242.63557833089328</v>
      </c>
      <c r="K1224">
        <f t="shared" si="98"/>
        <v>5.7853225774714954</v>
      </c>
      <c r="L1224">
        <f t="shared" si="99"/>
        <v>5.9844546900577935</v>
      </c>
    </row>
    <row r="1225" spans="1:12" x14ac:dyDescent="0.3">
      <c r="A1225">
        <v>6</v>
      </c>
      <c r="B1225">
        <v>6.5</v>
      </c>
      <c r="C1225">
        <v>5.3147877013177176</v>
      </c>
      <c r="D1225">
        <v>5.4679355783308887</v>
      </c>
      <c r="E1225">
        <f t="shared" si="95"/>
        <v>0.70718323476009215</v>
      </c>
      <c r="F1225">
        <f t="shared" si="96"/>
        <v>0.46951589426545737</v>
      </c>
      <c r="G1225">
        <f t="shared" si="97"/>
        <v>1.0651569704751971</v>
      </c>
      <c r="H1225">
        <v>177.90128843338192</v>
      </c>
      <c r="I1225">
        <v>162.98770131771641</v>
      </c>
      <c r="J1225">
        <v>242.63557833089328</v>
      </c>
      <c r="K1225">
        <f t="shared" si="98"/>
        <v>6.2186757862693351</v>
      </c>
      <c r="L1225">
        <f t="shared" si="99"/>
        <v>6.4601584601033872</v>
      </c>
    </row>
    <row r="1226" spans="1:12" x14ac:dyDescent="0.3">
      <c r="A1226">
        <v>5.7</v>
      </c>
      <c r="B1226">
        <v>6</v>
      </c>
      <c r="C1226">
        <v>5.3147877013177176</v>
      </c>
      <c r="D1226">
        <v>5.4679355783308887</v>
      </c>
      <c r="E1226">
        <f t="shared" si="95"/>
        <v>0.20495775891821763</v>
      </c>
      <c r="F1226">
        <f t="shared" si="96"/>
        <v>0.14838851505608808</v>
      </c>
      <c r="G1226">
        <f t="shared" si="97"/>
        <v>0.28309254880608586</v>
      </c>
      <c r="H1226">
        <v>177.90128843338192</v>
      </c>
      <c r="I1226">
        <v>162.98770131771641</v>
      </c>
      <c r="J1226">
        <v>242.63557833089328</v>
      </c>
      <c r="K1226">
        <f t="shared" si="98"/>
        <v>5.7853225774714954</v>
      </c>
      <c r="L1226">
        <f t="shared" si="99"/>
        <v>5.9844546900577935</v>
      </c>
    </row>
    <row r="1227" spans="1:12" x14ac:dyDescent="0.3">
      <c r="A1227">
        <v>5.6</v>
      </c>
      <c r="B1227">
        <v>5.5</v>
      </c>
      <c r="C1227">
        <v>5.3147877013177176</v>
      </c>
      <c r="D1227">
        <v>5.4679355783308887</v>
      </c>
      <c r="E1227">
        <f t="shared" si="95"/>
        <v>9.1451674101652013E-3</v>
      </c>
      <c r="F1227">
        <f t="shared" si="96"/>
        <v>8.1346055319631266E-2</v>
      </c>
      <c r="G1227">
        <f t="shared" si="97"/>
        <v>1.0281271369745727E-3</v>
      </c>
      <c r="H1227">
        <v>177.90128843338192</v>
      </c>
      <c r="I1227">
        <v>162.98770131771641</v>
      </c>
      <c r="J1227">
        <v>242.63557833089328</v>
      </c>
      <c r="K1227">
        <f t="shared" si="98"/>
        <v>5.3804390011401306</v>
      </c>
      <c r="L1227">
        <f t="shared" si="99"/>
        <v>5.5400028208200514</v>
      </c>
    </row>
    <row r="1228" spans="1:12" x14ac:dyDescent="0.3">
      <c r="A1228">
        <v>5</v>
      </c>
      <c r="B1228">
        <v>5.2</v>
      </c>
      <c r="C1228">
        <v>5.3147877013177176</v>
      </c>
      <c r="D1228">
        <v>5.4679355783308887</v>
      </c>
      <c r="E1228">
        <f t="shared" si="95"/>
        <v>8.4342824804013672E-2</v>
      </c>
      <c r="F1228">
        <f t="shared" si="96"/>
        <v>9.9091296900892592E-2</v>
      </c>
      <c r="G1228">
        <f t="shared" si="97"/>
        <v>7.1789474135507708E-2</v>
      </c>
      <c r="H1228">
        <v>177.90128843338192</v>
      </c>
      <c r="I1228">
        <v>162.98770131771641</v>
      </c>
      <c r="J1228">
        <v>242.63557833089328</v>
      </c>
      <c r="K1228">
        <f t="shared" si="98"/>
        <v>5.0606408476818334</v>
      </c>
      <c r="L1228">
        <f t="shared" si="99"/>
        <v>5.1889515670962103</v>
      </c>
    </row>
    <row r="1229" spans="1:12" x14ac:dyDescent="0.3">
      <c r="A1229">
        <v>4.9000000000000004</v>
      </c>
      <c r="B1229">
        <v>5.3</v>
      </c>
      <c r="C1229">
        <v>5.3147877013177176</v>
      </c>
      <c r="D1229">
        <v>5.4679355783308887</v>
      </c>
      <c r="E1229">
        <f t="shared" si="95"/>
        <v>6.9657612505330854E-2</v>
      </c>
      <c r="F1229">
        <f t="shared" si="96"/>
        <v>0.17204883716443581</v>
      </c>
      <c r="G1229">
        <f t="shared" si="97"/>
        <v>2.8202358469330124E-2</v>
      </c>
      <c r="H1229">
        <v>177.90128843338192</v>
      </c>
      <c r="I1229">
        <v>162.98770131771641</v>
      </c>
      <c r="J1229">
        <v>242.63557833089328</v>
      </c>
      <c r="K1229">
        <f t="shared" si="98"/>
        <v>5.1245357834682226</v>
      </c>
      <c r="L1229">
        <f t="shared" si="99"/>
        <v>5.259090800459048</v>
      </c>
    </row>
    <row r="1230" spans="1:12" x14ac:dyDescent="0.3">
      <c r="A1230">
        <v>4.8</v>
      </c>
      <c r="B1230">
        <v>5.3</v>
      </c>
      <c r="C1230">
        <v>5.3147877013177176</v>
      </c>
      <c r="D1230">
        <v>5.4679355783308887</v>
      </c>
      <c r="E1230">
        <f t="shared" si="95"/>
        <v>8.6451170338419828E-2</v>
      </c>
      <c r="F1230">
        <f t="shared" si="96"/>
        <v>0.26500637742797983</v>
      </c>
      <c r="G1230">
        <f t="shared" si="97"/>
        <v>2.8202358469330124E-2</v>
      </c>
      <c r="H1230">
        <v>177.90128843338192</v>
      </c>
      <c r="I1230">
        <v>162.98770131771641</v>
      </c>
      <c r="J1230">
        <v>242.63557833089328</v>
      </c>
      <c r="K1230">
        <f t="shared" si="98"/>
        <v>5.1103009672349859</v>
      </c>
      <c r="L1230">
        <f t="shared" si="99"/>
        <v>5.2434648500551235</v>
      </c>
    </row>
    <row r="1231" spans="1:12" x14ac:dyDescent="0.3">
      <c r="A1231">
        <v>5.5</v>
      </c>
      <c r="B1231">
        <v>6.1</v>
      </c>
      <c r="C1231">
        <v>5.3147877013177176</v>
      </c>
      <c r="D1231">
        <v>5.4679355783308887</v>
      </c>
      <c r="E1231">
        <f t="shared" si="95"/>
        <v>0.11706610445262346</v>
      </c>
      <c r="F1231">
        <f t="shared" si="96"/>
        <v>3.4303595583174987E-2</v>
      </c>
      <c r="G1231">
        <f t="shared" si="97"/>
        <v>0.39950543313990766</v>
      </c>
      <c r="H1231">
        <v>177.90128843338192</v>
      </c>
      <c r="I1231">
        <v>162.98770131771641</v>
      </c>
      <c r="J1231">
        <v>242.63557833089328</v>
      </c>
      <c r="K1231">
        <f t="shared" si="98"/>
        <v>5.8349826970246479</v>
      </c>
      <c r="L1231">
        <f t="shared" si="99"/>
        <v>6.0389679730167058</v>
      </c>
    </row>
    <row r="1232" spans="1:12" x14ac:dyDescent="0.3">
      <c r="A1232">
        <v>5.4</v>
      </c>
      <c r="B1232">
        <v>5.5</v>
      </c>
      <c r="C1232">
        <v>5.3147877013177176</v>
      </c>
      <c r="D1232">
        <v>5.4679355783308887</v>
      </c>
      <c r="E1232">
        <f t="shared" si="95"/>
        <v>2.7322830763429691E-3</v>
      </c>
      <c r="F1232">
        <f t="shared" si="96"/>
        <v>7.2611358467185661E-3</v>
      </c>
      <c r="G1232">
        <f t="shared" si="97"/>
        <v>1.0281271369745727E-3</v>
      </c>
      <c r="H1232">
        <v>177.90128843338192</v>
      </c>
      <c r="I1232">
        <v>162.98770131771641</v>
      </c>
      <c r="J1232">
        <v>242.63557833089328</v>
      </c>
      <c r="K1232">
        <f t="shared" si="98"/>
        <v>5.3519693686736574</v>
      </c>
      <c r="L1232">
        <f t="shared" si="99"/>
        <v>5.5087509200122016</v>
      </c>
    </row>
    <row r="1233" spans="1:12" x14ac:dyDescent="0.3">
      <c r="A1233">
        <v>5.2</v>
      </c>
      <c r="B1233">
        <v>5.0999999999999996</v>
      </c>
      <c r="C1233">
        <v>5.3147877013177176</v>
      </c>
      <c r="D1233">
        <v>5.4679355783308887</v>
      </c>
      <c r="E1233">
        <f t="shared" si="95"/>
        <v>4.2234479269607723E-2</v>
      </c>
      <c r="F1233">
        <f t="shared" si="96"/>
        <v>1.3176216373805507E-2</v>
      </c>
      <c r="G1233">
        <f t="shared" si="97"/>
        <v>0.13537658980168582</v>
      </c>
      <c r="H1233">
        <v>177.90128843338192</v>
      </c>
      <c r="I1233">
        <v>162.98770131771641</v>
      </c>
      <c r="J1233">
        <v>242.63557833089328</v>
      </c>
      <c r="K1233">
        <f t="shared" si="98"/>
        <v>5.0109807281286809</v>
      </c>
      <c r="L1233">
        <f t="shared" si="99"/>
        <v>5.1344382841372971</v>
      </c>
    </row>
    <row r="1234" spans="1:12" x14ac:dyDescent="0.3">
      <c r="A1234">
        <v>5.3</v>
      </c>
      <c r="B1234">
        <v>5.3</v>
      </c>
      <c r="C1234">
        <v>5.3147877013177176</v>
      </c>
      <c r="D1234">
        <v>5.4679355783308887</v>
      </c>
      <c r="E1234">
        <f t="shared" si="95"/>
        <v>2.4833811729753838E-3</v>
      </c>
      <c r="F1234">
        <f t="shared" si="96"/>
        <v>2.1867611026203226E-4</v>
      </c>
      <c r="G1234">
        <f t="shared" si="97"/>
        <v>2.8202358469330124E-2</v>
      </c>
      <c r="H1234">
        <v>177.90128843338192</v>
      </c>
      <c r="I1234">
        <v>162.98770131771641</v>
      </c>
      <c r="J1234">
        <v>242.63557833089328</v>
      </c>
      <c r="K1234">
        <f t="shared" si="98"/>
        <v>5.1814750484011682</v>
      </c>
      <c r="L1234">
        <f t="shared" si="99"/>
        <v>5.3215946020747484</v>
      </c>
    </row>
    <row r="1235" spans="1:12" x14ac:dyDescent="0.3">
      <c r="A1235">
        <v>5.0999999999999996</v>
      </c>
      <c r="B1235">
        <v>5.0999999999999996</v>
      </c>
      <c r="C1235">
        <v>5.3147877013177176</v>
      </c>
      <c r="D1235">
        <v>5.4679355783308887</v>
      </c>
      <c r="E1235">
        <f t="shared" si="95"/>
        <v>7.9028037102696819E-2</v>
      </c>
      <c r="F1235">
        <f t="shared" si="96"/>
        <v>4.613375663734922E-2</v>
      </c>
      <c r="G1235">
        <f t="shared" si="97"/>
        <v>0.13537658980168582</v>
      </c>
      <c r="H1235">
        <v>177.90128843338192</v>
      </c>
      <c r="I1235">
        <v>162.98770131771641</v>
      </c>
      <c r="J1235">
        <v>242.63557833089328</v>
      </c>
      <c r="K1235">
        <f t="shared" si="98"/>
        <v>4.9967459118954443</v>
      </c>
      <c r="L1235">
        <f t="shared" si="99"/>
        <v>5.1188123337333717</v>
      </c>
    </row>
    <row r="1236" spans="1:12" x14ac:dyDescent="0.3">
      <c r="A1236">
        <v>5.9</v>
      </c>
      <c r="B1236">
        <v>6.1</v>
      </c>
      <c r="C1236">
        <v>5.3147877013177176</v>
      </c>
      <c r="D1236">
        <v>5.4679355783308887</v>
      </c>
      <c r="E1236">
        <f t="shared" si="95"/>
        <v>0.36989187312026806</v>
      </c>
      <c r="F1236">
        <f t="shared" si="96"/>
        <v>0.34247343452900131</v>
      </c>
      <c r="G1236">
        <f t="shared" si="97"/>
        <v>0.39950543313990766</v>
      </c>
      <c r="H1236">
        <v>177.90128843338192</v>
      </c>
      <c r="I1236">
        <v>162.98770131771641</v>
      </c>
      <c r="J1236">
        <v>242.63557833089328</v>
      </c>
      <c r="K1236">
        <f t="shared" si="98"/>
        <v>5.8919219619575944</v>
      </c>
      <c r="L1236">
        <f t="shared" si="99"/>
        <v>6.1014717746324072</v>
      </c>
    </row>
    <row r="1237" spans="1:12" x14ac:dyDescent="0.3">
      <c r="A1237">
        <v>5.9</v>
      </c>
      <c r="B1237">
        <v>6.1</v>
      </c>
      <c r="C1237">
        <v>5.3147877013177176</v>
      </c>
      <c r="D1237">
        <v>5.4679355783308887</v>
      </c>
      <c r="E1237">
        <f t="shared" si="95"/>
        <v>0.36989187312026806</v>
      </c>
      <c r="F1237">
        <f t="shared" si="96"/>
        <v>0.34247343452900131</v>
      </c>
      <c r="G1237">
        <f t="shared" si="97"/>
        <v>0.39950543313990766</v>
      </c>
      <c r="H1237">
        <v>177.90128843338192</v>
      </c>
      <c r="I1237">
        <v>162.98770131771641</v>
      </c>
      <c r="J1237">
        <v>242.63557833089328</v>
      </c>
      <c r="K1237">
        <f t="shared" si="98"/>
        <v>5.8919219619575944</v>
      </c>
      <c r="L1237">
        <f t="shared" si="99"/>
        <v>6.1014717746324072</v>
      </c>
    </row>
    <row r="1238" spans="1:12" x14ac:dyDescent="0.3">
      <c r="A1238">
        <v>4.8</v>
      </c>
      <c r="B1238">
        <v>5.2</v>
      </c>
      <c r="C1238">
        <v>5.3147877013177176</v>
      </c>
      <c r="D1238">
        <v>5.4679355783308887</v>
      </c>
      <c r="E1238">
        <f t="shared" si="95"/>
        <v>0.13792994047019144</v>
      </c>
      <c r="F1238">
        <f t="shared" si="96"/>
        <v>0.26500637742797983</v>
      </c>
      <c r="G1238">
        <f t="shared" si="97"/>
        <v>7.1789474135507708E-2</v>
      </c>
      <c r="H1238">
        <v>177.90128843338192</v>
      </c>
      <c r="I1238">
        <v>162.98770131771641</v>
      </c>
      <c r="J1238">
        <v>242.63557833089328</v>
      </c>
      <c r="K1238">
        <f t="shared" si="98"/>
        <v>5.032171215215361</v>
      </c>
      <c r="L1238">
        <f t="shared" si="99"/>
        <v>5.1576996662883605</v>
      </c>
    </row>
    <row r="1239" spans="1:12" x14ac:dyDescent="0.3">
      <c r="A1239">
        <v>5.3</v>
      </c>
      <c r="B1239">
        <v>5.2</v>
      </c>
      <c r="C1239">
        <v>5.3147877013177176</v>
      </c>
      <c r="D1239">
        <v>5.4679355783308887</v>
      </c>
      <c r="E1239">
        <f t="shared" si="95"/>
        <v>3.9621513047471569E-3</v>
      </c>
      <c r="F1239">
        <f t="shared" si="96"/>
        <v>2.1867611026203226E-4</v>
      </c>
      <c r="G1239">
        <f t="shared" si="97"/>
        <v>7.1789474135507708E-2</v>
      </c>
      <c r="H1239">
        <v>177.90128843338192</v>
      </c>
      <c r="I1239">
        <v>162.98770131771641</v>
      </c>
      <c r="J1239">
        <v>242.63557833089328</v>
      </c>
      <c r="K1239">
        <f t="shared" si="98"/>
        <v>5.1033452963815442</v>
      </c>
      <c r="L1239">
        <f t="shared" si="99"/>
        <v>5.2358294183079863</v>
      </c>
    </row>
    <row r="1240" spans="1:12" x14ac:dyDescent="0.3">
      <c r="A1240">
        <v>5.5</v>
      </c>
      <c r="B1240">
        <v>5.3</v>
      </c>
      <c r="C1240">
        <v>5.3147877013177176</v>
      </c>
      <c r="D1240">
        <v>5.4679355783308887</v>
      </c>
      <c r="E1240">
        <f t="shared" si="95"/>
        <v>-3.1103734493202428E-2</v>
      </c>
      <c r="F1240">
        <f t="shared" si="96"/>
        <v>3.4303595583174987E-2</v>
      </c>
      <c r="G1240">
        <f t="shared" si="97"/>
        <v>2.8202358469330124E-2</v>
      </c>
      <c r="H1240">
        <v>177.90128843338192</v>
      </c>
      <c r="I1240">
        <v>162.98770131771641</v>
      </c>
      <c r="J1240">
        <v>242.63557833089328</v>
      </c>
      <c r="K1240">
        <f t="shared" si="98"/>
        <v>5.2099446808676424</v>
      </c>
      <c r="L1240">
        <f t="shared" si="99"/>
        <v>5.3528465028826</v>
      </c>
    </row>
    <row r="1241" spans="1:12" x14ac:dyDescent="0.3">
      <c r="A1241">
        <v>4.9000000000000004</v>
      </c>
      <c r="B1241">
        <v>5.0999999999999996</v>
      </c>
      <c r="C1241">
        <v>5.3147877013177176</v>
      </c>
      <c r="D1241">
        <v>5.4679355783308887</v>
      </c>
      <c r="E1241">
        <f t="shared" si="95"/>
        <v>0.15261515276887438</v>
      </c>
      <c r="F1241">
        <f t="shared" si="96"/>
        <v>0.17204883716443581</v>
      </c>
      <c r="G1241">
        <f t="shared" si="97"/>
        <v>0.13537658980168582</v>
      </c>
      <c r="H1241">
        <v>177.90128843338192</v>
      </c>
      <c r="I1241">
        <v>162.98770131771641</v>
      </c>
      <c r="J1241">
        <v>242.63557833089328</v>
      </c>
      <c r="K1241">
        <f t="shared" si="98"/>
        <v>4.968276279428971</v>
      </c>
      <c r="L1241">
        <f t="shared" si="99"/>
        <v>5.0875604329255211</v>
      </c>
    </row>
    <row r="1242" spans="1:12" x14ac:dyDescent="0.3">
      <c r="A1242">
        <v>5</v>
      </c>
      <c r="B1242">
        <v>5.0999999999999996</v>
      </c>
      <c r="C1242">
        <v>5.3147877013177176</v>
      </c>
      <c r="D1242">
        <v>5.4679355783308887</v>
      </c>
      <c r="E1242">
        <f t="shared" si="95"/>
        <v>0.1158215949357856</v>
      </c>
      <c r="F1242">
        <f t="shared" si="96"/>
        <v>9.9091296900892592E-2</v>
      </c>
      <c r="G1242">
        <f t="shared" si="97"/>
        <v>0.13537658980168582</v>
      </c>
      <c r="H1242">
        <v>177.90128843338192</v>
      </c>
      <c r="I1242">
        <v>162.98770131771641</v>
      </c>
      <c r="J1242">
        <v>242.63557833089328</v>
      </c>
      <c r="K1242">
        <f t="shared" si="98"/>
        <v>4.9825110956622076</v>
      </c>
      <c r="L1242">
        <f t="shared" si="99"/>
        <v>5.1031863833294464</v>
      </c>
    </row>
    <row r="1243" spans="1:12" x14ac:dyDescent="0.3">
      <c r="A1243">
        <v>5.5</v>
      </c>
      <c r="B1243">
        <v>6</v>
      </c>
      <c r="C1243">
        <v>5.3147877013177176</v>
      </c>
      <c r="D1243">
        <v>5.4679355783308887</v>
      </c>
      <c r="E1243">
        <f t="shared" si="95"/>
        <v>9.8544874584395287E-2</v>
      </c>
      <c r="F1243">
        <f t="shared" si="96"/>
        <v>3.4303595583174987E-2</v>
      </c>
      <c r="G1243">
        <f t="shared" si="97"/>
        <v>0.28309254880608586</v>
      </c>
      <c r="H1243">
        <v>177.90128843338192</v>
      </c>
      <c r="I1243">
        <v>162.98770131771641</v>
      </c>
      <c r="J1243">
        <v>242.63557833089328</v>
      </c>
      <c r="K1243">
        <f t="shared" si="98"/>
        <v>5.756852945005023</v>
      </c>
      <c r="L1243">
        <f t="shared" si="99"/>
        <v>5.9532027892499437</v>
      </c>
    </row>
    <row r="1244" spans="1:12" x14ac:dyDescent="0.3">
      <c r="A1244">
        <v>5.0999999999999996</v>
      </c>
      <c r="B1244">
        <v>5.4</v>
      </c>
      <c r="C1244">
        <v>5.3147877013177176</v>
      </c>
      <c r="D1244">
        <v>5.4679355783308887</v>
      </c>
      <c r="E1244">
        <f t="shared" si="95"/>
        <v>1.4591726707381283E-2</v>
      </c>
      <c r="F1244">
        <f t="shared" si="96"/>
        <v>4.613375663734922E-2</v>
      </c>
      <c r="G1244">
        <f t="shared" si="97"/>
        <v>4.615242803152269E-3</v>
      </c>
      <c r="H1244">
        <v>177.90128843338192</v>
      </c>
      <c r="I1244">
        <v>162.98770131771641</v>
      </c>
      <c r="J1244">
        <v>242.63557833089328</v>
      </c>
      <c r="K1244">
        <f t="shared" si="98"/>
        <v>5.2311351679543217</v>
      </c>
      <c r="L1244">
        <f t="shared" si="99"/>
        <v>5.3761078850336625</v>
      </c>
    </row>
    <row r="1245" spans="1:12" x14ac:dyDescent="0.3">
      <c r="A1245">
        <v>5.0999999999999996</v>
      </c>
      <c r="B1245">
        <v>5</v>
      </c>
      <c r="C1245">
        <v>5.3147877013177176</v>
      </c>
      <c r="D1245">
        <v>5.4679355783308887</v>
      </c>
      <c r="E1245">
        <f t="shared" si="95"/>
        <v>0.10050680723446855</v>
      </c>
      <c r="F1245">
        <f t="shared" si="96"/>
        <v>4.613375663734922E-2</v>
      </c>
      <c r="G1245">
        <f t="shared" si="97"/>
        <v>0.21896370546786328</v>
      </c>
      <c r="H1245">
        <v>177.90128843338192</v>
      </c>
      <c r="I1245">
        <v>162.98770131771641</v>
      </c>
      <c r="J1245">
        <v>242.63557833089328</v>
      </c>
      <c r="K1245">
        <f t="shared" si="98"/>
        <v>4.9186161598758185</v>
      </c>
      <c r="L1245">
        <f t="shared" si="99"/>
        <v>5.0330471499666087</v>
      </c>
    </row>
    <row r="1246" spans="1:12" x14ac:dyDescent="0.3">
      <c r="A1246">
        <v>4.7</v>
      </c>
      <c r="B1246">
        <v>4.8</v>
      </c>
      <c r="C1246">
        <v>5.3147877013177176</v>
      </c>
      <c r="D1246">
        <v>5.4679355783308887</v>
      </c>
      <c r="E1246">
        <f t="shared" si="95"/>
        <v>0.41063857883036736</v>
      </c>
      <c r="F1246">
        <f t="shared" si="96"/>
        <v>0.37796391769152293</v>
      </c>
      <c r="G1246">
        <f t="shared" si="97"/>
        <v>0.44613793680021901</v>
      </c>
      <c r="H1246">
        <v>177.90128843338192</v>
      </c>
      <c r="I1246">
        <v>162.98770131771641</v>
      </c>
      <c r="J1246">
        <v>242.63557833089328</v>
      </c>
      <c r="K1246">
        <f t="shared" si="98"/>
        <v>4.7054173909036203</v>
      </c>
      <c r="L1246">
        <f t="shared" si="99"/>
        <v>4.7990129808173805</v>
      </c>
    </row>
    <row r="1247" spans="1:12" x14ac:dyDescent="0.3">
      <c r="A1247">
        <v>5.3</v>
      </c>
      <c r="B1247">
        <v>5.0999999999999996</v>
      </c>
      <c r="C1247">
        <v>5.3147877013177176</v>
      </c>
      <c r="D1247">
        <v>5.4679355783308887</v>
      </c>
      <c r="E1247">
        <f t="shared" si="95"/>
        <v>5.440921436518943E-3</v>
      </c>
      <c r="F1247">
        <f t="shared" si="96"/>
        <v>2.1867611026203226E-4</v>
      </c>
      <c r="G1247">
        <f t="shared" si="97"/>
        <v>0.13537658980168582</v>
      </c>
      <c r="H1247">
        <v>177.90128843338192</v>
      </c>
      <c r="I1247">
        <v>162.98770131771641</v>
      </c>
      <c r="J1247">
        <v>242.63557833089328</v>
      </c>
      <c r="K1247">
        <f t="shared" si="98"/>
        <v>5.0252155443619166</v>
      </c>
      <c r="L1247">
        <f t="shared" si="99"/>
        <v>5.1500642345412215</v>
      </c>
    </row>
    <row r="1248" spans="1:12" x14ac:dyDescent="0.3">
      <c r="A1248">
        <v>5</v>
      </c>
      <c r="B1248">
        <v>5.3</v>
      </c>
      <c r="C1248">
        <v>5.3147877013177176</v>
      </c>
      <c r="D1248">
        <v>5.4679355783308887</v>
      </c>
      <c r="E1248">
        <f t="shared" si="95"/>
        <v>5.2864054672242027E-2</v>
      </c>
      <c r="F1248">
        <f t="shared" si="96"/>
        <v>9.9091296900892592E-2</v>
      </c>
      <c r="G1248">
        <f t="shared" si="97"/>
        <v>2.8202358469330124E-2</v>
      </c>
      <c r="H1248">
        <v>177.90128843338192</v>
      </c>
      <c r="I1248">
        <v>162.98770131771641</v>
      </c>
      <c r="J1248">
        <v>242.63557833089328</v>
      </c>
      <c r="K1248">
        <f t="shared" si="98"/>
        <v>5.1387705997014592</v>
      </c>
      <c r="L1248">
        <f t="shared" si="99"/>
        <v>5.2747167508629733</v>
      </c>
    </row>
    <row r="1249" spans="1:12" x14ac:dyDescent="0.3">
      <c r="A1249">
        <v>5.3</v>
      </c>
      <c r="B1249">
        <v>5.3</v>
      </c>
      <c r="C1249">
        <v>5.3147877013177176</v>
      </c>
      <c r="D1249">
        <v>5.4679355783308887</v>
      </c>
      <c r="E1249">
        <f t="shared" si="95"/>
        <v>2.4833811729753838E-3</v>
      </c>
      <c r="F1249">
        <f t="shared" si="96"/>
        <v>2.1867611026203226E-4</v>
      </c>
      <c r="G1249">
        <f t="shared" si="97"/>
        <v>2.8202358469330124E-2</v>
      </c>
      <c r="H1249">
        <v>177.90128843338192</v>
      </c>
      <c r="I1249">
        <v>162.98770131771641</v>
      </c>
      <c r="J1249">
        <v>242.63557833089328</v>
      </c>
      <c r="K1249">
        <f t="shared" si="98"/>
        <v>5.1814750484011682</v>
      </c>
      <c r="L1249">
        <f t="shared" si="99"/>
        <v>5.3215946020747484</v>
      </c>
    </row>
    <row r="1250" spans="1:12" x14ac:dyDescent="0.3">
      <c r="A1250">
        <v>5.7</v>
      </c>
      <c r="B1250">
        <v>5.8</v>
      </c>
      <c r="C1250">
        <v>5.3147877013177176</v>
      </c>
      <c r="D1250">
        <v>5.4679355783308887</v>
      </c>
      <c r="E1250">
        <f t="shared" si="95"/>
        <v>0.12791529918176106</v>
      </c>
      <c r="F1250">
        <f t="shared" si="96"/>
        <v>0.14838851505608808</v>
      </c>
      <c r="G1250">
        <f t="shared" si="97"/>
        <v>0.11026678013844123</v>
      </c>
      <c r="H1250">
        <v>177.90128843338192</v>
      </c>
      <c r="I1250">
        <v>162.98770131771641</v>
      </c>
      <c r="J1250">
        <v>242.63557833089328</v>
      </c>
      <c r="K1250">
        <f t="shared" si="98"/>
        <v>5.6290630734322438</v>
      </c>
      <c r="L1250">
        <f t="shared" si="99"/>
        <v>5.8129243225242666</v>
      </c>
    </row>
    <row r="1251" spans="1:12" x14ac:dyDescent="0.3">
      <c r="A1251">
        <v>5.4</v>
      </c>
      <c r="B1251">
        <v>5.4</v>
      </c>
      <c r="C1251">
        <v>5.3147877013177176</v>
      </c>
      <c r="D1251">
        <v>5.4679355783308887</v>
      </c>
      <c r="E1251">
        <f t="shared" si="95"/>
        <v>-5.7889467918852758E-3</v>
      </c>
      <c r="F1251">
        <f t="shared" si="96"/>
        <v>7.2611358467185661E-3</v>
      </c>
      <c r="G1251">
        <f t="shared" si="97"/>
        <v>4.615242803152269E-3</v>
      </c>
      <c r="H1251">
        <v>177.90128843338192</v>
      </c>
      <c r="I1251">
        <v>162.98770131771641</v>
      </c>
      <c r="J1251">
        <v>242.63557833089328</v>
      </c>
      <c r="K1251">
        <f t="shared" si="98"/>
        <v>5.2738396166540316</v>
      </c>
      <c r="L1251">
        <f t="shared" si="99"/>
        <v>5.4229857362454377</v>
      </c>
    </row>
    <row r="1252" spans="1:12" x14ac:dyDescent="0.3">
      <c r="A1252">
        <v>5.2</v>
      </c>
      <c r="B1252">
        <v>5.7</v>
      </c>
      <c r="C1252">
        <v>5.3147877013177176</v>
      </c>
      <c r="D1252">
        <v>5.4679355783308887</v>
      </c>
      <c r="E1252">
        <f t="shared" si="95"/>
        <v>-2.6638141521022798E-2</v>
      </c>
      <c r="F1252">
        <f t="shared" si="96"/>
        <v>1.3176216373805507E-2</v>
      </c>
      <c r="G1252">
        <f t="shared" si="97"/>
        <v>5.3853895804619169E-2</v>
      </c>
      <c r="H1252">
        <v>177.90128843338192</v>
      </c>
      <c r="I1252">
        <v>162.98770131771641</v>
      </c>
      <c r="J1252">
        <v>242.63557833089328</v>
      </c>
      <c r="K1252">
        <f t="shared" si="98"/>
        <v>5.4797592402464357</v>
      </c>
      <c r="L1252">
        <f t="shared" si="99"/>
        <v>5.6490293867378778</v>
      </c>
    </row>
    <row r="1253" spans="1:12" x14ac:dyDescent="0.3">
      <c r="A1253">
        <v>5</v>
      </c>
      <c r="B1253">
        <v>5.3</v>
      </c>
      <c r="C1253">
        <v>5.3147877013177176</v>
      </c>
      <c r="D1253">
        <v>5.4679355783308887</v>
      </c>
      <c r="E1253">
        <f t="shared" si="95"/>
        <v>5.2864054672242027E-2</v>
      </c>
      <c r="F1253">
        <f t="shared" si="96"/>
        <v>9.9091296900892592E-2</v>
      </c>
      <c r="G1253">
        <f t="shared" si="97"/>
        <v>2.8202358469330124E-2</v>
      </c>
      <c r="H1253">
        <v>177.90128843338192</v>
      </c>
      <c r="I1253">
        <v>162.98770131771641</v>
      </c>
      <c r="J1253">
        <v>242.63557833089328</v>
      </c>
      <c r="K1253">
        <f t="shared" si="98"/>
        <v>5.1387705997014592</v>
      </c>
      <c r="L1253">
        <f t="shared" si="99"/>
        <v>5.2747167508629733</v>
      </c>
    </row>
    <row r="1254" spans="1:12" x14ac:dyDescent="0.3">
      <c r="A1254">
        <v>4.7</v>
      </c>
      <c r="B1254">
        <v>5.0999999999999996</v>
      </c>
      <c r="C1254">
        <v>5.3147877013177176</v>
      </c>
      <c r="D1254">
        <v>5.4679355783308887</v>
      </c>
      <c r="E1254">
        <f t="shared" si="95"/>
        <v>0.22620226843505226</v>
      </c>
      <c r="F1254">
        <f t="shared" si="96"/>
        <v>0.37796391769152293</v>
      </c>
      <c r="G1254">
        <f t="shared" si="97"/>
        <v>0.13537658980168582</v>
      </c>
      <c r="H1254">
        <v>177.90128843338192</v>
      </c>
      <c r="I1254">
        <v>162.98770131771641</v>
      </c>
      <c r="J1254">
        <v>242.63557833089328</v>
      </c>
      <c r="K1254">
        <f t="shared" si="98"/>
        <v>4.9398066469624977</v>
      </c>
      <c r="L1254">
        <f t="shared" si="99"/>
        <v>5.0563085321176713</v>
      </c>
    </row>
    <row r="1255" spans="1:12" x14ac:dyDescent="0.3">
      <c r="A1255">
        <v>5.4</v>
      </c>
      <c r="B1255">
        <v>5.5</v>
      </c>
      <c r="C1255">
        <v>5.3147877013177176</v>
      </c>
      <c r="D1255">
        <v>5.4679355783308887</v>
      </c>
      <c r="E1255">
        <f t="shared" si="95"/>
        <v>2.7322830763429691E-3</v>
      </c>
      <c r="F1255">
        <f t="shared" si="96"/>
        <v>7.2611358467185661E-3</v>
      </c>
      <c r="G1255">
        <f t="shared" si="97"/>
        <v>1.0281271369745727E-3</v>
      </c>
      <c r="H1255">
        <v>177.90128843338192</v>
      </c>
      <c r="I1255">
        <v>162.98770131771641</v>
      </c>
      <c r="J1255">
        <v>242.63557833089328</v>
      </c>
      <c r="K1255">
        <f t="shared" si="98"/>
        <v>5.3519693686736574</v>
      </c>
      <c r="L1255">
        <f t="shared" si="99"/>
        <v>5.5087509200122016</v>
      </c>
    </row>
    <row r="1256" spans="1:12" x14ac:dyDescent="0.3">
      <c r="A1256">
        <v>5.2</v>
      </c>
      <c r="B1256">
        <v>5.2</v>
      </c>
      <c r="C1256">
        <v>5.3147877013177176</v>
      </c>
      <c r="D1256">
        <v>5.4679355783308887</v>
      </c>
      <c r="E1256">
        <f t="shared" si="95"/>
        <v>3.0755709137835915E-2</v>
      </c>
      <c r="F1256">
        <f t="shared" si="96"/>
        <v>1.3176216373805507E-2</v>
      </c>
      <c r="G1256">
        <f t="shared" si="97"/>
        <v>7.1789474135507708E-2</v>
      </c>
      <c r="H1256">
        <v>177.90128843338192</v>
      </c>
      <c r="I1256">
        <v>162.98770131771641</v>
      </c>
      <c r="J1256">
        <v>242.63557833089328</v>
      </c>
      <c r="K1256">
        <f t="shared" si="98"/>
        <v>5.0891104801483067</v>
      </c>
      <c r="L1256">
        <f t="shared" si="99"/>
        <v>5.2202034679040601</v>
      </c>
    </row>
    <row r="1257" spans="1:12" x14ac:dyDescent="0.3">
      <c r="A1257">
        <v>5.2</v>
      </c>
      <c r="B1257">
        <v>5.2</v>
      </c>
      <c r="C1257">
        <v>5.3147877013177176</v>
      </c>
      <c r="D1257">
        <v>5.4679355783308887</v>
      </c>
      <c r="E1257">
        <f t="shared" si="95"/>
        <v>3.0755709137835915E-2</v>
      </c>
      <c r="F1257">
        <f t="shared" si="96"/>
        <v>1.3176216373805507E-2</v>
      </c>
      <c r="G1257">
        <f t="shared" si="97"/>
        <v>7.1789474135507708E-2</v>
      </c>
      <c r="H1257">
        <v>177.90128843338192</v>
      </c>
      <c r="I1257">
        <v>162.98770131771641</v>
      </c>
      <c r="J1257">
        <v>242.63557833089328</v>
      </c>
      <c r="K1257">
        <f t="shared" si="98"/>
        <v>5.0891104801483067</v>
      </c>
      <c r="L1257">
        <f t="shared" si="99"/>
        <v>5.2202034679040601</v>
      </c>
    </row>
    <row r="1258" spans="1:12" x14ac:dyDescent="0.3">
      <c r="A1258">
        <v>5.3</v>
      </c>
      <c r="B1258">
        <v>5.2</v>
      </c>
      <c r="C1258">
        <v>5.3147877013177176</v>
      </c>
      <c r="D1258">
        <v>5.4679355783308887</v>
      </c>
      <c r="E1258">
        <f t="shared" si="95"/>
        <v>3.9621513047471569E-3</v>
      </c>
      <c r="F1258">
        <f t="shared" si="96"/>
        <v>2.1867611026203226E-4</v>
      </c>
      <c r="G1258">
        <f t="shared" si="97"/>
        <v>7.1789474135507708E-2</v>
      </c>
      <c r="H1258">
        <v>177.90128843338192</v>
      </c>
      <c r="I1258">
        <v>162.98770131771641</v>
      </c>
      <c r="J1258">
        <v>242.63557833089328</v>
      </c>
      <c r="K1258">
        <f t="shared" si="98"/>
        <v>5.1033452963815442</v>
      </c>
      <c r="L1258">
        <f t="shared" si="99"/>
        <v>5.2358294183079863</v>
      </c>
    </row>
    <row r="1259" spans="1:12" x14ac:dyDescent="0.3">
      <c r="A1259">
        <v>5.7</v>
      </c>
      <c r="B1259">
        <v>5.9</v>
      </c>
      <c r="C1259">
        <v>5.3147877013177176</v>
      </c>
      <c r="D1259">
        <v>5.4679355783308887</v>
      </c>
      <c r="E1259">
        <f t="shared" si="95"/>
        <v>0.16643652904998951</v>
      </c>
      <c r="F1259">
        <f t="shared" si="96"/>
        <v>0.14838851505608808</v>
      </c>
      <c r="G1259">
        <f t="shared" si="97"/>
        <v>0.18667966447226389</v>
      </c>
      <c r="H1259">
        <v>177.90128843338192</v>
      </c>
      <c r="I1259">
        <v>162.98770131771641</v>
      </c>
      <c r="J1259">
        <v>242.63557833089328</v>
      </c>
      <c r="K1259">
        <f t="shared" si="98"/>
        <v>5.7071928254518696</v>
      </c>
      <c r="L1259">
        <f t="shared" si="99"/>
        <v>5.8986895062910296</v>
      </c>
    </row>
    <row r="1260" spans="1:12" x14ac:dyDescent="0.3">
      <c r="A1260">
        <v>5.0999999999999996</v>
      </c>
      <c r="B1260">
        <v>5</v>
      </c>
      <c r="C1260">
        <v>5.3147877013177176</v>
      </c>
      <c r="D1260">
        <v>5.4679355783308887</v>
      </c>
      <c r="E1260">
        <f t="shared" si="95"/>
        <v>0.10050680723446855</v>
      </c>
      <c r="F1260">
        <f t="shared" si="96"/>
        <v>4.613375663734922E-2</v>
      </c>
      <c r="G1260">
        <f t="shared" si="97"/>
        <v>0.21896370546786328</v>
      </c>
      <c r="H1260">
        <v>177.90128843338192</v>
      </c>
      <c r="I1260">
        <v>162.98770131771641</v>
      </c>
      <c r="J1260">
        <v>242.63557833089328</v>
      </c>
      <c r="K1260">
        <f t="shared" si="98"/>
        <v>4.9186161598758185</v>
      </c>
      <c r="L1260">
        <f t="shared" si="99"/>
        <v>5.0330471499666087</v>
      </c>
    </row>
    <row r="1261" spans="1:12" x14ac:dyDescent="0.3">
      <c r="A1261">
        <v>5.7</v>
      </c>
      <c r="B1261">
        <v>6.1</v>
      </c>
      <c r="C1261">
        <v>5.3147877013177176</v>
      </c>
      <c r="D1261">
        <v>5.4679355783308887</v>
      </c>
      <c r="E1261">
        <f t="shared" si="95"/>
        <v>0.24347898878644575</v>
      </c>
      <c r="F1261">
        <f t="shared" si="96"/>
        <v>0.14838851505608808</v>
      </c>
      <c r="G1261">
        <f t="shared" si="97"/>
        <v>0.39950543313990766</v>
      </c>
      <c r="H1261">
        <v>177.90128843338192</v>
      </c>
      <c r="I1261">
        <v>162.98770131771641</v>
      </c>
      <c r="J1261">
        <v>242.63557833089328</v>
      </c>
      <c r="K1261">
        <f t="shared" si="98"/>
        <v>5.8634523294911212</v>
      </c>
      <c r="L1261">
        <f t="shared" si="99"/>
        <v>6.0702198738245565</v>
      </c>
    </row>
    <row r="1262" spans="1:12" x14ac:dyDescent="0.3">
      <c r="A1262">
        <v>5.2</v>
      </c>
      <c r="B1262">
        <v>5.0999999999999996</v>
      </c>
      <c r="C1262">
        <v>5.3147877013177176</v>
      </c>
      <c r="D1262">
        <v>5.4679355783308887</v>
      </c>
      <c r="E1262">
        <f t="shared" si="95"/>
        <v>4.2234479269607723E-2</v>
      </c>
      <c r="F1262">
        <f t="shared" si="96"/>
        <v>1.3176216373805507E-2</v>
      </c>
      <c r="G1262">
        <f t="shared" si="97"/>
        <v>0.13537658980168582</v>
      </c>
      <c r="H1262">
        <v>177.90128843338192</v>
      </c>
      <c r="I1262">
        <v>162.98770131771641</v>
      </c>
      <c r="J1262">
        <v>242.63557833089328</v>
      </c>
      <c r="K1262">
        <f t="shared" si="98"/>
        <v>5.0109807281286809</v>
      </c>
      <c r="L1262">
        <f t="shared" si="99"/>
        <v>5.1344382841372971</v>
      </c>
    </row>
    <row r="1263" spans="1:12" x14ac:dyDescent="0.3">
      <c r="A1263">
        <v>5.8</v>
      </c>
      <c r="B1263">
        <v>6</v>
      </c>
      <c r="C1263">
        <v>5.3147877013177176</v>
      </c>
      <c r="D1263">
        <v>5.4679355783308887</v>
      </c>
      <c r="E1263">
        <f t="shared" si="95"/>
        <v>0.25816420108512855</v>
      </c>
      <c r="F1263">
        <f t="shared" si="96"/>
        <v>0.23543097479254424</v>
      </c>
      <c r="G1263">
        <f t="shared" si="97"/>
        <v>0.28309254880608586</v>
      </c>
      <c r="H1263">
        <v>177.90128843338192</v>
      </c>
      <c r="I1263">
        <v>162.98770131771641</v>
      </c>
      <c r="J1263">
        <v>242.63557833089328</v>
      </c>
      <c r="K1263">
        <f t="shared" si="98"/>
        <v>5.799557393704732</v>
      </c>
      <c r="L1263">
        <f t="shared" si="99"/>
        <v>6.000080640461718</v>
      </c>
    </row>
    <row r="1264" spans="1:12" x14ac:dyDescent="0.3">
      <c r="A1264">
        <v>4.9000000000000004</v>
      </c>
      <c r="B1264">
        <v>5.2</v>
      </c>
      <c r="C1264">
        <v>5.3147877013177176</v>
      </c>
      <c r="D1264">
        <v>5.4679355783308887</v>
      </c>
      <c r="E1264">
        <f t="shared" si="95"/>
        <v>0.11113638263710243</v>
      </c>
      <c r="F1264">
        <f t="shared" si="96"/>
        <v>0.17204883716443581</v>
      </c>
      <c r="G1264">
        <f t="shared" si="97"/>
        <v>7.1789474135507708E-2</v>
      </c>
      <c r="H1264">
        <v>177.90128843338192</v>
      </c>
      <c r="I1264">
        <v>162.98770131771641</v>
      </c>
      <c r="J1264">
        <v>242.63557833089328</v>
      </c>
      <c r="K1264">
        <f t="shared" si="98"/>
        <v>5.0464060314485977</v>
      </c>
      <c r="L1264">
        <f t="shared" si="99"/>
        <v>5.1733256166922859</v>
      </c>
    </row>
    <row r="1265" spans="1:12" x14ac:dyDescent="0.3">
      <c r="A1265">
        <v>5</v>
      </c>
      <c r="B1265">
        <v>5.2</v>
      </c>
      <c r="C1265">
        <v>5.3147877013177176</v>
      </c>
      <c r="D1265">
        <v>5.4679355783308887</v>
      </c>
      <c r="E1265">
        <f t="shared" si="95"/>
        <v>8.4342824804013672E-2</v>
      </c>
      <c r="F1265">
        <f t="shared" si="96"/>
        <v>9.9091296900892592E-2</v>
      </c>
      <c r="G1265">
        <f t="shared" si="97"/>
        <v>7.1789474135507708E-2</v>
      </c>
      <c r="H1265">
        <v>177.90128843338192</v>
      </c>
      <c r="I1265">
        <v>162.98770131771641</v>
      </c>
      <c r="J1265">
        <v>242.63557833089328</v>
      </c>
      <c r="K1265">
        <f t="shared" si="98"/>
        <v>5.0606408476818334</v>
      </c>
      <c r="L1265">
        <f t="shared" si="99"/>
        <v>5.1889515670962103</v>
      </c>
    </row>
    <row r="1266" spans="1:12" x14ac:dyDescent="0.3">
      <c r="A1266">
        <v>5.3</v>
      </c>
      <c r="B1266">
        <v>5.3</v>
      </c>
      <c r="C1266">
        <v>5.3147877013177176</v>
      </c>
      <c r="D1266">
        <v>5.4679355783308887</v>
      </c>
      <c r="E1266">
        <f t="shared" si="95"/>
        <v>2.4833811729753838E-3</v>
      </c>
      <c r="F1266">
        <f t="shared" si="96"/>
        <v>2.1867611026203226E-4</v>
      </c>
      <c r="G1266">
        <f t="shared" si="97"/>
        <v>2.8202358469330124E-2</v>
      </c>
      <c r="H1266">
        <v>177.90128843338192</v>
      </c>
      <c r="I1266">
        <v>162.98770131771641</v>
      </c>
      <c r="J1266">
        <v>242.63557833089328</v>
      </c>
      <c r="K1266">
        <f t="shared" si="98"/>
        <v>5.1814750484011682</v>
      </c>
      <c r="L1266">
        <f t="shared" si="99"/>
        <v>5.3215946020747484</v>
      </c>
    </row>
    <row r="1267" spans="1:12" x14ac:dyDescent="0.3">
      <c r="A1267">
        <v>5.2</v>
      </c>
      <c r="B1267">
        <v>5.7</v>
      </c>
      <c r="C1267">
        <v>5.3147877013177176</v>
      </c>
      <c r="D1267">
        <v>5.4679355783308887</v>
      </c>
      <c r="E1267">
        <f t="shared" si="95"/>
        <v>-2.6638141521022798E-2</v>
      </c>
      <c r="F1267">
        <f t="shared" si="96"/>
        <v>1.3176216373805507E-2</v>
      </c>
      <c r="G1267">
        <f t="shared" si="97"/>
        <v>5.3853895804619169E-2</v>
      </c>
      <c r="H1267">
        <v>177.90128843338192</v>
      </c>
      <c r="I1267">
        <v>162.98770131771641</v>
      </c>
      <c r="J1267">
        <v>242.63557833089328</v>
      </c>
      <c r="K1267">
        <f t="shared" si="98"/>
        <v>5.4797592402464357</v>
      </c>
      <c r="L1267">
        <f t="shared" si="99"/>
        <v>5.6490293867378778</v>
      </c>
    </row>
    <row r="1268" spans="1:12" x14ac:dyDescent="0.3">
      <c r="A1268">
        <v>5.9</v>
      </c>
      <c r="B1268">
        <v>6.1</v>
      </c>
      <c r="C1268">
        <v>5.3147877013177176</v>
      </c>
      <c r="D1268">
        <v>5.4679355783308887</v>
      </c>
      <c r="E1268">
        <f t="shared" si="95"/>
        <v>0.36989187312026806</v>
      </c>
      <c r="F1268">
        <f t="shared" si="96"/>
        <v>0.34247343452900131</v>
      </c>
      <c r="G1268">
        <f t="shared" si="97"/>
        <v>0.39950543313990766</v>
      </c>
      <c r="H1268">
        <v>177.90128843338192</v>
      </c>
      <c r="I1268">
        <v>162.98770131771641</v>
      </c>
      <c r="J1268">
        <v>242.63557833089328</v>
      </c>
      <c r="K1268">
        <f t="shared" si="98"/>
        <v>5.8919219619575944</v>
      </c>
      <c r="L1268">
        <f t="shared" si="99"/>
        <v>6.1014717746324072</v>
      </c>
    </row>
    <row r="1269" spans="1:12" x14ac:dyDescent="0.3">
      <c r="A1269">
        <v>5.5</v>
      </c>
      <c r="B1269">
        <v>5.5</v>
      </c>
      <c r="C1269">
        <v>5.3147877013177176</v>
      </c>
      <c r="D1269">
        <v>5.4679355783308887</v>
      </c>
      <c r="E1269">
        <f t="shared" si="95"/>
        <v>5.9387252432540859E-3</v>
      </c>
      <c r="F1269">
        <f t="shared" si="96"/>
        <v>3.4303595583174987E-2</v>
      </c>
      <c r="G1269">
        <f t="shared" si="97"/>
        <v>1.0281271369745727E-3</v>
      </c>
      <c r="H1269">
        <v>177.90128843338192</v>
      </c>
      <c r="I1269">
        <v>162.98770131771641</v>
      </c>
      <c r="J1269">
        <v>242.63557833089328</v>
      </c>
      <c r="K1269">
        <f t="shared" si="98"/>
        <v>5.366204184906894</v>
      </c>
      <c r="L1269">
        <f t="shared" si="99"/>
        <v>5.5243768704161269</v>
      </c>
    </row>
    <row r="1270" spans="1:12" x14ac:dyDescent="0.3">
      <c r="A1270">
        <v>5.2</v>
      </c>
      <c r="B1270">
        <v>5.2</v>
      </c>
      <c r="C1270">
        <v>5.3147877013177176</v>
      </c>
      <c r="D1270">
        <v>5.4679355783308887</v>
      </c>
      <c r="E1270">
        <f t="shared" si="95"/>
        <v>3.0755709137835915E-2</v>
      </c>
      <c r="F1270">
        <f t="shared" si="96"/>
        <v>1.3176216373805507E-2</v>
      </c>
      <c r="G1270">
        <f t="shared" si="97"/>
        <v>7.1789474135507708E-2</v>
      </c>
      <c r="H1270">
        <v>177.90128843338192</v>
      </c>
      <c r="I1270">
        <v>162.98770131771641</v>
      </c>
      <c r="J1270">
        <v>242.63557833089328</v>
      </c>
      <c r="K1270">
        <f t="shared" si="98"/>
        <v>5.0891104801483067</v>
      </c>
      <c r="L1270">
        <f t="shared" si="99"/>
        <v>5.2202034679040601</v>
      </c>
    </row>
    <row r="1271" spans="1:12" x14ac:dyDescent="0.3">
      <c r="A1271">
        <v>5.0999999999999996</v>
      </c>
      <c r="B1271">
        <v>5.3</v>
      </c>
      <c r="C1271">
        <v>5.3147877013177176</v>
      </c>
      <c r="D1271">
        <v>5.4679355783308887</v>
      </c>
      <c r="E1271">
        <f t="shared" si="95"/>
        <v>3.6070496839153192E-2</v>
      </c>
      <c r="F1271">
        <f t="shared" si="96"/>
        <v>4.613375663734922E-2</v>
      </c>
      <c r="G1271">
        <f t="shared" si="97"/>
        <v>2.8202358469330124E-2</v>
      </c>
      <c r="H1271">
        <v>177.90128843338192</v>
      </c>
      <c r="I1271">
        <v>162.98770131771641</v>
      </c>
      <c r="J1271">
        <v>242.63557833089328</v>
      </c>
      <c r="K1271">
        <f t="shared" si="98"/>
        <v>5.1530054159346959</v>
      </c>
      <c r="L1271">
        <f t="shared" si="99"/>
        <v>5.2903427012668987</v>
      </c>
    </row>
    <row r="1272" spans="1:12" x14ac:dyDescent="0.3">
      <c r="A1272">
        <v>5</v>
      </c>
      <c r="B1272">
        <v>5.3</v>
      </c>
      <c r="C1272">
        <v>5.3147877013177176</v>
      </c>
      <c r="D1272">
        <v>5.4679355783308887</v>
      </c>
      <c r="E1272">
        <f t="shared" si="95"/>
        <v>5.2864054672242027E-2</v>
      </c>
      <c r="F1272">
        <f t="shared" si="96"/>
        <v>9.9091296900892592E-2</v>
      </c>
      <c r="G1272">
        <f t="shared" si="97"/>
        <v>2.8202358469330124E-2</v>
      </c>
      <c r="H1272">
        <v>177.90128843338192</v>
      </c>
      <c r="I1272">
        <v>162.98770131771641</v>
      </c>
      <c r="J1272">
        <v>242.63557833089328</v>
      </c>
      <c r="K1272">
        <f t="shared" si="98"/>
        <v>5.1387705997014592</v>
      </c>
      <c r="L1272">
        <f t="shared" si="99"/>
        <v>5.2747167508629733</v>
      </c>
    </row>
    <row r="1273" spans="1:12" x14ac:dyDescent="0.3">
      <c r="A1273">
        <v>5.5</v>
      </c>
      <c r="B1273">
        <v>5.3</v>
      </c>
      <c r="C1273">
        <v>5.3147877013177176</v>
      </c>
      <c r="D1273">
        <v>5.4679355783308887</v>
      </c>
      <c r="E1273">
        <f t="shared" si="95"/>
        <v>-3.1103734493202428E-2</v>
      </c>
      <c r="F1273">
        <f t="shared" si="96"/>
        <v>3.4303595583174987E-2</v>
      </c>
      <c r="G1273">
        <f t="shared" si="97"/>
        <v>2.8202358469330124E-2</v>
      </c>
      <c r="H1273">
        <v>177.90128843338192</v>
      </c>
      <c r="I1273">
        <v>162.98770131771641</v>
      </c>
      <c r="J1273">
        <v>242.63557833089328</v>
      </c>
      <c r="K1273">
        <f t="shared" si="98"/>
        <v>5.2099446808676424</v>
      </c>
      <c r="L1273">
        <f t="shared" si="99"/>
        <v>5.3528465028826</v>
      </c>
    </row>
    <row r="1274" spans="1:12" x14ac:dyDescent="0.3">
      <c r="A1274">
        <v>5.3</v>
      </c>
      <c r="B1274">
        <v>5.3</v>
      </c>
      <c r="C1274">
        <v>5.3147877013177176</v>
      </c>
      <c r="D1274">
        <v>5.4679355783308887</v>
      </c>
      <c r="E1274">
        <f t="shared" si="95"/>
        <v>2.4833811729753838E-3</v>
      </c>
      <c r="F1274">
        <f t="shared" si="96"/>
        <v>2.1867611026203226E-4</v>
      </c>
      <c r="G1274">
        <f t="shared" si="97"/>
        <v>2.8202358469330124E-2</v>
      </c>
      <c r="H1274">
        <v>177.90128843338192</v>
      </c>
      <c r="I1274">
        <v>162.98770131771641</v>
      </c>
      <c r="J1274">
        <v>242.63557833089328</v>
      </c>
      <c r="K1274">
        <f t="shared" si="98"/>
        <v>5.1814750484011682</v>
      </c>
      <c r="L1274">
        <f t="shared" si="99"/>
        <v>5.3215946020747484</v>
      </c>
    </row>
    <row r="1275" spans="1:12" x14ac:dyDescent="0.3">
      <c r="A1275">
        <v>6</v>
      </c>
      <c r="B1275">
        <v>5.6</v>
      </c>
      <c r="C1275">
        <v>5.3147877013177176</v>
      </c>
      <c r="D1275">
        <v>5.4679355783308887</v>
      </c>
      <c r="E1275">
        <f t="shared" si="95"/>
        <v>9.049216594603772E-2</v>
      </c>
      <c r="F1275">
        <f t="shared" si="96"/>
        <v>0.46951589426545737</v>
      </c>
      <c r="G1275">
        <f t="shared" si="97"/>
        <v>1.7441011470796734E-2</v>
      </c>
      <c r="H1275">
        <v>177.90128843338192</v>
      </c>
      <c r="I1275">
        <v>162.98770131771641</v>
      </c>
      <c r="J1275">
        <v>242.63557833089328</v>
      </c>
      <c r="K1275">
        <f t="shared" si="98"/>
        <v>5.5155080180927021</v>
      </c>
      <c r="L1275">
        <f t="shared" si="99"/>
        <v>5.6882718062025148</v>
      </c>
    </row>
    <row r="1276" spans="1:12" x14ac:dyDescent="0.3">
      <c r="A1276">
        <v>4.5999999999999996</v>
      </c>
      <c r="B1276">
        <v>4.8</v>
      </c>
      <c r="C1276">
        <v>5.3147877013177176</v>
      </c>
      <c r="D1276">
        <v>5.4679355783308887</v>
      </c>
      <c r="E1276">
        <f t="shared" si="95"/>
        <v>0.47743213666345663</v>
      </c>
      <c r="F1276">
        <f t="shared" si="96"/>
        <v>0.51092145795506716</v>
      </c>
      <c r="G1276">
        <f t="shared" si="97"/>
        <v>0.44613793680021901</v>
      </c>
      <c r="H1276">
        <v>177.90128843338192</v>
      </c>
      <c r="I1276">
        <v>162.98770131771641</v>
      </c>
      <c r="J1276">
        <v>242.63557833089328</v>
      </c>
      <c r="K1276">
        <f t="shared" si="98"/>
        <v>4.6911825746703837</v>
      </c>
      <c r="L1276">
        <f t="shared" si="99"/>
        <v>4.7833870304134551</v>
      </c>
    </row>
    <row r="1277" spans="1:12" x14ac:dyDescent="0.3">
      <c r="A1277">
        <v>4.8</v>
      </c>
      <c r="B1277">
        <v>5.3</v>
      </c>
      <c r="C1277">
        <v>5.3147877013177176</v>
      </c>
      <c r="D1277">
        <v>5.4679355783308887</v>
      </c>
      <c r="E1277">
        <f t="shared" si="95"/>
        <v>8.6451170338419828E-2</v>
      </c>
      <c r="F1277">
        <f t="shared" si="96"/>
        <v>0.26500637742797983</v>
      </c>
      <c r="G1277">
        <f t="shared" si="97"/>
        <v>2.8202358469330124E-2</v>
      </c>
      <c r="H1277">
        <v>177.90128843338192</v>
      </c>
      <c r="I1277">
        <v>162.98770131771641</v>
      </c>
      <c r="J1277">
        <v>242.63557833089328</v>
      </c>
      <c r="K1277">
        <f t="shared" si="98"/>
        <v>5.1103009672349859</v>
      </c>
      <c r="L1277">
        <f t="shared" si="99"/>
        <v>5.2434648500551235</v>
      </c>
    </row>
    <row r="1278" spans="1:12" x14ac:dyDescent="0.3">
      <c r="A1278">
        <v>4.8</v>
      </c>
      <c r="B1278">
        <v>4.9000000000000004</v>
      </c>
      <c r="C1278">
        <v>5.3147877013177176</v>
      </c>
      <c r="D1278">
        <v>5.4679355783308887</v>
      </c>
      <c r="E1278">
        <f t="shared" si="95"/>
        <v>0.29236625086550666</v>
      </c>
      <c r="F1278">
        <f t="shared" si="96"/>
        <v>0.26500637742797983</v>
      </c>
      <c r="G1278">
        <f t="shared" si="97"/>
        <v>0.32255082113404066</v>
      </c>
      <c r="H1278">
        <v>177.90128843338192</v>
      </c>
      <c r="I1278">
        <v>162.98770131771641</v>
      </c>
      <c r="J1278">
        <v>242.63557833089328</v>
      </c>
      <c r="K1278">
        <f t="shared" si="98"/>
        <v>4.7977819591564828</v>
      </c>
      <c r="L1278">
        <f t="shared" si="99"/>
        <v>4.9004041149880697</v>
      </c>
    </row>
    <row r="1279" spans="1:12" x14ac:dyDescent="0.3">
      <c r="A1279">
        <v>4.9000000000000004</v>
      </c>
      <c r="B1279">
        <v>5.2</v>
      </c>
      <c r="C1279">
        <v>5.3147877013177176</v>
      </c>
      <c r="D1279">
        <v>5.4679355783308887</v>
      </c>
      <c r="E1279">
        <f t="shared" si="95"/>
        <v>0.11113638263710243</v>
      </c>
      <c r="F1279">
        <f t="shared" si="96"/>
        <v>0.17204883716443581</v>
      </c>
      <c r="G1279">
        <f t="shared" si="97"/>
        <v>7.1789474135507708E-2</v>
      </c>
      <c r="H1279">
        <v>177.90128843338192</v>
      </c>
      <c r="I1279">
        <v>162.98770131771641</v>
      </c>
      <c r="J1279">
        <v>242.63557833089328</v>
      </c>
      <c r="K1279">
        <f t="shared" si="98"/>
        <v>5.0464060314485977</v>
      </c>
      <c r="L1279">
        <f t="shared" si="99"/>
        <v>5.1733256166922859</v>
      </c>
    </row>
    <row r="1280" spans="1:12" x14ac:dyDescent="0.3">
      <c r="A1280">
        <v>5.4</v>
      </c>
      <c r="B1280">
        <v>6.2</v>
      </c>
      <c r="C1280">
        <v>5.3147877013177176</v>
      </c>
      <c r="D1280">
        <v>5.4679355783308887</v>
      </c>
      <c r="E1280">
        <f t="shared" si="95"/>
        <v>6.2380892153940909E-2</v>
      </c>
      <c r="F1280">
        <f t="shared" si="96"/>
        <v>7.2611358467185661E-3</v>
      </c>
      <c r="G1280">
        <f t="shared" si="97"/>
        <v>0.53591831747373064</v>
      </c>
      <c r="H1280">
        <v>177.90128843338192</v>
      </c>
      <c r="I1280">
        <v>162.98770131771641</v>
      </c>
      <c r="J1280">
        <v>242.63557833089328</v>
      </c>
      <c r="K1280">
        <f t="shared" si="98"/>
        <v>5.8988776328110388</v>
      </c>
      <c r="L1280">
        <f t="shared" si="99"/>
        <v>6.1091072063795462</v>
      </c>
    </row>
    <row r="1281" spans="1:12" x14ac:dyDescent="0.3">
      <c r="A1281">
        <v>5</v>
      </c>
      <c r="B1281">
        <v>5.2</v>
      </c>
      <c r="C1281">
        <v>5.3147877013177176</v>
      </c>
      <c r="D1281">
        <v>5.4679355783308887</v>
      </c>
      <c r="E1281">
        <f t="shared" si="95"/>
        <v>8.4342824804013672E-2</v>
      </c>
      <c r="F1281">
        <f t="shared" si="96"/>
        <v>9.9091296900892592E-2</v>
      </c>
      <c r="G1281">
        <f t="shared" si="97"/>
        <v>7.1789474135507708E-2</v>
      </c>
      <c r="H1281">
        <v>177.90128843338192</v>
      </c>
      <c r="I1281">
        <v>162.98770131771641</v>
      </c>
      <c r="J1281">
        <v>242.63557833089328</v>
      </c>
      <c r="K1281">
        <f t="shared" si="98"/>
        <v>5.0606408476818334</v>
      </c>
      <c r="L1281">
        <f t="shared" si="99"/>
        <v>5.1889515670962103</v>
      </c>
    </row>
    <row r="1282" spans="1:12" x14ac:dyDescent="0.3">
      <c r="A1282">
        <v>5.2</v>
      </c>
      <c r="B1282">
        <v>5.6</v>
      </c>
      <c r="C1282">
        <v>5.3147877013177176</v>
      </c>
      <c r="D1282">
        <v>5.4679355783308887</v>
      </c>
      <c r="E1282">
        <f t="shared" si="95"/>
        <v>-1.5159371389250994E-2</v>
      </c>
      <c r="F1282">
        <f t="shared" si="96"/>
        <v>1.3176216373805507E-2</v>
      </c>
      <c r="G1282">
        <f t="shared" si="97"/>
        <v>1.7441011470796734E-2</v>
      </c>
      <c r="H1282">
        <v>177.90128843338192</v>
      </c>
      <c r="I1282">
        <v>162.98770131771641</v>
      </c>
      <c r="J1282">
        <v>242.63557833089328</v>
      </c>
      <c r="K1282">
        <f t="shared" si="98"/>
        <v>5.401629488226809</v>
      </c>
      <c r="L1282">
        <f t="shared" si="99"/>
        <v>5.563264202971113</v>
      </c>
    </row>
    <row r="1283" spans="1:12" x14ac:dyDescent="0.3">
      <c r="A1283">
        <v>5.4</v>
      </c>
      <c r="B1283">
        <v>5.2</v>
      </c>
      <c r="C1283">
        <v>5.3147877013177176</v>
      </c>
      <c r="D1283">
        <v>5.4679355783308887</v>
      </c>
      <c r="E1283">
        <f t="shared" ref="E1283:E1346" si="100">(A1283-C1283)*(B1283-D1283)</f>
        <v>-2.2831406528341841E-2</v>
      </c>
      <c r="F1283">
        <f t="shared" ref="F1283:F1346" si="101">(A1283-C1283)^2</f>
        <v>7.2611358467185661E-3</v>
      </c>
      <c r="G1283">
        <f t="shared" ref="G1283:G1346" si="102">(B1283-D1283)^2</f>
        <v>7.1789474135507708E-2</v>
      </c>
      <c r="H1283">
        <v>177.90128843338192</v>
      </c>
      <c r="I1283">
        <v>162.98770131771641</v>
      </c>
      <c r="J1283">
        <v>242.63557833089328</v>
      </c>
      <c r="K1283">
        <f t="shared" ref="K1283:K1346" si="103">(1.097727582*(B1283+0.366253474)+0.2*A1283)/(0.2+1.097727582^2)</f>
        <v>5.11758011261478</v>
      </c>
      <c r="L1283">
        <f t="shared" ref="L1283:L1346" si="104">1.097727582*K1283-0.366253474</f>
        <v>5.2514553687119108</v>
      </c>
    </row>
    <row r="1284" spans="1:12" x14ac:dyDescent="0.3">
      <c r="A1284">
        <v>5.7</v>
      </c>
      <c r="B1284">
        <v>5.9</v>
      </c>
      <c r="C1284">
        <v>5.3147877013177176</v>
      </c>
      <c r="D1284">
        <v>5.4679355783308887</v>
      </c>
      <c r="E1284">
        <f t="shared" si="100"/>
        <v>0.16643652904998951</v>
      </c>
      <c r="F1284">
        <f t="shared" si="101"/>
        <v>0.14838851505608808</v>
      </c>
      <c r="G1284">
        <f t="shared" si="102"/>
        <v>0.18667966447226389</v>
      </c>
      <c r="H1284">
        <v>177.90128843338192</v>
      </c>
      <c r="I1284">
        <v>162.98770131771641</v>
      </c>
      <c r="J1284">
        <v>242.63557833089328</v>
      </c>
      <c r="K1284">
        <f t="shared" si="103"/>
        <v>5.7071928254518696</v>
      </c>
      <c r="L1284">
        <f t="shared" si="104"/>
        <v>5.8986895062910296</v>
      </c>
    </row>
    <row r="1285" spans="1:12" x14ac:dyDescent="0.3">
      <c r="A1285">
        <v>4.8</v>
      </c>
      <c r="B1285">
        <v>5.2</v>
      </c>
      <c r="C1285">
        <v>5.3147877013177176</v>
      </c>
      <c r="D1285">
        <v>5.4679355783308887</v>
      </c>
      <c r="E1285">
        <f t="shared" si="100"/>
        <v>0.13792994047019144</v>
      </c>
      <c r="F1285">
        <f t="shared" si="101"/>
        <v>0.26500637742797983</v>
      </c>
      <c r="G1285">
        <f t="shared" si="102"/>
        <v>7.1789474135507708E-2</v>
      </c>
      <c r="H1285">
        <v>177.90128843338192</v>
      </c>
      <c r="I1285">
        <v>162.98770131771641</v>
      </c>
      <c r="J1285">
        <v>242.63557833089328</v>
      </c>
      <c r="K1285">
        <f t="shared" si="103"/>
        <v>5.032171215215361</v>
      </c>
      <c r="L1285">
        <f t="shared" si="104"/>
        <v>5.1576996662883605</v>
      </c>
    </row>
    <row r="1286" spans="1:12" x14ac:dyDescent="0.3">
      <c r="A1286">
        <v>5</v>
      </c>
      <c r="B1286">
        <v>5.6</v>
      </c>
      <c r="C1286">
        <v>5.3147877013177176</v>
      </c>
      <c r="D1286">
        <v>5.4679355783308887</v>
      </c>
      <c r="E1286">
        <f t="shared" si="100"/>
        <v>-4.1572255723073201E-2</v>
      </c>
      <c r="F1286">
        <f t="shared" si="101"/>
        <v>9.9091296900892592E-2</v>
      </c>
      <c r="G1286">
        <f t="shared" si="102"/>
        <v>1.7441011470796734E-2</v>
      </c>
      <c r="H1286">
        <v>177.90128843338192</v>
      </c>
      <c r="I1286">
        <v>162.98770131771641</v>
      </c>
      <c r="J1286">
        <v>242.63557833089328</v>
      </c>
      <c r="K1286">
        <f t="shared" si="103"/>
        <v>5.3731598557603357</v>
      </c>
      <c r="L1286">
        <f t="shared" si="104"/>
        <v>5.5320123021632632</v>
      </c>
    </row>
    <row r="1287" spans="1:12" x14ac:dyDescent="0.3">
      <c r="A1287">
        <v>5.2</v>
      </c>
      <c r="B1287">
        <v>5.0999999999999996</v>
      </c>
      <c r="C1287">
        <v>5.3147877013177176</v>
      </c>
      <c r="D1287">
        <v>5.4679355783308887</v>
      </c>
      <c r="E1287">
        <f t="shared" si="100"/>
        <v>4.2234479269607723E-2</v>
      </c>
      <c r="F1287">
        <f t="shared" si="101"/>
        <v>1.3176216373805507E-2</v>
      </c>
      <c r="G1287">
        <f t="shared" si="102"/>
        <v>0.13537658980168582</v>
      </c>
      <c r="H1287">
        <v>177.90128843338192</v>
      </c>
      <c r="I1287">
        <v>162.98770131771641</v>
      </c>
      <c r="J1287">
        <v>242.63557833089328</v>
      </c>
      <c r="K1287">
        <f t="shared" si="103"/>
        <v>5.0109807281286809</v>
      </c>
      <c r="L1287">
        <f t="shared" si="104"/>
        <v>5.1344382841372971</v>
      </c>
    </row>
    <row r="1288" spans="1:12" x14ac:dyDescent="0.3">
      <c r="A1288">
        <v>5.8</v>
      </c>
      <c r="B1288">
        <v>6.1</v>
      </c>
      <c r="C1288">
        <v>5.3147877013177176</v>
      </c>
      <c r="D1288">
        <v>5.4679355783308887</v>
      </c>
      <c r="E1288">
        <f t="shared" si="100"/>
        <v>0.3066854309533566</v>
      </c>
      <c r="F1288">
        <f t="shared" si="101"/>
        <v>0.23543097479254424</v>
      </c>
      <c r="G1288">
        <f t="shared" si="102"/>
        <v>0.39950543313990766</v>
      </c>
      <c r="H1288">
        <v>177.90128843338192</v>
      </c>
      <c r="I1288">
        <v>162.98770131771641</v>
      </c>
      <c r="J1288">
        <v>242.63557833089328</v>
      </c>
      <c r="K1288">
        <f t="shared" si="103"/>
        <v>5.8776871457243578</v>
      </c>
      <c r="L1288">
        <f t="shared" si="104"/>
        <v>6.0858458242284819</v>
      </c>
    </row>
    <row r="1289" spans="1:12" x14ac:dyDescent="0.3">
      <c r="A1289">
        <v>5.0999999999999996</v>
      </c>
      <c r="B1289">
        <v>5.0999999999999996</v>
      </c>
      <c r="C1289">
        <v>5.3147877013177176</v>
      </c>
      <c r="D1289">
        <v>5.4679355783308887</v>
      </c>
      <c r="E1289">
        <f t="shared" si="100"/>
        <v>7.9028037102696819E-2</v>
      </c>
      <c r="F1289">
        <f t="shared" si="101"/>
        <v>4.613375663734922E-2</v>
      </c>
      <c r="G1289">
        <f t="shared" si="102"/>
        <v>0.13537658980168582</v>
      </c>
      <c r="H1289">
        <v>177.90128843338192</v>
      </c>
      <c r="I1289">
        <v>162.98770131771641</v>
      </c>
      <c r="J1289">
        <v>242.63557833089328</v>
      </c>
      <c r="K1289">
        <f t="shared" si="103"/>
        <v>4.9967459118954443</v>
      </c>
      <c r="L1289">
        <f t="shared" si="104"/>
        <v>5.1188123337333717</v>
      </c>
    </row>
    <row r="1290" spans="1:12" x14ac:dyDescent="0.3">
      <c r="A1290">
        <v>5.2</v>
      </c>
      <c r="B1290">
        <v>5.3</v>
      </c>
      <c r="C1290">
        <v>5.3147877013177176</v>
      </c>
      <c r="D1290">
        <v>5.4679355783308887</v>
      </c>
      <c r="E1290">
        <f t="shared" si="100"/>
        <v>1.9276939006064215E-2</v>
      </c>
      <c r="F1290">
        <f t="shared" si="101"/>
        <v>1.3176216373805507E-2</v>
      </c>
      <c r="G1290">
        <f t="shared" si="102"/>
        <v>2.8202358469330124E-2</v>
      </c>
      <c r="H1290">
        <v>177.90128843338192</v>
      </c>
      <c r="I1290">
        <v>162.98770131771641</v>
      </c>
      <c r="J1290">
        <v>242.63557833089328</v>
      </c>
      <c r="K1290">
        <f t="shared" si="103"/>
        <v>5.1672402321679325</v>
      </c>
      <c r="L1290">
        <f t="shared" si="104"/>
        <v>5.305968651670824</v>
      </c>
    </row>
    <row r="1291" spans="1:12" x14ac:dyDescent="0.3">
      <c r="A1291">
        <v>4.9000000000000004</v>
      </c>
      <c r="B1291">
        <v>5</v>
      </c>
      <c r="C1291">
        <v>5.3147877013177176</v>
      </c>
      <c r="D1291">
        <v>5.4679355783308887</v>
      </c>
      <c r="E1291">
        <f t="shared" si="100"/>
        <v>0.19409392290064595</v>
      </c>
      <c r="F1291">
        <f t="shared" si="101"/>
        <v>0.17204883716443581</v>
      </c>
      <c r="G1291">
        <f t="shared" si="102"/>
        <v>0.21896370546786328</v>
      </c>
      <c r="H1291">
        <v>177.90128843338192</v>
      </c>
      <c r="I1291">
        <v>162.98770131771641</v>
      </c>
      <c r="J1291">
        <v>242.63557833089328</v>
      </c>
      <c r="K1291">
        <f t="shared" si="103"/>
        <v>4.8901465274093461</v>
      </c>
      <c r="L1291">
        <f t="shared" si="104"/>
        <v>5.0017952491587589</v>
      </c>
    </row>
    <row r="1292" spans="1:12" x14ac:dyDescent="0.3">
      <c r="A1292">
        <v>5.2</v>
      </c>
      <c r="B1292">
        <v>5.4</v>
      </c>
      <c r="C1292">
        <v>5.3147877013177176</v>
      </c>
      <c r="D1292">
        <v>5.4679355783308887</v>
      </c>
      <c r="E1292">
        <f t="shared" si="100"/>
        <v>7.7981688742924105E-3</v>
      </c>
      <c r="F1292">
        <f t="shared" si="101"/>
        <v>1.3176216373805507E-2</v>
      </c>
      <c r="G1292">
        <f t="shared" si="102"/>
        <v>4.615242803152269E-3</v>
      </c>
      <c r="H1292">
        <v>177.90128843338192</v>
      </c>
      <c r="I1292">
        <v>162.98770131771641</v>
      </c>
      <c r="J1292">
        <v>242.63557833089328</v>
      </c>
      <c r="K1292">
        <f t="shared" si="103"/>
        <v>5.2453699841875583</v>
      </c>
      <c r="L1292">
        <f t="shared" si="104"/>
        <v>5.391733835437587</v>
      </c>
    </row>
    <row r="1293" spans="1:12" x14ac:dyDescent="0.3">
      <c r="A1293">
        <v>5.4</v>
      </c>
      <c r="B1293">
        <v>5.3</v>
      </c>
      <c r="C1293">
        <v>5.3147877013177176</v>
      </c>
      <c r="D1293">
        <v>5.4679355783308887</v>
      </c>
      <c r="E1293">
        <f t="shared" si="100"/>
        <v>-1.4310176660113597E-2</v>
      </c>
      <c r="F1293">
        <f t="shared" si="101"/>
        <v>7.2611358467185661E-3</v>
      </c>
      <c r="G1293">
        <f t="shared" si="102"/>
        <v>2.8202358469330124E-2</v>
      </c>
      <c r="H1293">
        <v>177.90128843338192</v>
      </c>
      <c r="I1293">
        <v>162.98770131771641</v>
      </c>
      <c r="J1293">
        <v>242.63557833089328</v>
      </c>
      <c r="K1293">
        <f t="shared" si="103"/>
        <v>5.1957098646344058</v>
      </c>
      <c r="L1293">
        <f t="shared" si="104"/>
        <v>5.3372205524786747</v>
      </c>
    </row>
    <row r="1294" spans="1:12" x14ac:dyDescent="0.3">
      <c r="A1294">
        <v>5.9</v>
      </c>
      <c r="B1294">
        <v>5.9</v>
      </c>
      <c r="C1294">
        <v>5.3147877013177176</v>
      </c>
      <c r="D1294">
        <v>5.4679355783308887</v>
      </c>
      <c r="E1294">
        <f t="shared" si="100"/>
        <v>0.25284941338381189</v>
      </c>
      <c r="F1294">
        <f t="shared" si="101"/>
        <v>0.34247343452900131</v>
      </c>
      <c r="G1294">
        <f t="shared" si="102"/>
        <v>0.18667966447226389</v>
      </c>
      <c r="H1294">
        <v>177.90128843338192</v>
      </c>
      <c r="I1294">
        <v>162.98770131771641</v>
      </c>
      <c r="J1294">
        <v>242.63557833089328</v>
      </c>
      <c r="K1294">
        <f t="shared" si="103"/>
        <v>5.7356624579183437</v>
      </c>
      <c r="L1294">
        <f t="shared" si="104"/>
        <v>5.9299414070988812</v>
      </c>
    </row>
    <row r="1295" spans="1:12" x14ac:dyDescent="0.3">
      <c r="A1295">
        <v>5.6</v>
      </c>
      <c r="B1295">
        <v>5.5</v>
      </c>
      <c r="C1295">
        <v>5.3147877013177176</v>
      </c>
      <c r="D1295">
        <v>5.4679355783308887</v>
      </c>
      <c r="E1295">
        <f t="shared" si="100"/>
        <v>9.1451674101652013E-3</v>
      </c>
      <c r="F1295">
        <f t="shared" si="101"/>
        <v>8.1346055319631266E-2</v>
      </c>
      <c r="G1295">
        <f t="shared" si="102"/>
        <v>1.0281271369745727E-3</v>
      </c>
      <c r="H1295">
        <v>177.90128843338192</v>
      </c>
      <c r="I1295">
        <v>162.98770131771641</v>
      </c>
      <c r="J1295">
        <v>242.63557833089328</v>
      </c>
      <c r="K1295">
        <f t="shared" si="103"/>
        <v>5.3804390011401306</v>
      </c>
      <c r="L1295">
        <f t="shared" si="104"/>
        <v>5.5400028208200514</v>
      </c>
    </row>
    <row r="1296" spans="1:12" x14ac:dyDescent="0.3">
      <c r="A1296">
        <v>5.2</v>
      </c>
      <c r="B1296">
        <v>5</v>
      </c>
      <c r="C1296">
        <v>5.3147877013177176</v>
      </c>
      <c r="D1296">
        <v>5.4679355783308887</v>
      </c>
      <c r="E1296">
        <f t="shared" si="100"/>
        <v>5.371324940137942E-2</v>
      </c>
      <c r="F1296">
        <f t="shared" si="101"/>
        <v>1.3176216373805507E-2</v>
      </c>
      <c r="G1296">
        <f t="shared" si="102"/>
        <v>0.21896370546786328</v>
      </c>
      <c r="H1296">
        <v>177.90128843338192</v>
      </c>
      <c r="I1296">
        <v>162.98770131771641</v>
      </c>
      <c r="J1296">
        <v>242.63557833089328</v>
      </c>
      <c r="K1296">
        <f t="shared" si="103"/>
        <v>4.9328509761090551</v>
      </c>
      <c r="L1296">
        <f t="shared" si="104"/>
        <v>5.0486731003705341</v>
      </c>
    </row>
    <row r="1297" spans="1:12" x14ac:dyDescent="0.3">
      <c r="A1297">
        <v>5.0999999999999996</v>
      </c>
      <c r="B1297">
        <v>5.2</v>
      </c>
      <c r="C1297">
        <v>5.3147877013177176</v>
      </c>
      <c r="D1297">
        <v>5.4679355783308887</v>
      </c>
      <c r="E1297">
        <f t="shared" si="100"/>
        <v>5.7549266970924912E-2</v>
      </c>
      <c r="F1297">
        <f t="shared" si="101"/>
        <v>4.613375663734922E-2</v>
      </c>
      <c r="G1297">
        <f t="shared" si="102"/>
        <v>7.1789474135507708E-2</v>
      </c>
      <c r="H1297">
        <v>177.90128843338192</v>
      </c>
      <c r="I1297">
        <v>162.98770131771641</v>
      </c>
      <c r="J1297">
        <v>242.63557833089328</v>
      </c>
      <c r="K1297">
        <f t="shared" si="103"/>
        <v>5.0748756639150701</v>
      </c>
      <c r="L1297">
        <f t="shared" si="104"/>
        <v>5.2045775175001356</v>
      </c>
    </row>
    <row r="1298" spans="1:12" x14ac:dyDescent="0.3">
      <c r="A1298">
        <v>4.8</v>
      </c>
      <c r="B1298">
        <v>5.0999999999999996</v>
      </c>
      <c r="C1298">
        <v>5.3147877013177176</v>
      </c>
      <c r="D1298">
        <v>5.4679355783308887</v>
      </c>
      <c r="E1298">
        <f t="shared" si="100"/>
        <v>0.18940871060196349</v>
      </c>
      <c r="F1298">
        <f t="shared" si="101"/>
        <v>0.26500637742797983</v>
      </c>
      <c r="G1298">
        <f t="shared" si="102"/>
        <v>0.13537658980168582</v>
      </c>
      <c r="H1298">
        <v>177.90128843338192</v>
      </c>
      <c r="I1298">
        <v>162.98770131771641</v>
      </c>
      <c r="J1298">
        <v>242.63557833089328</v>
      </c>
      <c r="K1298">
        <f t="shared" si="103"/>
        <v>4.9540414631957344</v>
      </c>
      <c r="L1298">
        <f t="shared" si="104"/>
        <v>5.0719344825215966</v>
      </c>
    </row>
    <row r="1299" spans="1:12" x14ac:dyDescent="0.3">
      <c r="A1299">
        <v>5</v>
      </c>
      <c r="B1299">
        <v>5.2</v>
      </c>
      <c r="C1299">
        <v>5.3147877013177176</v>
      </c>
      <c r="D1299">
        <v>5.4679355783308887</v>
      </c>
      <c r="E1299">
        <f t="shared" si="100"/>
        <v>8.4342824804013672E-2</v>
      </c>
      <c r="F1299">
        <f t="shared" si="101"/>
        <v>9.9091296900892592E-2</v>
      </c>
      <c r="G1299">
        <f t="shared" si="102"/>
        <v>7.1789474135507708E-2</v>
      </c>
      <c r="H1299">
        <v>177.90128843338192</v>
      </c>
      <c r="I1299">
        <v>162.98770131771641</v>
      </c>
      <c r="J1299">
        <v>242.63557833089328</v>
      </c>
      <c r="K1299">
        <f t="shared" si="103"/>
        <v>5.0606408476818334</v>
      </c>
      <c r="L1299">
        <f t="shared" si="104"/>
        <v>5.1889515670962103</v>
      </c>
    </row>
    <row r="1300" spans="1:12" x14ac:dyDescent="0.3">
      <c r="A1300">
        <v>5.9</v>
      </c>
      <c r="B1300">
        <v>6.5</v>
      </c>
      <c r="C1300">
        <v>5.3147877013177176</v>
      </c>
      <c r="D1300">
        <v>5.4679355783308887</v>
      </c>
      <c r="E1300">
        <f t="shared" si="100"/>
        <v>0.60397679259318138</v>
      </c>
      <c r="F1300">
        <f t="shared" si="101"/>
        <v>0.34247343452900131</v>
      </c>
      <c r="G1300">
        <f t="shared" si="102"/>
        <v>1.0651569704751971</v>
      </c>
      <c r="H1300">
        <v>177.90128843338192</v>
      </c>
      <c r="I1300">
        <v>162.98770131771641</v>
      </c>
      <c r="J1300">
        <v>242.63557833089328</v>
      </c>
      <c r="K1300">
        <f t="shared" si="103"/>
        <v>6.2044409700360976</v>
      </c>
      <c r="L1300">
        <f t="shared" si="104"/>
        <v>6.444532509699461</v>
      </c>
    </row>
    <row r="1301" spans="1:12" x14ac:dyDescent="0.3">
      <c r="A1301">
        <v>5</v>
      </c>
      <c r="B1301">
        <v>5.2</v>
      </c>
      <c r="C1301">
        <v>5.3147877013177176</v>
      </c>
      <c r="D1301">
        <v>5.4679355783308887</v>
      </c>
      <c r="E1301">
        <f t="shared" si="100"/>
        <v>8.4342824804013672E-2</v>
      </c>
      <c r="F1301">
        <f t="shared" si="101"/>
        <v>9.9091296900892592E-2</v>
      </c>
      <c r="G1301">
        <f t="shared" si="102"/>
        <v>7.1789474135507708E-2</v>
      </c>
      <c r="H1301">
        <v>177.90128843338192</v>
      </c>
      <c r="I1301">
        <v>162.98770131771641</v>
      </c>
      <c r="J1301">
        <v>242.63557833089328</v>
      </c>
      <c r="K1301">
        <f t="shared" si="103"/>
        <v>5.0606408476818334</v>
      </c>
      <c r="L1301">
        <f t="shared" si="104"/>
        <v>5.1889515670962103</v>
      </c>
    </row>
    <row r="1302" spans="1:12" x14ac:dyDescent="0.3">
      <c r="A1302">
        <v>5.3</v>
      </c>
      <c r="B1302">
        <v>5.2</v>
      </c>
      <c r="C1302">
        <v>5.3147877013177176</v>
      </c>
      <c r="D1302">
        <v>5.4679355783308887</v>
      </c>
      <c r="E1302">
        <f t="shared" si="100"/>
        <v>3.9621513047471569E-3</v>
      </c>
      <c r="F1302">
        <f t="shared" si="101"/>
        <v>2.1867611026203226E-4</v>
      </c>
      <c r="G1302">
        <f t="shared" si="102"/>
        <v>7.1789474135507708E-2</v>
      </c>
      <c r="H1302">
        <v>177.90128843338192</v>
      </c>
      <c r="I1302">
        <v>162.98770131771641</v>
      </c>
      <c r="J1302">
        <v>242.63557833089328</v>
      </c>
      <c r="K1302">
        <f t="shared" si="103"/>
        <v>5.1033452963815442</v>
      </c>
      <c r="L1302">
        <f t="shared" si="104"/>
        <v>5.2358294183079863</v>
      </c>
    </row>
    <row r="1303" spans="1:12" x14ac:dyDescent="0.3">
      <c r="A1303">
        <v>5.2</v>
      </c>
      <c r="B1303">
        <v>5.2</v>
      </c>
      <c r="C1303">
        <v>5.3147877013177176</v>
      </c>
      <c r="D1303">
        <v>5.4679355783308887</v>
      </c>
      <c r="E1303">
        <f t="shared" si="100"/>
        <v>3.0755709137835915E-2</v>
      </c>
      <c r="F1303">
        <f t="shared" si="101"/>
        <v>1.3176216373805507E-2</v>
      </c>
      <c r="G1303">
        <f t="shared" si="102"/>
        <v>7.1789474135507708E-2</v>
      </c>
      <c r="H1303">
        <v>177.90128843338192</v>
      </c>
      <c r="I1303">
        <v>162.98770131771641</v>
      </c>
      <c r="J1303">
        <v>242.63557833089328</v>
      </c>
      <c r="K1303">
        <f t="shared" si="103"/>
        <v>5.0891104801483067</v>
      </c>
      <c r="L1303">
        <f t="shared" si="104"/>
        <v>5.2202034679040601</v>
      </c>
    </row>
    <row r="1304" spans="1:12" x14ac:dyDescent="0.3">
      <c r="A1304">
        <v>6</v>
      </c>
      <c r="B1304">
        <v>6.6</v>
      </c>
      <c r="C1304">
        <v>5.3147877013177176</v>
      </c>
      <c r="D1304">
        <v>5.4679355783308887</v>
      </c>
      <c r="E1304">
        <f t="shared" si="100"/>
        <v>0.7757044646283201</v>
      </c>
      <c r="F1304">
        <f t="shared" si="101"/>
        <v>0.46951589426545737</v>
      </c>
      <c r="G1304">
        <f t="shared" si="102"/>
        <v>1.2815698548090186</v>
      </c>
      <c r="H1304">
        <v>177.90128843338192</v>
      </c>
      <c r="I1304">
        <v>162.98770131771641</v>
      </c>
      <c r="J1304">
        <v>242.63557833089328</v>
      </c>
      <c r="K1304">
        <f t="shared" si="103"/>
        <v>6.2968055382889592</v>
      </c>
      <c r="L1304">
        <f t="shared" si="104"/>
        <v>6.5459236438701485</v>
      </c>
    </row>
    <row r="1305" spans="1:12" x14ac:dyDescent="0.3">
      <c r="A1305">
        <v>5.8</v>
      </c>
      <c r="B1305">
        <v>6.2</v>
      </c>
      <c r="C1305">
        <v>5.3147877013177176</v>
      </c>
      <c r="D1305">
        <v>5.4679355783308887</v>
      </c>
      <c r="E1305">
        <f t="shared" si="100"/>
        <v>0.35520666082158509</v>
      </c>
      <c r="F1305">
        <f t="shared" si="101"/>
        <v>0.23543097479254424</v>
      </c>
      <c r="G1305">
        <f t="shared" si="102"/>
        <v>0.53591831747373064</v>
      </c>
      <c r="H1305">
        <v>177.90128843338192</v>
      </c>
      <c r="I1305">
        <v>162.98770131771641</v>
      </c>
      <c r="J1305">
        <v>242.63557833089328</v>
      </c>
      <c r="K1305">
        <f t="shared" si="103"/>
        <v>5.9558168977439836</v>
      </c>
      <c r="L1305">
        <f t="shared" si="104"/>
        <v>6.1716110079952449</v>
      </c>
    </row>
    <row r="1306" spans="1:12" x14ac:dyDescent="0.3">
      <c r="A1306">
        <v>6</v>
      </c>
      <c r="B1306">
        <v>6.3</v>
      </c>
      <c r="C1306">
        <v>5.3147877013177176</v>
      </c>
      <c r="D1306">
        <v>5.4679355783308887</v>
      </c>
      <c r="E1306">
        <f t="shared" si="100"/>
        <v>0.57014077502363547</v>
      </c>
      <c r="F1306">
        <f t="shared" si="101"/>
        <v>0.46951589426545737</v>
      </c>
      <c r="G1306">
        <f t="shared" si="102"/>
        <v>0.69233120180755237</v>
      </c>
      <c r="H1306">
        <v>177.90128843338192</v>
      </c>
      <c r="I1306">
        <v>162.98770131771641</v>
      </c>
      <c r="J1306">
        <v>242.63557833089328</v>
      </c>
      <c r="K1306">
        <f t="shared" si="103"/>
        <v>6.0624162822300836</v>
      </c>
      <c r="L1306">
        <f t="shared" si="104"/>
        <v>6.2886280925698603</v>
      </c>
    </row>
    <row r="1307" spans="1:12" x14ac:dyDescent="0.3">
      <c r="A1307">
        <v>5.5</v>
      </c>
      <c r="B1307">
        <v>5.2</v>
      </c>
      <c r="C1307">
        <v>5.3147877013177176</v>
      </c>
      <c r="D1307">
        <v>5.4679355783308887</v>
      </c>
      <c r="E1307">
        <f t="shared" si="100"/>
        <v>-4.9624964361430601E-2</v>
      </c>
      <c r="F1307">
        <f t="shared" si="101"/>
        <v>3.4303595583174987E-2</v>
      </c>
      <c r="G1307">
        <f t="shared" si="102"/>
        <v>7.1789474135507708E-2</v>
      </c>
      <c r="H1307">
        <v>177.90128843338192</v>
      </c>
      <c r="I1307">
        <v>162.98770131771641</v>
      </c>
      <c r="J1307">
        <v>242.63557833089328</v>
      </c>
      <c r="K1307">
        <f t="shared" si="103"/>
        <v>5.1318149288480166</v>
      </c>
      <c r="L1307">
        <f t="shared" si="104"/>
        <v>5.2670813191158361</v>
      </c>
    </row>
    <row r="1308" spans="1:12" x14ac:dyDescent="0.3">
      <c r="A1308">
        <v>4.5999999999999996</v>
      </c>
      <c r="B1308">
        <v>5.7</v>
      </c>
      <c r="C1308">
        <v>5.3147877013177176</v>
      </c>
      <c r="D1308">
        <v>5.4679355783308887</v>
      </c>
      <c r="E1308">
        <f t="shared" si="100"/>
        <v>-0.1658767945224898</v>
      </c>
      <c r="F1308">
        <f t="shared" si="101"/>
        <v>0.51092145795506716</v>
      </c>
      <c r="G1308">
        <f t="shared" si="102"/>
        <v>5.3853895804619169E-2</v>
      </c>
      <c r="H1308">
        <v>177.90128843338192</v>
      </c>
      <c r="I1308">
        <v>162.98770131771641</v>
      </c>
      <c r="J1308">
        <v>242.63557833089328</v>
      </c>
      <c r="K1308">
        <f t="shared" si="103"/>
        <v>5.3943503428470159</v>
      </c>
      <c r="L1308">
        <f t="shared" si="104"/>
        <v>5.5552736843143267</v>
      </c>
    </row>
    <row r="1309" spans="1:12" x14ac:dyDescent="0.3">
      <c r="A1309">
        <v>5.3</v>
      </c>
      <c r="B1309">
        <v>5.4</v>
      </c>
      <c r="C1309">
        <v>5.3147877013177176</v>
      </c>
      <c r="D1309">
        <v>5.4679355783308887</v>
      </c>
      <c r="E1309">
        <f t="shared" si="100"/>
        <v>1.0046110412035977E-3</v>
      </c>
      <c r="F1309">
        <f t="shared" si="101"/>
        <v>2.1867611026203226E-4</v>
      </c>
      <c r="G1309">
        <f t="shared" si="102"/>
        <v>4.615242803152269E-3</v>
      </c>
      <c r="H1309">
        <v>177.90128843338192</v>
      </c>
      <c r="I1309">
        <v>162.98770131771641</v>
      </c>
      <c r="J1309">
        <v>242.63557833089328</v>
      </c>
      <c r="K1309">
        <f t="shared" si="103"/>
        <v>5.2596048004207958</v>
      </c>
      <c r="L1309">
        <f t="shared" si="104"/>
        <v>5.4073597858415132</v>
      </c>
    </row>
    <row r="1310" spans="1:12" x14ac:dyDescent="0.3">
      <c r="A1310">
        <v>5.0999999999999996</v>
      </c>
      <c r="B1310">
        <v>5</v>
      </c>
      <c r="C1310">
        <v>5.3147877013177176</v>
      </c>
      <c r="D1310">
        <v>5.4679355783308887</v>
      </c>
      <c r="E1310">
        <f t="shared" si="100"/>
        <v>0.10050680723446855</v>
      </c>
      <c r="F1310">
        <f t="shared" si="101"/>
        <v>4.613375663734922E-2</v>
      </c>
      <c r="G1310">
        <f t="shared" si="102"/>
        <v>0.21896370546786328</v>
      </c>
      <c r="H1310">
        <v>177.90128843338192</v>
      </c>
      <c r="I1310">
        <v>162.98770131771641</v>
      </c>
      <c r="J1310">
        <v>242.63557833089328</v>
      </c>
      <c r="K1310">
        <f t="shared" si="103"/>
        <v>4.9186161598758185</v>
      </c>
      <c r="L1310">
        <f t="shared" si="104"/>
        <v>5.0330471499666087</v>
      </c>
    </row>
    <row r="1311" spans="1:12" x14ac:dyDescent="0.3">
      <c r="A1311">
        <v>5</v>
      </c>
      <c r="B1311">
        <v>5.2</v>
      </c>
      <c r="C1311">
        <v>5.3147877013177176</v>
      </c>
      <c r="D1311">
        <v>5.4679355783308887</v>
      </c>
      <c r="E1311">
        <f t="shared" si="100"/>
        <v>8.4342824804013672E-2</v>
      </c>
      <c r="F1311">
        <f t="shared" si="101"/>
        <v>9.9091296900892592E-2</v>
      </c>
      <c r="G1311">
        <f t="shared" si="102"/>
        <v>7.1789474135507708E-2</v>
      </c>
      <c r="H1311">
        <v>177.90128843338192</v>
      </c>
      <c r="I1311">
        <v>162.98770131771641</v>
      </c>
      <c r="J1311">
        <v>242.63557833089328</v>
      </c>
      <c r="K1311">
        <f t="shared" si="103"/>
        <v>5.0606408476818334</v>
      </c>
      <c r="L1311">
        <f t="shared" si="104"/>
        <v>5.1889515670962103</v>
      </c>
    </row>
    <row r="1312" spans="1:12" x14ac:dyDescent="0.3">
      <c r="A1312">
        <v>5.4</v>
      </c>
      <c r="B1312">
        <v>5.7</v>
      </c>
      <c r="C1312">
        <v>5.3147877013177176</v>
      </c>
      <c r="D1312">
        <v>5.4679355783308887</v>
      </c>
      <c r="E1312">
        <f t="shared" si="100"/>
        <v>1.9774742812799534E-2</v>
      </c>
      <c r="F1312">
        <f t="shared" si="101"/>
        <v>7.2611358467185661E-3</v>
      </c>
      <c r="G1312">
        <f t="shared" si="102"/>
        <v>5.3853895804619169E-2</v>
      </c>
      <c r="H1312">
        <v>177.90128843338192</v>
      </c>
      <c r="I1312">
        <v>162.98770131771641</v>
      </c>
      <c r="J1312">
        <v>242.63557833089328</v>
      </c>
      <c r="K1312">
        <f t="shared" si="103"/>
        <v>5.508228872712909</v>
      </c>
      <c r="L1312">
        <f t="shared" si="104"/>
        <v>5.6802812875457285</v>
      </c>
    </row>
    <row r="1313" spans="1:12" x14ac:dyDescent="0.3">
      <c r="A1313">
        <v>4.5</v>
      </c>
      <c r="B1313">
        <v>4.7</v>
      </c>
      <c r="C1313">
        <v>5.3147877013177176</v>
      </c>
      <c r="D1313">
        <v>5.4679355783308887</v>
      </c>
      <c r="E1313">
        <f t="shared" si="100"/>
        <v>0.62570446462831675</v>
      </c>
      <c r="F1313">
        <f t="shared" si="101"/>
        <v>0.66387899821861018</v>
      </c>
      <c r="G1313">
        <f t="shared" si="102"/>
        <v>0.58972505246639628</v>
      </c>
      <c r="H1313">
        <v>177.90128843338192</v>
      </c>
      <c r="I1313">
        <v>162.98770131771641</v>
      </c>
      <c r="J1313">
        <v>242.63557833089328</v>
      </c>
      <c r="K1313">
        <f t="shared" si="103"/>
        <v>4.5988180064175221</v>
      </c>
      <c r="L1313">
        <f t="shared" si="104"/>
        <v>4.6819958962427677</v>
      </c>
    </row>
    <row r="1314" spans="1:12" x14ac:dyDescent="0.3">
      <c r="A1314">
        <v>4.8</v>
      </c>
      <c r="B1314">
        <v>5.2</v>
      </c>
      <c r="C1314">
        <v>5.3147877013177176</v>
      </c>
      <c r="D1314">
        <v>5.4679355783308887</v>
      </c>
      <c r="E1314">
        <f t="shared" si="100"/>
        <v>0.13792994047019144</v>
      </c>
      <c r="F1314">
        <f t="shared" si="101"/>
        <v>0.26500637742797983</v>
      </c>
      <c r="G1314">
        <f t="shared" si="102"/>
        <v>7.1789474135507708E-2</v>
      </c>
      <c r="H1314">
        <v>177.90128843338192</v>
      </c>
      <c r="I1314">
        <v>162.98770131771641</v>
      </c>
      <c r="J1314">
        <v>242.63557833089328</v>
      </c>
      <c r="K1314">
        <f t="shared" si="103"/>
        <v>5.032171215215361</v>
      </c>
      <c r="L1314">
        <f t="shared" si="104"/>
        <v>5.1576996662883605</v>
      </c>
    </row>
    <row r="1315" spans="1:12" x14ac:dyDescent="0.3">
      <c r="A1315">
        <v>5.4</v>
      </c>
      <c r="B1315">
        <v>5.4</v>
      </c>
      <c r="C1315">
        <v>5.3147877013177176</v>
      </c>
      <c r="D1315">
        <v>5.4679355783308887</v>
      </c>
      <c r="E1315">
        <f t="shared" si="100"/>
        <v>-5.7889467918852758E-3</v>
      </c>
      <c r="F1315">
        <f t="shared" si="101"/>
        <v>7.2611358467185661E-3</v>
      </c>
      <c r="G1315">
        <f t="shared" si="102"/>
        <v>4.615242803152269E-3</v>
      </c>
      <c r="H1315">
        <v>177.90128843338192</v>
      </c>
      <c r="I1315">
        <v>162.98770131771641</v>
      </c>
      <c r="J1315">
        <v>242.63557833089328</v>
      </c>
      <c r="K1315">
        <f t="shared" si="103"/>
        <v>5.2738396166540316</v>
      </c>
      <c r="L1315">
        <f t="shared" si="104"/>
        <v>5.4229857362454377</v>
      </c>
    </row>
    <row r="1316" spans="1:12" x14ac:dyDescent="0.3">
      <c r="A1316">
        <v>5.2</v>
      </c>
      <c r="B1316">
        <v>5.3</v>
      </c>
      <c r="C1316">
        <v>5.3147877013177176</v>
      </c>
      <c r="D1316">
        <v>5.4679355783308887</v>
      </c>
      <c r="E1316">
        <f t="shared" si="100"/>
        <v>1.9276939006064215E-2</v>
      </c>
      <c r="F1316">
        <f t="shared" si="101"/>
        <v>1.3176216373805507E-2</v>
      </c>
      <c r="G1316">
        <f t="shared" si="102"/>
        <v>2.8202358469330124E-2</v>
      </c>
      <c r="H1316">
        <v>177.90128843338192</v>
      </c>
      <c r="I1316">
        <v>162.98770131771641</v>
      </c>
      <c r="J1316">
        <v>242.63557833089328</v>
      </c>
      <c r="K1316">
        <f t="shared" si="103"/>
        <v>5.1672402321679325</v>
      </c>
      <c r="L1316">
        <f t="shared" si="104"/>
        <v>5.305968651670824</v>
      </c>
    </row>
    <row r="1317" spans="1:12" x14ac:dyDescent="0.3">
      <c r="A1317">
        <v>5.7</v>
      </c>
      <c r="B1317">
        <v>5.7</v>
      </c>
      <c r="C1317">
        <v>5.3147877013177176</v>
      </c>
      <c r="D1317">
        <v>5.4679355783308887</v>
      </c>
      <c r="E1317">
        <f t="shared" si="100"/>
        <v>8.9394069313532928E-2</v>
      </c>
      <c r="F1317">
        <f t="shared" si="101"/>
        <v>0.14838851505608808</v>
      </c>
      <c r="G1317">
        <f t="shared" si="102"/>
        <v>5.3853895804619169E-2</v>
      </c>
      <c r="H1317">
        <v>177.90128843338192</v>
      </c>
      <c r="I1317">
        <v>162.98770131771641</v>
      </c>
      <c r="J1317">
        <v>242.63557833089328</v>
      </c>
      <c r="K1317">
        <f t="shared" si="103"/>
        <v>5.550933321412618</v>
      </c>
      <c r="L1317">
        <f t="shared" si="104"/>
        <v>5.7271591387575027</v>
      </c>
    </row>
    <row r="1318" spans="1:12" x14ac:dyDescent="0.3">
      <c r="A1318">
        <v>5</v>
      </c>
      <c r="B1318">
        <v>5.0999999999999996</v>
      </c>
      <c r="C1318">
        <v>5.3147877013177176</v>
      </c>
      <c r="D1318">
        <v>5.4679355783308887</v>
      </c>
      <c r="E1318">
        <f t="shared" si="100"/>
        <v>0.1158215949357856</v>
      </c>
      <c r="F1318">
        <f t="shared" si="101"/>
        <v>9.9091296900892592E-2</v>
      </c>
      <c r="G1318">
        <f t="shared" si="102"/>
        <v>0.13537658980168582</v>
      </c>
      <c r="H1318">
        <v>177.90128843338192</v>
      </c>
      <c r="I1318">
        <v>162.98770131771641</v>
      </c>
      <c r="J1318">
        <v>242.63557833089328</v>
      </c>
      <c r="K1318">
        <f t="shared" si="103"/>
        <v>4.9825110956622076</v>
      </c>
      <c r="L1318">
        <f t="shared" si="104"/>
        <v>5.1031863833294464</v>
      </c>
    </row>
    <row r="1319" spans="1:12" x14ac:dyDescent="0.3">
      <c r="A1319">
        <v>5.0999999999999996</v>
      </c>
      <c r="B1319">
        <v>5.2</v>
      </c>
      <c r="C1319">
        <v>5.3147877013177176</v>
      </c>
      <c r="D1319">
        <v>5.4679355783308887</v>
      </c>
      <c r="E1319">
        <f t="shared" si="100"/>
        <v>5.7549266970924912E-2</v>
      </c>
      <c r="F1319">
        <f t="shared" si="101"/>
        <v>4.613375663734922E-2</v>
      </c>
      <c r="G1319">
        <f t="shared" si="102"/>
        <v>7.1789474135507708E-2</v>
      </c>
      <c r="H1319">
        <v>177.90128843338192</v>
      </c>
      <c r="I1319">
        <v>162.98770131771641</v>
      </c>
      <c r="J1319">
        <v>242.63557833089328</v>
      </c>
      <c r="K1319">
        <f t="shared" si="103"/>
        <v>5.0748756639150701</v>
      </c>
      <c r="L1319">
        <f t="shared" si="104"/>
        <v>5.2045775175001356</v>
      </c>
    </row>
    <row r="1320" spans="1:12" x14ac:dyDescent="0.3">
      <c r="A1320">
        <v>5.2</v>
      </c>
      <c r="B1320">
        <v>5.2</v>
      </c>
      <c r="C1320">
        <v>5.3147877013177176</v>
      </c>
      <c r="D1320">
        <v>5.4679355783308887</v>
      </c>
      <c r="E1320">
        <f t="shared" si="100"/>
        <v>3.0755709137835915E-2</v>
      </c>
      <c r="F1320">
        <f t="shared" si="101"/>
        <v>1.3176216373805507E-2</v>
      </c>
      <c r="G1320">
        <f t="shared" si="102"/>
        <v>7.1789474135507708E-2</v>
      </c>
      <c r="H1320">
        <v>177.90128843338192</v>
      </c>
      <c r="I1320">
        <v>162.98770131771641</v>
      </c>
      <c r="J1320">
        <v>242.63557833089328</v>
      </c>
      <c r="K1320">
        <f t="shared" si="103"/>
        <v>5.0891104801483067</v>
      </c>
      <c r="L1320">
        <f t="shared" si="104"/>
        <v>5.2202034679040601</v>
      </c>
    </row>
    <row r="1321" spans="1:12" x14ac:dyDescent="0.3">
      <c r="A1321">
        <v>5.0999999999999996</v>
      </c>
      <c r="B1321">
        <v>5.2</v>
      </c>
      <c r="C1321">
        <v>5.3147877013177176</v>
      </c>
      <c r="D1321">
        <v>5.4679355783308887</v>
      </c>
      <c r="E1321">
        <f t="shared" si="100"/>
        <v>5.7549266970924912E-2</v>
      </c>
      <c r="F1321">
        <f t="shared" si="101"/>
        <v>4.613375663734922E-2</v>
      </c>
      <c r="G1321">
        <f t="shared" si="102"/>
        <v>7.1789474135507708E-2</v>
      </c>
      <c r="H1321">
        <v>177.90128843338192</v>
      </c>
      <c r="I1321">
        <v>162.98770131771641</v>
      </c>
      <c r="J1321">
        <v>242.63557833089328</v>
      </c>
      <c r="K1321">
        <f t="shared" si="103"/>
        <v>5.0748756639150701</v>
      </c>
      <c r="L1321">
        <f t="shared" si="104"/>
        <v>5.2045775175001356</v>
      </c>
    </row>
    <row r="1322" spans="1:12" x14ac:dyDescent="0.3">
      <c r="A1322">
        <v>5.3</v>
      </c>
      <c r="B1322">
        <v>5.6</v>
      </c>
      <c r="C1322">
        <v>5.3147877013177176</v>
      </c>
      <c r="D1322">
        <v>5.4679355783308887</v>
      </c>
      <c r="E1322">
        <f t="shared" si="100"/>
        <v>-1.9529292223399485E-3</v>
      </c>
      <c r="F1322">
        <f t="shared" si="101"/>
        <v>2.1867611026203226E-4</v>
      </c>
      <c r="G1322">
        <f t="shared" si="102"/>
        <v>1.7441011470796734E-2</v>
      </c>
      <c r="H1322">
        <v>177.90128843338192</v>
      </c>
      <c r="I1322">
        <v>162.98770131771641</v>
      </c>
      <c r="J1322">
        <v>242.63557833089328</v>
      </c>
      <c r="K1322">
        <f t="shared" si="103"/>
        <v>5.4158643044600456</v>
      </c>
      <c r="L1322">
        <f t="shared" si="104"/>
        <v>5.5788901533750384</v>
      </c>
    </row>
    <row r="1323" spans="1:12" x14ac:dyDescent="0.3">
      <c r="A1323">
        <v>5.2</v>
      </c>
      <c r="B1323">
        <v>5.7</v>
      </c>
      <c r="C1323">
        <v>5.3147877013177176</v>
      </c>
      <c r="D1323">
        <v>5.4679355783308887</v>
      </c>
      <c r="E1323">
        <f t="shared" si="100"/>
        <v>-2.6638141521022798E-2</v>
      </c>
      <c r="F1323">
        <f t="shared" si="101"/>
        <v>1.3176216373805507E-2</v>
      </c>
      <c r="G1323">
        <f t="shared" si="102"/>
        <v>5.3853895804619169E-2</v>
      </c>
      <c r="H1323">
        <v>177.90128843338192</v>
      </c>
      <c r="I1323">
        <v>162.98770131771641</v>
      </c>
      <c r="J1323">
        <v>242.63557833089328</v>
      </c>
      <c r="K1323">
        <f t="shared" si="103"/>
        <v>5.4797592402464357</v>
      </c>
      <c r="L1323">
        <f t="shared" si="104"/>
        <v>5.6490293867378778</v>
      </c>
    </row>
    <row r="1324" spans="1:12" x14ac:dyDescent="0.3">
      <c r="A1324">
        <v>4.9000000000000004</v>
      </c>
      <c r="B1324">
        <v>4.9000000000000004</v>
      </c>
      <c r="C1324">
        <v>5.3147877013177176</v>
      </c>
      <c r="D1324">
        <v>5.4679355783308887</v>
      </c>
      <c r="E1324">
        <f t="shared" si="100"/>
        <v>0.23557269303241754</v>
      </c>
      <c r="F1324">
        <f t="shared" si="101"/>
        <v>0.17204883716443581</v>
      </c>
      <c r="G1324">
        <f t="shared" si="102"/>
        <v>0.32255082113404066</v>
      </c>
      <c r="H1324">
        <v>177.90128843338192</v>
      </c>
      <c r="I1324">
        <v>162.98770131771641</v>
      </c>
      <c r="J1324">
        <v>242.63557833089328</v>
      </c>
      <c r="K1324">
        <f t="shared" si="103"/>
        <v>4.8120167753897203</v>
      </c>
      <c r="L1324">
        <f t="shared" si="104"/>
        <v>4.9160300653919959</v>
      </c>
    </row>
    <row r="1325" spans="1:12" x14ac:dyDescent="0.3">
      <c r="A1325">
        <v>5.6</v>
      </c>
      <c r="B1325">
        <v>5.2</v>
      </c>
      <c r="C1325">
        <v>5.3147877013177176</v>
      </c>
      <c r="D1325">
        <v>5.4679355783308887</v>
      </c>
      <c r="E1325">
        <f t="shared" si="100"/>
        <v>-7.6418522194519362E-2</v>
      </c>
      <c r="F1325">
        <f t="shared" si="101"/>
        <v>8.1346055319631266E-2</v>
      </c>
      <c r="G1325">
        <f t="shared" si="102"/>
        <v>7.1789474135507708E-2</v>
      </c>
      <c r="H1325">
        <v>177.90128843338192</v>
      </c>
      <c r="I1325">
        <v>162.98770131771641</v>
      </c>
      <c r="J1325">
        <v>242.63557833089328</v>
      </c>
      <c r="K1325">
        <f t="shared" si="103"/>
        <v>5.1460497450812532</v>
      </c>
      <c r="L1325">
        <f t="shared" si="104"/>
        <v>5.2827072695197614</v>
      </c>
    </row>
    <row r="1326" spans="1:12" x14ac:dyDescent="0.3">
      <c r="A1326">
        <v>6.1</v>
      </c>
      <c r="B1326">
        <v>6.9</v>
      </c>
      <c r="C1326">
        <v>5.3147877013177176</v>
      </c>
      <c r="D1326">
        <v>5.4679355783308887</v>
      </c>
      <c r="E1326">
        <f t="shared" si="100"/>
        <v>1.1244745963999159</v>
      </c>
      <c r="F1326">
        <f t="shared" si="101"/>
        <v>0.61655835400191328</v>
      </c>
      <c r="G1326">
        <f t="shared" si="102"/>
        <v>2.050808507810487</v>
      </c>
      <c r="H1326">
        <v>177.90128843338192</v>
      </c>
      <c r="I1326">
        <v>162.98770131771641</v>
      </c>
      <c r="J1326">
        <v>242.63557833089328</v>
      </c>
      <c r="K1326">
        <f t="shared" si="103"/>
        <v>6.545429610581075</v>
      </c>
      <c r="L1326">
        <f t="shared" si="104"/>
        <v>6.8188451455743664</v>
      </c>
    </row>
    <row r="1327" spans="1:12" x14ac:dyDescent="0.3">
      <c r="A1327">
        <v>5.0999999999999996</v>
      </c>
      <c r="B1327">
        <v>5.4</v>
      </c>
      <c r="C1327">
        <v>5.3147877013177176</v>
      </c>
      <c r="D1327">
        <v>5.4679355783308887</v>
      </c>
      <c r="E1327">
        <f t="shared" si="100"/>
        <v>1.4591726707381283E-2</v>
      </c>
      <c r="F1327">
        <f t="shared" si="101"/>
        <v>4.613375663734922E-2</v>
      </c>
      <c r="G1327">
        <f t="shared" si="102"/>
        <v>4.615242803152269E-3</v>
      </c>
      <c r="H1327">
        <v>177.90128843338192</v>
      </c>
      <c r="I1327">
        <v>162.98770131771641</v>
      </c>
      <c r="J1327">
        <v>242.63557833089328</v>
      </c>
      <c r="K1327">
        <f t="shared" si="103"/>
        <v>5.2311351679543217</v>
      </c>
      <c r="L1327">
        <f t="shared" si="104"/>
        <v>5.3761078850336625</v>
      </c>
    </row>
    <row r="1328" spans="1:12" x14ac:dyDescent="0.3">
      <c r="A1328">
        <v>5.6</v>
      </c>
      <c r="B1328">
        <v>5.7</v>
      </c>
      <c r="C1328">
        <v>5.3147877013177176</v>
      </c>
      <c r="D1328">
        <v>5.4679355783308887</v>
      </c>
      <c r="E1328">
        <f t="shared" si="100"/>
        <v>6.6187627146621658E-2</v>
      </c>
      <c r="F1328">
        <f t="shared" si="101"/>
        <v>8.1346055319631266E-2</v>
      </c>
      <c r="G1328">
        <f t="shared" si="102"/>
        <v>5.3853895804619169E-2</v>
      </c>
      <c r="H1328">
        <v>177.90128843338192</v>
      </c>
      <c r="I1328">
        <v>162.98770131771641</v>
      </c>
      <c r="J1328">
        <v>242.63557833089328</v>
      </c>
      <c r="K1328">
        <f t="shared" si="103"/>
        <v>5.5366985051793822</v>
      </c>
      <c r="L1328">
        <f t="shared" si="104"/>
        <v>5.7115331883535783</v>
      </c>
    </row>
    <row r="1329" spans="1:12" x14ac:dyDescent="0.3">
      <c r="A1329">
        <v>5</v>
      </c>
      <c r="B1329">
        <v>4.8</v>
      </c>
      <c r="C1329">
        <v>5.3147877013177176</v>
      </c>
      <c r="D1329">
        <v>5.4679355783308887</v>
      </c>
      <c r="E1329">
        <f t="shared" si="100"/>
        <v>0.21025790533110084</v>
      </c>
      <c r="F1329">
        <f t="shared" si="101"/>
        <v>9.9091296900892592E-2</v>
      </c>
      <c r="G1329">
        <f t="shared" si="102"/>
        <v>0.44613793680021901</v>
      </c>
      <c r="H1329">
        <v>177.90128843338192</v>
      </c>
      <c r="I1329">
        <v>162.98770131771641</v>
      </c>
      <c r="J1329">
        <v>242.63557833089328</v>
      </c>
      <c r="K1329">
        <f t="shared" si="103"/>
        <v>4.7481218396033302</v>
      </c>
      <c r="L1329">
        <f t="shared" si="104"/>
        <v>4.8458908320291565</v>
      </c>
    </row>
    <row r="1330" spans="1:12" x14ac:dyDescent="0.3">
      <c r="A1330">
        <v>5</v>
      </c>
      <c r="B1330">
        <v>5</v>
      </c>
      <c r="C1330">
        <v>5.3147877013177176</v>
      </c>
      <c r="D1330">
        <v>5.4679355783308887</v>
      </c>
      <c r="E1330">
        <f t="shared" si="100"/>
        <v>0.14730036506755725</v>
      </c>
      <c r="F1330">
        <f t="shared" si="101"/>
        <v>9.9091296900892592E-2</v>
      </c>
      <c r="G1330">
        <f t="shared" si="102"/>
        <v>0.21896370546786328</v>
      </c>
      <c r="H1330">
        <v>177.90128843338192</v>
      </c>
      <c r="I1330">
        <v>162.98770131771641</v>
      </c>
      <c r="J1330">
        <v>242.63557833089328</v>
      </c>
      <c r="K1330">
        <f t="shared" si="103"/>
        <v>4.9043813436425818</v>
      </c>
      <c r="L1330">
        <f t="shared" si="104"/>
        <v>5.0174211995626834</v>
      </c>
    </row>
    <row r="1331" spans="1:12" x14ac:dyDescent="0.3">
      <c r="A1331">
        <v>4.5999999999999996</v>
      </c>
      <c r="B1331">
        <v>5</v>
      </c>
      <c r="C1331">
        <v>5.3147877013177176</v>
      </c>
      <c r="D1331">
        <v>5.4679355783308887</v>
      </c>
      <c r="E1331">
        <f t="shared" si="100"/>
        <v>0.33447459639991289</v>
      </c>
      <c r="F1331">
        <f t="shared" si="101"/>
        <v>0.51092145795506716</v>
      </c>
      <c r="G1331">
        <f t="shared" si="102"/>
        <v>0.21896370546786328</v>
      </c>
      <c r="H1331">
        <v>177.90128843338192</v>
      </c>
      <c r="I1331">
        <v>162.98770131771641</v>
      </c>
      <c r="J1331">
        <v>242.63557833089328</v>
      </c>
      <c r="K1331">
        <f t="shared" si="103"/>
        <v>4.8474420787096362</v>
      </c>
      <c r="L1331">
        <f t="shared" si="104"/>
        <v>4.9549173979469838</v>
      </c>
    </row>
    <row r="1332" spans="1:12" x14ac:dyDescent="0.3">
      <c r="A1332">
        <v>5.5</v>
      </c>
      <c r="B1332">
        <v>5.6</v>
      </c>
      <c r="C1332">
        <v>5.3147877013177176</v>
      </c>
      <c r="D1332">
        <v>5.4679355783308887</v>
      </c>
      <c r="E1332">
        <f t="shared" si="100"/>
        <v>2.4459955111482259E-2</v>
      </c>
      <c r="F1332">
        <f t="shared" si="101"/>
        <v>3.4303595583174987E-2</v>
      </c>
      <c r="G1332">
        <f t="shared" si="102"/>
        <v>1.7441011470796734E-2</v>
      </c>
      <c r="H1332">
        <v>177.90128843338192</v>
      </c>
      <c r="I1332">
        <v>162.98770131771641</v>
      </c>
      <c r="J1332">
        <v>242.63557833089328</v>
      </c>
      <c r="K1332">
        <f t="shared" si="103"/>
        <v>5.4443339369265189</v>
      </c>
      <c r="L1332">
        <f t="shared" si="104"/>
        <v>5.610142054182889</v>
      </c>
    </row>
    <row r="1333" spans="1:12" x14ac:dyDescent="0.3">
      <c r="A1333">
        <v>4.9000000000000004</v>
      </c>
      <c r="B1333">
        <v>5.2</v>
      </c>
      <c r="C1333">
        <v>5.3147877013177176</v>
      </c>
      <c r="D1333">
        <v>5.4679355783308887</v>
      </c>
      <c r="E1333">
        <f t="shared" si="100"/>
        <v>0.11113638263710243</v>
      </c>
      <c r="F1333">
        <f t="shared" si="101"/>
        <v>0.17204883716443581</v>
      </c>
      <c r="G1333">
        <f t="shared" si="102"/>
        <v>7.1789474135507708E-2</v>
      </c>
      <c r="H1333">
        <v>177.90128843338192</v>
      </c>
      <c r="I1333">
        <v>162.98770131771641</v>
      </c>
      <c r="J1333">
        <v>242.63557833089328</v>
      </c>
      <c r="K1333">
        <f t="shared" si="103"/>
        <v>5.0464060314485977</v>
      </c>
      <c r="L1333">
        <f t="shared" si="104"/>
        <v>5.1733256166922859</v>
      </c>
    </row>
    <row r="1334" spans="1:12" x14ac:dyDescent="0.3">
      <c r="A1334">
        <v>5.0999999999999996</v>
      </c>
      <c r="B1334">
        <v>5.4</v>
      </c>
      <c r="C1334">
        <v>5.3147877013177176</v>
      </c>
      <c r="D1334">
        <v>5.4679355783308887</v>
      </c>
      <c r="E1334">
        <f t="shared" si="100"/>
        <v>1.4591726707381283E-2</v>
      </c>
      <c r="F1334">
        <f t="shared" si="101"/>
        <v>4.613375663734922E-2</v>
      </c>
      <c r="G1334">
        <f t="shared" si="102"/>
        <v>4.615242803152269E-3</v>
      </c>
      <c r="H1334">
        <v>177.90128843338192</v>
      </c>
      <c r="I1334">
        <v>162.98770131771641</v>
      </c>
      <c r="J1334">
        <v>242.63557833089328</v>
      </c>
      <c r="K1334">
        <f t="shared" si="103"/>
        <v>5.2311351679543217</v>
      </c>
      <c r="L1334">
        <f t="shared" si="104"/>
        <v>5.3761078850336625</v>
      </c>
    </row>
    <row r="1335" spans="1:12" x14ac:dyDescent="0.3">
      <c r="A1335">
        <v>6.2</v>
      </c>
      <c r="B1335">
        <v>6</v>
      </c>
      <c r="C1335">
        <v>5.3147877013177176</v>
      </c>
      <c r="D1335">
        <v>5.4679355783308887</v>
      </c>
      <c r="E1335">
        <f t="shared" si="100"/>
        <v>0.4709899697527733</v>
      </c>
      <c r="F1335">
        <f t="shared" si="101"/>
        <v>0.78360081373837065</v>
      </c>
      <c r="G1335">
        <f t="shared" si="102"/>
        <v>0.28309254880608586</v>
      </c>
      <c r="H1335">
        <v>177.90128843338192</v>
      </c>
      <c r="I1335">
        <v>162.98770131771641</v>
      </c>
      <c r="J1335">
        <v>242.63557833089328</v>
      </c>
      <c r="K1335">
        <f t="shared" si="103"/>
        <v>5.8564966586376794</v>
      </c>
      <c r="L1335">
        <f t="shared" si="104"/>
        <v>6.0625844420774202</v>
      </c>
    </row>
    <row r="1336" spans="1:12" x14ac:dyDescent="0.3">
      <c r="A1336">
        <v>5</v>
      </c>
      <c r="B1336">
        <v>5.0999999999999996</v>
      </c>
      <c r="C1336">
        <v>5.3147877013177176</v>
      </c>
      <c r="D1336">
        <v>5.4679355783308887</v>
      </c>
      <c r="E1336">
        <f t="shared" si="100"/>
        <v>0.1158215949357856</v>
      </c>
      <c r="F1336">
        <f t="shared" si="101"/>
        <v>9.9091296900892592E-2</v>
      </c>
      <c r="G1336">
        <f t="shared" si="102"/>
        <v>0.13537658980168582</v>
      </c>
      <c r="H1336">
        <v>177.90128843338192</v>
      </c>
      <c r="I1336">
        <v>162.98770131771641</v>
      </c>
      <c r="J1336">
        <v>242.63557833089328</v>
      </c>
      <c r="K1336">
        <f t="shared" si="103"/>
        <v>4.9825110956622076</v>
      </c>
      <c r="L1336">
        <f t="shared" si="104"/>
        <v>5.1031863833294464</v>
      </c>
    </row>
    <row r="1337" spans="1:12" x14ac:dyDescent="0.3">
      <c r="A1337">
        <v>5.2</v>
      </c>
      <c r="B1337">
        <v>5</v>
      </c>
      <c r="C1337">
        <v>5.3147877013177176</v>
      </c>
      <c r="D1337">
        <v>5.4679355783308887</v>
      </c>
      <c r="E1337">
        <f t="shared" si="100"/>
        <v>5.371324940137942E-2</v>
      </c>
      <c r="F1337">
        <f t="shared" si="101"/>
        <v>1.3176216373805507E-2</v>
      </c>
      <c r="G1337">
        <f t="shared" si="102"/>
        <v>0.21896370546786328</v>
      </c>
      <c r="H1337">
        <v>177.90128843338192</v>
      </c>
      <c r="I1337">
        <v>162.98770131771641</v>
      </c>
      <c r="J1337">
        <v>242.63557833089328</v>
      </c>
      <c r="K1337">
        <f t="shared" si="103"/>
        <v>4.9328509761090551</v>
      </c>
      <c r="L1337">
        <f t="shared" si="104"/>
        <v>5.0486731003705341</v>
      </c>
    </row>
    <row r="1338" spans="1:12" x14ac:dyDescent="0.3">
      <c r="A1338">
        <v>5.7</v>
      </c>
      <c r="B1338">
        <v>5.9</v>
      </c>
      <c r="C1338">
        <v>5.3147877013177176</v>
      </c>
      <c r="D1338">
        <v>5.4679355783308887</v>
      </c>
      <c r="E1338">
        <f t="shared" si="100"/>
        <v>0.16643652904998951</v>
      </c>
      <c r="F1338">
        <f t="shared" si="101"/>
        <v>0.14838851505608808</v>
      </c>
      <c r="G1338">
        <f t="shared" si="102"/>
        <v>0.18667966447226389</v>
      </c>
      <c r="H1338">
        <v>177.90128843338192</v>
      </c>
      <c r="I1338">
        <v>162.98770131771641</v>
      </c>
      <c r="J1338">
        <v>242.63557833089328</v>
      </c>
      <c r="K1338">
        <f t="shared" si="103"/>
        <v>5.7071928254518696</v>
      </c>
      <c r="L1338">
        <f t="shared" si="104"/>
        <v>5.8986895062910296</v>
      </c>
    </row>
    <row r="1339" spans="1:12" x14ac:dyDescent="0.3">
      <c r="A1339">
        <v>4.8</v>
      </c>
      <c r="B1339">
        <v>5.2</v>
      </c>
      <c r="C1339">
        <v>5.3147877013177176</v>
      </c>
      <c r="D1339">
        <v>5.4679355783308887</v>
      </c>
      <c r="E1339">
        <f t="shared" si="100"/>
        <v>0.13792994047019144</v>
      </c>
      <c r="F1339">
        <f t="shared" si="101"/>
        <v>0.26500637742797983</v>
      </c>
      <c r="G1339">
        <f t="shared" si="102"/>
        <v>7.1789474135507708E-2</v>
      </c>
      <c r="H1339">
        <v>177.90128843338192</v>
      </c>
      <c r="I1339">
        <v>162.98770131771641</v>
      </c>
      <c r="J1339">
        <v>242.63557833089328</v>
      </c>
      <c r="K1339">
        <f t="shared" si="103"/>
        <v>5.032171215215361</v>
      </c>
      <c r="L1339">
        <f t="shared" si="104"/>
        <v>5.1576996662883605</v>
      </c>
    </row>
    <row r="1340" spans="1:12" x14ac:dyDescent="0.3">
      <c r="A1340">
        <v>5.3</v>
      </c>
      <c r="B1340">
        <v>5.5</v>
      </c>
      <c r="C1340">
        <v>5.3147877013177176</v>
      </c>
      <c r="D1340">
        <v>5.4679355783308887</v>
      </c>
      <c r="E1340">
        <f t="shared" si="100"/>
        <v>-4.7415909056817545E-4</v>
      </c>
      <c r="F1340">
        <f t="shared" si="101"/>
        <v>2.1867611026203226E-4</v>
      </c>
      <c r="G1340">
        <f t="shared" si="102"/>
        <v>1.0281271369745727E-3</v>
      </c>
      <c r="H1340">
        <v>177.90128843338192</v>
      </c>
      <c r="I1340">
        <v>162.98770131771641</v>
      </c>
      <c r="J1340">
        <v>242.63557833089328</v>
      </c>
      <c r="K1340">
        <f t="shared" si="103"/>
        <v>5.3377345524404198</v>
      </c>
      <c r="L1340">
        <f t="shared" si="104"/>
        <v>5.4931249696082753</v>
      </c>
    </row>
    <row r="1341" spans="1:12" x14ac:dyDescent="0.3">
      <c r="A1341">
        <v>5.4</v>
      </c>
      <c r="B1341">
        <v>5.4</v>
      </c>
      <c r="C1341">
        <v>5.3147877013177176</v>
      </c>
      <c r="D1341">
        <v>5.4679355783308887</v>
      </c>
      <c r="E1341">
        <f t="shared" si="100"/>
        <v>-5.7889467918852758E-3</v>
      </c>
      <c r="F1341">
        <f t="shared" si="101"/>
        <v>7.2611358467185661E-3</v>
      </c>
      <c r="G1341">
        <f t="shared" si="102"/>
        <v>4.615242803152269E-3</v>
      </c>
      <c r="H1341">
        <v>177.90128843338192</v>
      </c>
      <c r="I1341">
        <v>162.98770131771641</v>
      </c>
      <c r="J1341">
        <v>242.63557833089328</v>
      </c>
      <c r="K1341">
        <f t="shared" si="103"/>
        <v>5.2738396166540316</v>
      </c>
      <c r="L1341">
        <f t="shared" si="104"/>
        <v>5.4229857362454377</v>
      </c>
    </row>
    <row r="1342" spans="1:12" x14ac:dyDescent="0.3">
      <c r="A1342">
        <v>4.9000000000000004</v>
      </c>
      <c r="B1342">
        <v>5.4</v>
      </c>
      <c r="C1342">
        <v>5.3147877013177176</v>
      </c>
      <c r="D1342">
        <v>5.4679355783308887</v>
      </c>
      <c r="E1342">
        <f t="shared" si="100"/>
        <v>2.8178842373558909E-2</v>
      </c>
      <c r="F1342">
        <f t="shared" si="101"/>
        <v>0.17204883716443581</v>
      </c>
      <c r="G1342">
        <f t="shared" si="102"/>
        <v>4.615242803152269E-3</v>
      </c>
      <c r="H1342">
        <v>177.90128843338192</v>
      </c>
      <c r="I1342">
        <v>162.98770131771641</v>
      </c>
      <c r="J1342">
        <v>242.63557833089328</v>
      </c>
      <c r="K1342">
        <f t="shared" si="103"/>
        <v>5.2026655354878493</v>
      </c>
      <c r="L1342">
        <f t="shared" si="104"/>
        <v>5.3448559842258128</v>
      </c>
    </row>
    <row r="1343" spans="1:12" x14ac:dyDescent="0.3">
      <c r="A1343">
        <v>5.3</v>
      </c>
      <c r="B1343">
        <v>5.3</v>
      </c>
      <c r="C1343">
        <v>5.3147877013177176</v>
      </c>
      <c r="D1343">
        <v>5.4679355783308887</v>
      </c>
      <c r="E1343">
        <f t="shared" si="100"/>
        <v>2.4833811729753838E-3</v>
      </c>
      <c r="F1343">
        <f t="shared" si="101"/>
        <v>2.1867611026203226E-4</v>
      </c>
      <c r="G1343">
        <f t="shared" si="102"/>
        <v>2.8202358469330124E-2</v>
      </c>
      <c r="H1343">
        <v>177.90128843338192</v>
      </c>
      <c r="I1343">
        <v>162.98770131771641</v>
      </c>
      <c r="J1343">
        <v>242.63557833089328</v>
      </c>
      <c r="K1343">
        <f t="shared" si="103"/>
        <v>5.1814750484011682</v>
      </c>
      <c r="L1343">
        <f t="shared" si="104"/>
        <v>5.3215946020747484</v>
      </c>
    </row>
    <row r="1344" spans="1:12" x14ac:dyDescent="0.3">
      <c r="A1344">
        <v>5.2</v>
      </c>
      <c r="B1344">
        <v>5.5</v>
      </c>
      <c r="C1344">
        <v>5.3147877013177176</v>
      </c>
      <c r="D1344">
        <v>5.4679355783308887</v>
      </c>
      <c r="E1344">
        <f t="shared" si="100"/>
        <v>-3.6806012574792917E-3</v>
      </c>
      <c r="F1344">
        <f t="shared" si="101"/>
        <v>1.3176216373805507E-2</v>
      </c>
      <c r="G1344">
        <f t="shared" si="102"/>
        <v>1.0281271369745727E-3</v>
      </c>
      <c r="H1344">
        <v>177.90128843338192</v>
      </c>
      <c r="I1344">
        <v>162.98770131771641</v>
      </c>
      <c r="J1344">
        <v>242.63557833089328</v>
      </c>
      <c r="K1344">
        <f t="shared" si="103"/>
        <v>5.3234997362071841</v>
      </c>
      <c r="L1344">
        <f t="shared" si="104"/>
        <v>5.4774990192043509</v>
      </c>
    </row>
    <row r="1345" spans="1:12" x14ac:dyDescent="0.3">
      <c r="A1345">
        <v>5.5</v>
      </c>
      <c r="B1345">
        <v>5.3</v>
      </c>
      <c r="C1345">
        <v>5.3147877013177176</v>
      </c>
      <c r="D1345">
        <v>5.4679355783308887</v>
      </c>
      <c r="E1345">
        <f t="shared" si="100"/>
        <v>-3.1103734493202428E-2</v>
      </c>
      <c r="F1345">
        <f t="shared" si="101"/>
        <v>3.4303595583174987E-2</v>
      </c>
      <c r="G1345">
        <f t="shared" si="102"/>
        <v>2.8202358469330124E-2</v>
      </c>
      <c r="H1345">
        <v>177.90128843338192</v>
      </c>
      <c r="I1345">
        <v>162.98770131771641</v>
      </c>
      <c r="J1345">
        <v>242.63557833089328</v>
      </c>
      <c r="K1345">
        <f t="shared" si="103"/>
        <v>5.2099446808676424</v>
      </c>
      <c r="L1345">
        <f t="shared" si="104"/>
        <v>5.3528465028826</v>
      </c>
    </row>
    <row r="1346" spans="1:12" x14ac:dyDescent="0.3">
      <c r="A1346">
        <v>5.4</v>
      </c>
      <c r="B1346">
        <v>5.7</v>
      </c>
      <c r="C1346">
        <v>5.3147877013177176</v>
      </c>
      <c r="D1346">
        <v>5.4679355783308887</v>
      </c>
      <c r="E1346">
        <f t="shared" si="100"/>
        <v>1.9774742812799534E-2</v>
      </c>
      <c r="F1346">
        <f t="shared" si="101"/>
        <v>7.2611358467185661E-3</v>
      </c>
      <c r="G1346">
        <f t="shared" si="102"/>
        <v>5.3853895804619169E-2</v>
      </c>
      <c r="H1346">
        <v>177.90128843338192</v>
      </c>
      <c r="I1346">
        <v>162.98770131771641</v>
      </c>
      <c r="J1346">
        <v>242.63557833089328</v>
      </c>
      <c r="K1346">
        <f t="shared" si="103"/>
        <v>5.508228872712909</v>
      </c>
      <c r="L1346">
        <f t="shared" si="104"/>
        <v>5.6802812875457285</v>
      </c>
    </row>
    <row r="1347" spans="1:12" x14ac:dyDescent="0.3">
      <c r="A1347">
        <v>5</v>
      </c>
      <c r="B1347">
        <v>5</v>
      </c>
      <c r="C1347">
        <v>5.3147877013177176</v>
      </c>
      <c r="D1347">
        <v>5.4679355783308887</v>
      </c>
      <c r="E1347">
        <f t="shared" ref="E1347:E1367" si="105">(A1347-C1347)*(B1347-D1347)</f>
        <v>0.14730036506755725</v>
      </c>
      <c r="F1347">
        <f t="shared" ref="F1347:F1367" si="106">(A1347-C1347)^2</f>
        <v>9.9091296900892592E-2</v>
      </c>
      <c r="G1347">
        <f t="shared" ref="G1347:G1367" si="107">(B1347-D1347)^2</f>
        <v>0.21896370546786328</v>
      </c>
      <c r="H1347">
        <v>177.90128843338192</v>
      </c>
      <c r="I1347">
        <v>162.98770131771641</v>
      </c>
      <c r="J1347">
        <v>242.63557833089328</v>
      </c>
      <c r="K1347">
        <f t="shared" ref="K1347:K1370" si="108">(1.097727582*(B1347+0.366253474)+0.2*A1347)/(0.2+1.097727582^2)</f>
        <v>4.9043813436425818</v>
      </c>
      <c r="L1347">
        <f t="shared" ref="L1347:L1370" si="109">1.097727582*K1347-0.366253474</f>
        <v>5.0174211995626834</v>
      </c>
    </row>
    <row r="1348" spans="1:12" x14ac:dyDescent="0.3">
      <c r="A1348">
        <v>5.4</v>
      </c>
      <c r="B1348">
        <v>5.5</v>
      </c>
      <c r="C1348">
        <v>5.3147877013177176</v>
      </c>
      <c r="D1348">
        <v>5.4679355783308887</v>
      </c>
      <c r="E1348">
        <f t="shared" si="105"/>
        <v>2.7322830763429691E-3</v>
      </c>
      <c r="F1348">
        <f t="shared" si="106"/>
        <v>7.2611358467185661E-3</v>
      </c>
      <c r="G1348">
        <f t="shared" si="107"/>
        <v>1.0281271369745727E-3</v>
      </c>
      <c r="H1348">
        <v>177.90128843338192</v>
      </c>
      <c r="I1348">
        <v>162.98770131771641</v>
      </c>
      <c r="J1348">
        <v>242.63557833089328</v>
      </c>
      <c r="K1348">
        <f t="shared" si="108"/>
        <v>5.3519693686736574</v>
      </c>
      <c r="L1348">
        <f t="shared" si="109"/>
        <v>5.5087509200122016</v>
      </c>
    </row>
    <row r="1349" spans="1:12" x14ac:dyDescent="0.3">
      <c r="A1349">
        <v>5</v>
      </c>
      <c r="B1349">
        <v>5.2</v>
      </c>
      <c r="C1349">
        <v>5.3147877013177176</v>
      </c>
      <c r="D1349">
        <v>5.4679355783308887</v>
      </c>
      <c r="E1349">
        <f t="shared" si="105"/>
        <v>8.4342824804013672E-2</v>
      </c>
      <c r="F1349">
        <f t="shared" si="106"/>
        <v>9.9091296900892592E-2</v>
      </c>
      <c r="G1349">
        <f t="shared" si="107"/>
        <v>7.1789474135507708E-2</v>
      </c>
      <c r="H1349">
        <v>177.90128843338192</v>
      </c>
      <c r="I1349">
        <v>162.98770131771641</v>
      </c>
      <c r="J1349">
        <v>242.63557833089328</v>
      </c>
      <c r="K1349">
        <f t="shared" si="108"/>
        <v>5.0606408476818334</v>
      </c>
      <c r="L1349">
        <f t="shared" si="109"/>
        <v>5.1889515670962103</v>
      </c>
    </row>
    <row r="1350" spans="1:12" x14ac:dyDescent="0.3">
      <c r="A1350">
        <v>5.4</v>
      </c>
      <c r="B1350">
        <v>5.4</v>
      </c>
      <c r="C1350">
        <v>5.3147877013177176</v>
      </c>
      <c r="D1350">
        <v>5.4679355783308887</v>
      </c>
      <c r="E1350">
        <f t="shared" si="105"/>
        <v>-5.7889467918852758E-3</v>
      </c>
      <c r="F1350">
        <f t="shared" si="106"/>
        <v>7.2611358467185661E-3</v>
      </c>
      <c r="G1350">
        <f t="shared" si="107"/>
        <v>4.615242803152269E-3</v>
      </c>
      <c r="H1350">
        <v>177.90128843338192</v>
      </c>
      <c r="I1350">
        <v>162.98770131771641</v>
      </c>
      <c r="J1350">
        <v>242.63557833089328</v>
      </c>
      <c r="K1350">
        <f t="shared" si="108"/>
        <v>5.2738396166540316</v>
      </c>
      <c r="L1350">
        <f t="shared" si="109"/>
        <v>5.4229857362454377</v>
      </c>
    </row>
    <row r="1351" spans="1:12" x14ac:dyDescent="0.3">
      <c r="A1351">
        <v>5</v>
      </c>
      <c r="B1351">
        <v>5.0999999999999996</v>
      </c>
      <c r="C1351">
        <v>5.3147877013177176</v>
      </c>
      <c r="D1351">
        <v>5.4679355783308887</v>
      </c>
      <c r="E1351">
        <f t="shared" si="105"/>
        <v>0.1158215949357856</v>
      </c>
      <c r="F1351">
        <f t="shared" si="106"/>
        <v>9.9091296900892592E-2</v>
      </c>
      <c r="G1351">
        <f t="shared" si="107"/>
        <v>0.13537658980168582</v>
      </c>
      <c r="H1351">
        <v>177.90128843338192</v>
      </c>
      <c r="I1351">
        <v>162.98770131771641</v>
      </c>
      <c r="J1351">
        <v>242.63557833089328</v>
      </c>
      <c r="K1351">
        <f t="shared" si="108"/>
        <v>4.9825110956622076</v>
      </c>
      <c r="L1351">
        <f t="shared" si="109"/>
        <v>5.1031863833294464</v>
      </c>
    </row>
    <row r="1352" spans="1:12" x14ac:dyDescent="0.3">
      <c r="A1352">
        <v>5.8</v>
      </c>
      <c r="B1352">
        <v>5.5</v>
      </c>
      <c r="C1352">
        <v>5.3147877013177176</v>
      </c>
      <c r="D1352">
        <v>5.4679355783308887</v>
      </c>
      <c r="E1352">
        <f t="shared" si="105"/>
        <v>1.5558051743987462E-2</v>
      </c>
      <c r="F1352">
        <f t="shared" si="106"/>
        <v>0.23543097479254424</v>
      </c>
      <c r="G1352">
        <f t="shared" si="107"/>
        <v>1.0281271369745727E-3</v>
      </c>
      <c r="H1352">
        <v>177.90128843338192</v>
      </c>
      <c r="I1352">
        <v>162.98770131771641</v>
      </c>
      <c r="J1352">
        <v>242.63557833089328</v>
      </c>
      <c r="K1352">
        <f t="shared" si="108"/>
        <v>5.4089086336066039</v>
      </c>
      <c r="L1352">
        <f t="shared" si="109"/>
        <v>5.571254721627902</v>
      </c>
    </row>
    <row r="1353" spans="1:12" x14ac:dyDescent="0.3">
      <c r="A1353">
        <v>5.0999999999999996</v>
      </c>
      <c r="B1353">
        <v>4.9000000000000004</v>
      </c>
      <c r="C1353">
        <v>5.3147877013177176</v>
      </c>
      <c r="D1353">
        <v>5.4679355783308887</v>
      </c>
      <c r="E1353">
        <f t="shared" si="105"/>
        <v>0.12198557736624026</v>
      </c>
      <c r="F1353">
        <f t="shared" si="106"/>
        <v>4.613375663734922E-2</v>
      </c>
      <c r="G1353">
        <f t="shared" si="107"/>
        <v>0.32255082113404066</v>
      </c>
      <c r="H1353">
        <v>177.90128843338192</v>
      </c>
      <c r="I1353">
        <v>162.98770131771641</v>
      </c>
      <c r="J1353">
        <v>242.63557833089328</v>
      </c>
      <c r="K1353">
        <f t="shared" si="108"/>
        <v>4.8404864078561927</v>
      </c>
      <c r="L1353">
        <f t="shared" si="109"/>
        <v>4.9472819661998448</v>
      </c>
    </row>
    <row r="1354" spans="1:12" x14ac:dyDescent="0.3">
      <c r="A1354">
        <v>6.2</v>
      </c>
      <c r="B1354">
        <v>7</v>
      </c>
      <c r="C1354">
        <v>5.3147877013177176</v>
      </c>
      <c r="D1354">
        <v>5.4679355783308887</v>
      </c>
      <c r="E1354">
        <f t="shared" si="105"/>
        <v>1.3562022684350559</v>
      </c>
      <c r="F1354">
        <f t="shared" si="106"/>
        <v>0.78360081373837065</v>
      </c>
      <c r="G1354">
        <f t="shared" si="107"/>
        <v>2.3472213921443084</v>
      </c>
      <c r="H1354">
        <v>177.90128843338192</v>
      </c>
      <c r="I1354">
        <v>162.98770131771641</v>
      </c>
      <c r="J1354">
        <v>242.63557833089328</v>
      </c>
      <c r="K1354">
        <f t="shared" si="108"/>
        <v>6.6377941788339365</v>
      </c>
      <c r="L1354">
        <f t="shared" si="109"/>
        <v>6.9202362797450538</v>
      </c>
    </row>
    <row r="1355" spans="1:12" x14ac:dyDescent="0.3">
      <c r="A1355">
        <v>5</v>
      </c>
      <c r="B1355">
        <v>5.5</v>
      </c>
      <c r="C1355">
        <v>5.3147877013177176</v>
      </c>
      <c r="D1355">
        <v>5.4679355783308887</v>
      </c>
      <c r="E1355">
        <f t="shared" si="105"/>
        <v>-1.0093485591301552E-2</v>
      </c>
      <c r="F1355">
        <f t="shared" si="106"/>
        <v>9.9091296900892592E-2</v>
      </c>
      <c r="G1355">
        <f t="shared" si="107"/>
        <v>1.0281271369745727E-3</v>
      </c>
      <c r="H1355">
        <v>177.90128843338192</v>
      </c>
      <c r="I1355">
        <v>162.98770131771641</v>
      </c>
      <c r="J1355">
        <v>242.63557833089328</v>
      </c>
      <c r="K1355">
        <f t="shared" si="108"/>
        <v>5.2950301037407108</v>
      </c>
      <c r="L1355">
        <f t="shared" si="109"/>
        <v>5.4462471183965002</v>
      </c>
    </row>
    <row r="1356" spans="1:12" x14ac:dyDescent="0.3">
      <c r="A1356">
        <v>5.2</v>
      </c>
      <c r="B1356">
        <v>5.2</v>
      </c>
      <c r="C1356">
        <v>5.3147877013177176</v>
      </c>
      <c r="D1356">
        <v>5.4679355783308887</v>
      </c>
      <c r="E1356">
        <f t="shared" si="105"/>
        <v>3.0755709137835915E-2</v>
      </c>
      <c r="F1356">
        <f t="shared" si="106"/>
        <v>1.3176216373805507E-2</v>
      </c>
      <c r="G1356">
        <f t="shared" si="107"/>
        <v>7.1789474135507708E-2</v>
      </c>
      <c r="H1356">
        <v>177.90128843338192</v>
      </c>
      <c r="I1356">
        <v>162.98770131771641</v>
      </c>
      <c r="J1356">
        <v>242.63557833089328</v>
      </c>
      <c r="K1356">
        <f t="shared" si="108"/>
        <v>5.0891104801483067</v>
      </c>
      <c r="L1356">
        <f t="shared" si="109"/>
        <v>5.2202034679040601</v>
      </c>
    </row>
    <row r="1357" spans="1:12" x14ac:dyDescent="0.3">
      <c r="A1357">
        <v>5.7</v>
      </c>
      <c r="B1357">
        <v>5.5</v>
      </c>
      <c r="C1357">
        <v>5.3147877013177176</v>
      </c>
      <c r="D1357">
        <v>5.4679355783308887</v>
      </c>
      <c r="E1357">
        <f t="shared" si="105"/>
        <v>1.2351609577076346E-2</v>
      </c>
      <c r="F1357">
        <f t="shared" si="106"/>
        <v>0.14838851505608808</v>
      </c>
      <c r="G1357">
        <f t="shared" si="107"/>
        <v>1.0281271369745727E-3</v>
      </c>
      <c r="H1357">
        <v>177.90128843338192</v>
      </c>
      <c r="I1357">
        <v>162.98770131771641</v>
      </c>
      <c r="J1357">
        <v>242.63557833089328</v>
      </c>
      <c r="K1357">
        <f t="shared" si="108"/>
        <v>5.3946738173733664</v>
      </c>
      <c r="L1357">
        <f t="shared" si="109"/>
        <v>5.5556287712239758</v>
      </c>
    </row>
    <row r="1358" spans="1:12" x14ac:dyDescent="0.3">
      <c r="A1358">
        <v>5.6</v>
      </c>
      <c r="B1358">
        <v>5.7</v>
      </c>
      <c r="C1358">
        <v>5.3147877013177176</v>
      </c>
      <c r="D1358">
        <v>5.4679355783308887</v>
      </c>
      <c r="E1358">
        <f t="shared" si="105"/>
        <v>6.6187627146621658E-2</v>
      </c>
      <c r="F1358">
        <f t="shared" si="106"/>
        <v>8.1346055319631266E-2</v>
      </c>
      <c r="G1358">
        <f t="shared" si="107"/>
        <v>5.3853895804619169E-2</v>
      </c>
      <c r="H1358">
        <v>177.90128843338192</v>
      </c>
      <c r="I1358">
        <v>162.98770131771641</v>
      </c>
      <c r="J1358">
        <v>242.63557833089328</v>
      </c>
      <c r="K1358">
        <f t="shared" si="108"/>
        <v>5.5366985051793822</v>
      </c>
      <c r="L1358">
        <f t="shared" si="109"/>
        <v>5.7115331883535783</v>
      </c>
    </row>
    <row r="1359" spans="1:12" x14ac:dyDescent="0.3">
      <c r="A1359">
        <v>4.8</v>
      </c>
      <c r="B1359">
        <v>4.9000000000000004</v>
      </c>
      <c r="C1359">
        <v>5.3147877013177176</v>
      </c>
      <c r="D1359">
        <v>5.4679355783308887</v>
      </c>
      <c r="E1359">
        <f t="shared" si="105"/>
        <v>0.29236625086550666</v>
      </c>
      <c r="F1359">
        <f t="shared" si="106"/>
        <v>0.26500637742797983</v>
      </c>
      <c r="G1359">
        <f t="shared" si="107"/>
        <v>0.32255082113404066</v>
      </c>
      <c r="H1359">
        <v>177.90128843338192</v>
      </c>
      <c r="I1359">
        <v>162.98770131771641</v>
      </c>
      <c r="J1359">
        <v>242.63557833089328</v>
      </c>
      <c r="K1359">
        <f t="shared" si="108"/>
        <v>4.7977819591564828</v>
      </c>
      <c r="L1359">
        <f t="shared" si="109"/>
        <v>4.9004041149880697</v>
      </c>
    </row>
    <row r="1360" spans="1:12" x14ac:dyDescent="0.3">
      <c r="A1360">
        <v>5.7</v>
      </c>
      <c r="B1360">
        <v>5.9</v>
      </c>
      <c r="C1360">
        <v>5.3147877013177176</v>
      </c>
      <c r="D1360">
        <v>5.4679355783308887</v>
      </c>
      <c r="E1360">
        <f t="shared" si="105"/>
        <v>0.16643652904998951</v>
      </c>
      <c r="F1360">
        <f t="shared" si="106"/>
        <v>0.14838851505608808</v>
      </c>
      <c r="G1360">
        <f t="shared" si="107"/>
        <v>0.18667966447226389</v>
      </c>
      <c r="H1360">
        <v>177.90128843338192</v>
      </c>
      <c r="I1360">
        <v>162.98770131771641</v>
      </c>
      <c r="J1360">
        <v>242.63557833089328</v>
      </c>
      <c r="K1360">
        <f t="shared" si="108"/>
        <v>5.7071928254518696</v>
      </c>
      <c r="L1360">
        <f t="shared" si="109"/>
        <v>5.8986895062910296</v>
      </c>
    </row>
    <row r="1361" spans="1:12" x14ac:dyDescent="0.3">
      <c r="A1361">
        <v>5</v>
      </c>
      <c r="B1361">
        <v>5.4</v>
      </c>
      <c r="C1361">
        <v>5.3147877013177176</v>
      </c>
      <c r="D1361">
        <v>5.4679355783308887</v>
      </c>
      <c r="E1361">
        <f t="shared" si="105"/>
        <v>2.1385284540470097E-2</v>
      </c>
      <c r="F1361">
        <f t="shared" si="106"/>
        <v>9.9091296900892592E-2</v>
      </c>
      <c r="G1361">
        <f t="shared" si="107"/>
        <v>4.615242803152269E-3</v>
      </c>
      <c r="H1361">
        <v>177.90128843338192</v>
      </c>
      <c r="I1361">
        <v>162.98770131771641</v>
      </c>
      <c r="J1361">
        <v>242.63557833089328</v>
      </c>
      <c r="K1361">
        <f t="shared" si="108"/>
        <v>5.2169003517210859</v>
      </c>
      <c r="L1361">
        <f t="shared" si="109"/>
        <v>5.3604819346297381</v>
      </c>
    </row>
    <row r="1362" spans="1:12" x14ac:dyDescent="0.3">
      <c r="A1362">
        <v>5.7</v>
      </c>
      <c r="B1362">
        <v>5.4</v>
      </c>
      <c r="C1362">
        <v>5.3147877013177176</v>
      </c>
      <c r="D1362">
        <v>5.4679355783308887</v>
      </c>
      <c r="E1362">
        <f t="shared" si="105"/>
        <v>-2.6169620291151774E-2</v>
      </c>
      <c r="F1362">
        <f t="shared" si="106"/>
        <v>0.14838851505608808</v>
      </c>
      <c r="G1362">
        <f t="shared" si="107"/>
        <v>4.615242803152269E-3</v>
      </c>
      <c r="H1362">
        <v>177.90128843338192</v>
      </c>
      <c r="I1362">
        <v>162.98770131771641</v>
      </c>
      <c r="J1362">
        <v>242.63557833089328</v>
      </c>
      <c r="K1362">
        <f t="shared" si="108"/>
        <v>5.3165440653537424</v>
      </c>
      <c r="L1362">
        <f t="shared" si="109"/>
        <v>5.4698635874572146</v>
      </c>
    </row>
    <row r="1363" spans="1:12" x14ac:dyDescent="0.3">
      <c r="A1363">
        <v>5.3</v>
      </c>
      <c r="B1363">
        <v>5.2</v>
      </c>
      <c r="C1363">
        <v>5.3147877013177176</v>
      </c>
      <c r="D1363">
        <v>5.4679355783308887</v>
      </c>
      <c r="E1363">
        <f t="shared" si="105"/>
        <v>3.9621513047471569E-3</v>
      </c>
      <c r="F1363">
        <f t="shared" si="106"/>
        <v>2.1867611026203226E-4</v>
      </c>
      <c r="G1363">
        <f t="shared" si="107"/>
        <v>7.1789474135507708E-2</v>
      </c>
      <c r="H1363">
        <v>177.90128843338192</v>
      </c>
      <c r="I1363">
        <v>162.98770131771641</v>
      </c>
      <c r="J1363">
        <v>242.63557833089328</v>
      </c>
      <c r="K1363">
        <f t="shared" si="108"/>
        <v>5.1033452963815442</v>
      </c>
      <c r="L1363">
        <f t="shared" si="109"/>
        <v>5.2358294183079863</v>
      </c>
    </row>
    <row r="1364" spans="1:12" x14ac:dyDescent="0.3">
      <c r="A1364">
        <v>5.0999999999999996</v>
      </c>
      <c r="B1364">
        <v>5.4</v>
      </c>
      <c r="C1364">
        <v>5.3147877013177176</v>
      </c>
      <c r="D1364">
        <v>5.4679355783308887</v>
      </c>
      <c r="E1364">
        <f t="shared" si="105"/>
        <v>1.4591726707381283E-2</v>
      </c>
      <c r="F1364">
        <f t="shared" si="106"/>
        <v>4.613375663734922E-2</v>
      </c>
      <c r="G1364">
        <f t="shared" si="107"/>
        <v>4.615242803152269E-3</v>
      </c>
      <c r="H1364">
        <v>177.90128843338192</v>
      </c>
      <c r="I1364">
        <v>162.98770131771641</v>
      </c>
      <c r="J1364">
        <v>242.63557833089328</v>
      </c>
      <c r="K1364">
        <f t="shared" si="108"/>
        <v>5.2311351679543217</v>
      </c>
      <c r="L1364">
        <f t="shared" si="109"/>
        <v>5.3761078850336625</v>
      </c>
    </row>
    <row r="1365" spans="1:12" x14ac:dyDescent="0.3">
      <c r="A1365">
        <v>5.0999999999999996</v>
      </c>
      <c r="B1365">
        <v>5.2</v>
      </c>
      <c r="C1365">
        <v>5.3147877013177176</v>
      </c>
      <c r="D1365">
        <v>5.4679355783308887</v>
      </c>
      <c r="E1365">
        <f t="shared" si="105"/>
        <v>5.7549266970924912E-2</v>
      </c>
      <c r="F1365">
        <f>(A1365-C1365)^2</f>
        <v>4.613375663734922E-2</v>
      </c>
      <c r="G1365">
        <f t="shared" si="107"/>
        <v>7.1789474135507708E-2</v>
      </c>
      <c r="H1365">
        <v>177.90128843338192</v>
      </c>
      <c r="I1365">
        <v>162.98770131771641</v>
      </c>
      <c r="J1365">
        <v>242.63557833089328</v>
      </c>
      <c r="K1365">
        <f t="shared" si="108"/>
        <v>5.0748756639150701</v>
      </c>
      <c r="L1365">
        <f t="shared" si="109"/>
        <v>5.2045775175001356</v>
      </c>
    </row>
    <row r="1366" spans="1:12" x14ac:dyDescent="0.3">
      <c r="A1366">
        <v>5.4</v>
      </c>
      <c r="B1366">
        <v>5.6</v>
      </c>
      <c r="C1366">
        <v>5.3147877013177176</v>
      </c>
      <c r="D1366">
        <v>5.4679355783308887</v>
      </c>
      <c r="E1366">
        <f t="shared" si="105"/>
        <v>1.1253512944571213E-2</v>
      </c>
      <c r="F1366">
        <f t="shared" si="106"/>
        <v>7.2611358467185661E-3</v>
      </c>
      <c r="G1366">
        <f t="shared" si="107"/>
        <v>1.7441011470796734E-2</v>
      </c>
      <c r="H1366">
        <v>177.90128843338192</v>
      </c>
      <c r="I1366">
        <v>162.98770131771641</v>
      </c>
      <c r="J1366">
        <v>242.63557833089328</v>
      </c>
      <c r="K1366">
        <f t="shared" si="108"/>
        <v>5.4300991206932823</v>
      </c>
      <c r="L1366">
        <f t="shared" si="109"/>
        <v>5.5945161037789637</v>
      </c>
    </row>
    <row r="1367" spans="1:12" x14ac:dyDescent="0.3">
      <c r="A1367">
        <v>5.8</v>
      </c>
      <c r="B1367">
        <v>6</v>
      </c>
      <c r="C1367">
        <v>5.3147877013177176</v>
      </c>
      <c r="D1367">
        <v>5.4679355783308887</v>
      </c>
      <c r="E1367">
        <f t="shared" si="105"/>
        <v>0.25816420108512855</v>
      </c>
      <c r="F1367">
        <f t="shared" si="106"/>
        <v>0.23543097479254424</v>
      </c>
      <c r="G1367">
        <f t="shared" si="107"/>
        <v>0.28309254880608586</v>
      </c>
      <c r="H1367">
        <v>177.90128843338192</v>
      </c>
      <c r="I1367">
        <v>162.98770131771641</v>
      </c>
      <c r="J1367">
        <v>242.63557833089328</v>
      </c>
      <c r="K1367">
        <f t="shared" si="108"/>
        <v>5.799557393704732</v>
      </c>
      <c r="L1367">
        <f t="shared" si="109"/>
        <v>6.000080640461718</v>
      </c>
    </row>
    <row r="1368" spans="1:12" x14ac:dyDescent="0.3">
      <c r="D1368" t="s">
        <v>11</v>
      </c>
      <c r="E1368" s="2">
        <f>SUM(E2:E1367)/1365</f>
        <v>0.11940490939026843</v>
      </c>
      <c r="F1368" s="2">
        <f t="shared" ref="F1368:G1368" si="110">SUM(F2:F1367)</f>
        <v>177.90128843338192</v>
      </c>
      <c r="G1368" s="2">
        <f t="shared" si="110"/>
        <v>242.63557833089328</v>
      </c>
      <c r="H1368">
        <v>177.90128843338192</v>
      </c>
      <c r="I1368">
        <v>162.98770131771641</v>
      </c>
      <c r="J1368">
        <v>242.63557833089328</v>
      </c>
      <c r="K1368">
        <f t="shared" si="108"/>
        <v>0.28615293099946454</v>
      </c>
      <c r="L1368">
        <f t="shared" si="109"/>
        <v>-5.2135508971744959E-2</v>
      </c>
    </row>
    <row r="1369" spans="1:12" x14ac:dyDescent="0.3">
      <c r="D1369" t="s">
        <v>9</v>
      </c>
      <c r="E1369">
        <f>F1368/1365</f>
        <v>0.13033061423690984</v>
      </c>
      <c r="G1369" s="1" t="s">
        <v>6</v>
      </c>
      <c r="H1369">
        <v>177.90128843338192</v>
      </c>
      <c r="I1369">
        <v>162.98770131771641</v>
      </c>
      <c r="J1369">
        <v>242.63557833089328</v>
      </c>
      <c r="K1369">
        <f t="shared" si="108"/>
        <v>0.28615293099946454</v>
      </c>
      <c r="L1369">
        <f t="shared" si="109"/>
        <v>-5.2135508971744959E-2</v>
      </c>
    </row>
    <row r="1370" spans="1:12" x14ac:dyDescent="0.3">
      <c r="D1370" t="s">
        <v>12</v>
      </c>
      <c r="E1370">
        <f>242.635578330893/1365</f>
        <v>0.17775500244021464</v>
      </c>
      <c r="K1370">
        <f t="shared" si="108"/>
        <v>0.28615293099946454</v>
      </c>
      <c r="L1370">
        <f t="shared" si="109"/>
        <v>-5.2135508971744959E-2</v>
      </c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shapeId="1025" r:id="rId4">
          <objectPr defaultSize="0" r:id="rId5">
            <anchor moveWithCells="1">
              <from>
                <xdr:col>13</xdr:col>
                <xdr:colOff>0</xdr:colOff>
                <xdr:row>17</xdr:row>
                <xdr:rowOff>0</xdr:rowOff>
              </from>
              <to>
                <xdr:col>14</xdr:col>
                <xdr:colOff>556260</xdr:colOff>
                <xdr:row>19</xdr:row>
                <xdr:rowOff>121920</xdr:rowOff>
              </to>
            </anchor>
          </objectPr>
        </oleObject>
      </mc:Choice>
      <mc:Fallback>
        <oleObject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27A87-1090-49DB-A10F-6D697C2FE79F}">
  <dimension ref="A1:AP501"/>
  <sheetViews>
    <sheetView workbookViewId="0">
      <selection activeCell="A20" sqref="A20:XFD20"/>
    </sheetView>
  </sheetViews>
  <sheetFormatPr defaultRowHeight="14.4" x14ac:dyDescent="0.3"/>
  <sheetData>
    <row r="1" spans="1:42" x14ac:dyDescent="0.3">
      <c r="A1" t="s">
        <v>22</v>
      </c>
      <c r="B1">
        <v>0.01</v>
      </c>
      <c r="C1" t="s">
        <v>23</v>
      </c>
      <c r="D1">
        <v>0.91873700000000003</v>
      </c>
      <c r="E1" t="s">
        <v>24</v>
      </c>
      <c r="F1">
        <v>1.484496</v>
      </c>
      <c r="G1" t="s">
        <v>25</v>
      </c>
      <c r="H1">
        <v>0.91616900000000001</v>
      </c>
      <c r="I1" t="s">
        <v>26</v>
      </c>
      <c r="J1">
        <v>1.9514E-2</v>
      </c>
      <c r="K1" t="s">
        <v>27</v>
      </c>
      <c r="L1">
        <v>3.177E-2</v>
      </c>
      <c r="M1" t="s">
        <v>28</v>
      </c>
      <c r="N1">
        <v>1.9602000000000001E-2</v>
      </c>
      <c r="O1" t="s">
        <v>29</v>
      </c>
      <c r="P1">
        <v>0.58504500000000004</v>
      </c>
      <c r="Q1" t="s">
        <v>30</v>
      </c>
      <c r="R1">
        <v>-2.421843</v>
      </c>
      <c r="S1" t="s">
        <v>31</v>
      </c>
      <c r="T1">
        <v>0.59869000000000006</v>
      </c>
      <c r="U1" t="s">
        <v>32</v>
      </c>
      <c r="V1">
        <v>0.103712</v>
      </c>
      <c r="W1" t="s">
        <v>33</v>
      </c>
      <c r="X1">
        <v>0.16908799999999999</v>
      </c>
      <c r="Y1" t="s">
        <v>34</v>
      </c>
      <c r="Z1">
        <v>0.104183</v>
      </c>
      <c r="AA1" t="s">
        <v>35</v>
      </c>
      <c r="AB1">
        <v>0.26037199999999999</v>
      </c>
      <c r="AC1" t="s">
        <v>36</v>
      </c>
      <c r="AD1">
        <v>0.33247100000000002</v>
      </c>
      <c r="AE1" t="s">
        <v>37</v>
      </c>
      <c r="AF1">
        <v>0.26155299999999998</v>
      </c>
      <c r="AG1" t="s">
        <v>38</v>
      </c>
      <c r="AH1">
        <v>0.786694</v>
      </c>
      <c r="AI1" t="s">
        <v>39</v>
      </c>
      <c r="AJ1">
        <v>0.61530899999999999</v>
      </c>
      <c r="AK1" t="s">
        <v>40</v>
      </c>
      <c r="AL1">
        <v>0.78449100000000005</v>
      </c>
      <c r="AM1" t="s">
        <v>41</v>
      </c>
      <c r="AN1">
        <v>0.13023499999999999</v>
      </c>
      <c r="AO1" t="s">
        <v>42</v>
      </c>
      <c r="AP1">
        <v>0.110456</v>
      </c>
    </row>
    <row r="2" spans="1:42" x14ac:dyDescent="0.3">
      <c r="A2" t="s">
        <v>22</v>
      </c>
      <c r="B2">
        <v>0.02</v>
      </c>
      <c r="C2" t="s">
        <v>23</v>
      </c>
      <c r="D2">
        <v>0.92127199999999998</v>
      </c>
      <c r="E2" t="s">
        <v>24</v>
      </c>
      <c r="F2">
        <v>1.4803539999999999</v>
      </c>
      <c r="G2" t="s">
        <v>25</v>
      </c>
      <c r="H2">
        <v>0.91616900000000001</v>
      </c>
      <c r="I2" t="s">
        <v>26</v>
      </c>
      <c r="J2">
        <v>1.3736E-2</v>
      </c>
      <c r="K2" t="s">
        <v>27</v>
      </c>
      <c r="L2">
        <v>3.1681000000000001E-2</v>
      </c>
      <c r="M2" t="s">
        <v>28</v>
      </c>
      <c r="N2">
        <v>1.9602000000000001E-2</v>
      </c>
      <c r="O2" t="s">
        <v>29</v>
      </c>
      <c r="P2">
        <v>0.57157100000000005</v>
      </c>
      <c r="Q2" t="s">
        <v>30</v>
      </c>
      <c r="R2">
        <v>-2.3998339999999998</v>
      </c>
      <c r="S2" t="s">
        <v>31</v>
      </c>
      <c r="T2">
        <v>0.59869000000000006</v>
      </c>
      <c r="U2" t="s">
        <v>32</v>
      </c>
      <c r="V2">
        <v>0.103241</v>
      </c>
      <c r="W2" t="s">
        <v>33</v>
      </c>
      <c r="X2">
        <v>0.168854</v>
      </c>
      <c r="Y2" t="s">
        <v>34</v>
      </c>
      <c r="Z2">
        <v>0.104183</v>
      </c>
      <c r="AA2" t="s">
        <v>35</v>
      </c>
      <c r="AB2">
        <v>0.25918799999999997</v>
      </c>
      <c r="AC2" t="s">
        <v>36</v>
      </c>
      <c r="AD2">
        <v>0.33155000000000001</v>
      </c>
      <c r="AE2" t="s">
        <v>37</v>
      </c>
      <c r="AF2">
        <v>0.26155299999999998</v>
      </c>
      <c r="AG2" t="s">
        <v>38</v>
      </c>
      <c r="AH2">
        <v>0.78888000000000003</v>
      </c>
      <c r="AI2" t="s">
        <v>39</v>
      </c>
      <c r="AJ2">
        <v>0.61809599999999998</v>
      </c>
      <c r="AK2" t="s">
        <v>40</v>
      </c>
      <c r="AL2">
        <v>0.78449100000000005</v>
      </c>
      <c r="AM2" t="s">
        <v>41</v>
      </c>
      <c r="AN2">
        <v>0.26046999999999998</v>
      </c>
      <c r="AO2" t="s">
        <v>42</v>
      </c>
      <c r="AP2">
        <v>0.21969</v>
      </c>
    </row>
    <row r="3" spans="1:42" x14ac:dyDescent="0.3">
      <c r="A3" t="s">
        <v>22</v>
      </c>
      <c r="B3">
        <v>0.03</v>
      </c>
      <c r="C3" t="s">
        <v>23</v>
      </c>
      <c r="D3">
        <v>0.92377399999999998</v>
      </c>
      <c r="E3" t="s">
        <v>24</v>
      </c>
      <c r="F3">
        <v>1.476251</v>
      </c>
      <c r="G3" t="s">
        <v>25</v>
      </c>
      <c r="H3">
        <v>0.91616900000000001</v>
      </c>
      <c r="I3" t="s">
        <v>26</v>
      </c>
      <c r="J3">
        <v>1.1164E-2</v>
      </c>
      <c r="K3" t="s">
        <v>27</v>
      </c>
      <c r="L3">
        <v>3.1593000000000003E-2</v>
      </c>
      <c r="M3" t="s">
        <v>28</v>
      </c>
      <c r="N3">
        <v>1.9602000000000001E-2</v>
      </c>
      <c r="O3" t="s">
        <v>29</v>
      </c>
      <c r="P3">
        <v>0.55827099999999996</v>
      </c>
      <c r="Q3" t="s">
        <v>30</v>
      </c>
      <c r="R3">
        <v>-2.3780239999999999</v>
      </c>
      <c r="S3" t="s">
        <v>31</v>
      </c>
      <c r="T3">
        <v>0.59869000000000006</v>
      </c>
      <c r="U3" t="s">
        <v>32</v>
      </c>
      <c r="V3">
        <v>0.102768</v>
      </c>
      <c r="W3" t="s">
        <v>33</v>
      </c>
      <c r="X3">
        <v>0.16862199999999999</v>
      </c>
      <c r="Y3" t="s">
        <v>34</v>
      </c>
      <c r="Z3">
        <v>0.104183</v>
      </c>
      <c r="AA3" t="s">
        <v>35</v>
      </c>
      <c r="AB3">
        <v>0.25800200000000001</v>
      </c>
      <c r="AC3" t="s">
        <v>36</v>
      </c>
      <c r="AD3">
        <v>0.33064100000000002</v>
      </c>
      <c r="AE3" t="s">
        <v>37</v>
      </c>
      <c r="AF3">
        <v>0.26155299999999998</v>
      </c>
      <c r="AG3" t="s">
        <v>38</v>
      </c>
      <c r="AH3">
        <v>0.79104799999999997</v>
      </c>
      <c r="AI3" t="s">
        <v>39</v>
      </c>
      <c r="AJ3">
        <v>0.62082599999999999</v>
      </c>
      <c r="AK3" t="s">
        <v>40</v>
      </c>
      <c r="AL3">
        <v>0.78449100000000005</v>
      </c>
      <c r="AM3" t="s">
        <v>41</v>
      </c>
      <c r="AN3">
        <v>0.390706</v>
      </c>
      <c r="AO3" t="s">
        <v>42</v>
      </c>
      <c r="AP3">
        <v>0.32773000000000002</v>
      </c>
    </row>
    <row r="4" spans="1:42" x14ac:dyDescent="0.3">
      <c r="A4" t="s">
        <v>22</v>
      </c>
      <c r="B4">
        <v>0.04</v>
      </c>
      <c r="C4" t="s">
        <v>23</v>
      </c>
      <c r="D4">
        <v>0.92624499999999999</v>
      </c>
      <c r="E4" t="s">
        <v>24</v>
      </c>
      <c r="F4">
        <v>1.4721850000000001</v>
      </c>
      <c r="G4" t="s">
        <v>25</v>
      </c>
      <c r="H4">
        <v>0.91616900000000001</v>
      </c>
      <c r="I4" t="s">
        <v>26</v>
      </c>
      <c r="J4">
        <v>9.6240000000000006E-3</v>
      </c>
      <c r="K4" t="s">
        <v>27</v>
      </c>
      <c r="L4">
        <v>3.1505999999999999E-2</v>
      </c>
      <c r="M4" t="s">
        <v>28</v>
      </c>
      <c r="N4">
        <v>1.9602000000000001E-2</v>
      </c>
      <c r="O4" t="s">
        <v>29</v>
      </c>
      <c r="P4">
        <v>0.54513900000000004</v>
      </c>
      <c r="Q4" t="s">
        <v>30</v>
      </c>
      <c r="R4">
        <v>-2.3564129999999999</v>
      </c>
      <c r="S4" t="s">
        <v>31</v>
      </c>
      <c r="T4">
        <v>0.59869000000000006</v>
      </c>
      <c r="U4" t="s">
        <v>32</v>
      </c>
      <c r="V4">
        <v>0.102295</v>
      </c>
      <c r="W4" t="s">
        <v>33</v>
      </c>
      <c r="X4">
        <v>0.16839399999999999</v>
      </c>
      <c r="Y4" t="s">
        <v>34</v>
      </c>
      <c r="Z4">
        <v>0.104183</v>
      </c>
      <c r="AA4" t="s">
        <v>35</v>
      </c>
      <c r="AB4">
        <v>0.25681300000000001</v>
      </c>
      <c r="AC4" t="s">
        <v>36</v>
      </c>
      <c r="AD4">
        <v>0.32974500000000001</v>
      </c>
      <c r="AE4" t="s">
        <v>37</v>
      </c>
      <c r="AF4">
        <v>0.26155299999999998</v>
      </c>
      <c r="AG4" t="s">
        <v>38</v>
      </c>
      <c r="AH4">
        <v>0.79319899999999999</v>
      </c>
      <c r="AI4" t="s">
        <v>39</v>
      </c>
      <c r="AJ4">
        <v>0.62349900000000003</v>
      </c>
      <c r="AK4" t="s">
        <v>40</v>
      </c>
      <c r="AL4">
        <v>0.78449100000000005</v>
      </c>
      <c r="AM4" t="s">
        <v>41</v>
      </c>
      <c r="AN4">
        <v>0.52094099999999999</v>
      </c>
      <c r="AO4" t="s">
        <v>42</v>
      </c>
      <c r="AP4">
        <v>0.43460799999999999</v>
      </c>
    </row>
    <row r="5" spans="1:42" x14ac:dyDescent="0.3">
      <c r="A5" t="s">
        <v>22</v>
      </c>
      <c r="B5">
        <v>0.05</v>
      </c>
      <c r="C5" t="s">
        <v>23</v>
      </c>
      <c r="D5">
        <v>0.92868300000000004</v>
      </c>
      <c r="E5" t="s">
        <v>24</v>
      </c>
      <c r="F5">
        <v>1.4681550000000001</v>
      </c>
      <c r="G5" t="s">
        <v>25</v>
      </c>
      <c r="H5">
        <v>0.91616900000000001</v>
      </c>
      <c r="I5" t="s">
        <v>26</v>
      </c>
      <c r="J5">
        <v>8.5679999999999992E-3</v>
      </c>
      <c r="K5" t="s">
        <v>27</v>
      </c>
      <c r="L5">
        <v>3.1419999999999997E-2</v>
      </c>
      <c r="M5" t="s">
        <v>28</v>
      </c>
      <c r="N5">
        <v>1.9602000000000001E-2</v>
      </c>
      <c r="O5" t="s">
        <v>29</v>
      </c>
      <c r="P5">
        <v>0.53218200000000004</v>
      </c>
      <c r="Q5" t="s">
        <v>30</v>
      </c>
      <c r="R5">
        <v>-2.3349989999999998</v>
      </c>
      <c r="S5" t="s">
        <v>31</v>
      </c>
      <c r="T5">
        <v>0.59869000000000006</v>
      </c>
      <c r="U5" t="s">
        <v>32</v>
      </c>
      <c r="V5">
        <v>0.10182099999999999</v>
      </c>
      <c r="W5" t="s">
        <v>33</v>
      </c>
      <c r="X5">
        <v>0.16816800000000001</v>
      </c>
      <c r="Y5" t="s">
        <v>34</v>
      </c>
      <c r="Z5">
        <v>0.104183</v>
      </c>
      <c r="AA5" t="s">
        <v>35</v>
      </c>
      <c r="AB5">
        <v>0.25562299999999999</v>
      </c>
      <c r="AC5" t="s">
        <v>36</v>
      </c>
      <c r="AD5">
        <v>0.32886100000000001</v>
      </c>
      <c r="AE5" t="s">
        <v>37</v>
      </c>
      <c r="AF5">
        <v>0.26155299999999998</v>
      </c>
      <c r="AG5" t="s">
        <v>38</v>
      </c>
      <c r="AH5">
        <v>0.79533100000000001</v>
      </c>
      <c r="AI5" t="s">
        <v>39</v>
      </c>
      <c r="AJ5">
        <v>0.62612000000000001</v>
      </c>
      <c r="AK5" t="s">
        <v>40</v>
      </c>
      <c r="AL5">
        <v>0.78449100000000005</v>
      </c>
      <c r="AM5" t="s">
        <v>41</v>
      </c>
      <c r="AN5">
        <v>0.65117599999999998</v>
      </c>
      <c r="AO5" t="s">
        <v>42</v>
      </c>
      <c r="AP5">
        <v>0.54035100000000003</v>
      </c>
    </row>
    <row r="6" spans="1:42" x14ac:dyDescent="0.3">
      <c r="A6" t="s">
        <v>22</v>
      </c>
      <c r="B6">
        <v>0.06</v>
      </c>
      <c r="C6" t="s">
        <v>23</v>
      </c>
      <c r="D6">
        <v>0.93108900000000006</v>
      </c>
      <c r="E6" t="s">
        <v>24</v>
      </c>
      <c r="F6">
        <v>1.4641630000000001</v>
      </c>
      <c r="G6" t="s">
        <v>25</v>
      </c>
      <c r="H6">
        <v>0.91616900000000001</v>
      </c>
      <c r="I6" t="s">
        <v>26</v>
      </c>
      <c r="J6">
        <v>7.7850000000000003E-3</v>
      </c>
      <c r="K6" t="s">
        <v>27</v>
      </c>
      <c r="L6">
        <v>3.1334000000000001E-2</v>
      </c>
      <c r="M6" t="s">
        <v>28</v>
      </c>
      <c r="N6">
        <v>1.9602000000000001E-2</v>
      </c>
      <c r="O6" t="s">
        <v>29</v>
      </c>
      <c r="P6">
        <v>0.51939400000000002</v>
      </c>
      <c r="Q6" t="s">
        <v>30</v>
      </c>
      <c r="R6">
        <v>-2.3137799999999999</v>
      </c>
      <c r="S6" t="s">
        <v>31</v>
      </c>
      <c r="T6">
        <v>0.59869000000000006</v>
      </c>
      <c r="U6" t="s">
        <v>32</v>
      </c>
      <c r="V6">
        <v>0.10134700000000001</v>
      </c>
      <c r="W6" t="s">
        <v>33</v>
      </c>
      <c r="X6">
        <v>0.16794400000000001</v>
      </c>
      <c r="Y6" t="s">
        <v>34</v>
      </c>
      <c r="Z6">
        <v>0.104183</v>
      </c>
      <c r="AA6" t="s">
        <v>35</v>
      </c>
      <c r="AB6">
        <v>0.25443199999999999</v>
      </c>
      <c r="AC6" t="s">
        <v>36</v>
      </c>
      <c r="AD6">
        <v>0.327988</v>
      </c>
      <c r="AE6" t="s">
        <v>37</v>
      </c>
      <c r="AF6">
        <v>0.26155299999999998</v>
      </c>
      <c r="AG6" t="s">
        <v>38</v>
      </c>
      <c r="AH6">
        <v>0.79744499999999996</v>
      </c>
      <c r="AI6" t="s">
        <v>39</v>
      </c>
      <c r="AJ6">
        <v>0.62868599999999997</v>
      </c>
      <c r="AK6" t="s">
        <v>40</v>
      </c>
      <c r="AL6">
        <v>0.78449100000000005</v>
      </c>
      <c r="AM6" t="s">
        <v>41</v>
      </c>
      <c r="AN6">
        <v>0.78141099999999997</v>
      </c>
      <c r="AO6" t="s">
        <v>42</v>
      </c>
      <c r="AP6">
        <v>0.64498699999999998</v>
      </c>
    </row>
    <row r="7" spans="1:42" x14ac:dyDescent="0.3">
      <c r="A7" t="s">
        <v>22</v>
      </c>
      <c r="B7">
        <v>7.0000000000000007E-2</v>
      </c>
      <c r="C7" t="s">
        <v>23</v>
      </c>
      <c r="D7">
        <v>0.93346200000000001</v>
      </c>
      <c r="E7" t="s">
        <v>24</v>
      </c>
      <c r="F7">
        <v>1.460208</v>
      </c>
      <c r="G7" t="s">
        <v>25</v>
      </c>
      <c r="H7">
        <v>0.91616900000000001</v>
      </c>
      <c r="I7" t="s">
        <v>26</v>
      </c>
      <c r="J7">
        <v>7.1739999999999998E-3</v>
      </c>
      <c r="K7" t="s">
        <v>27</v>
      </c>
      <c r="L7">
        <v>3.1248999999999999E-2</v>
      </c>
      <c r="M7" t="s">
        <v>28</v>
      </c>
      <c r="N7">
        <v>1.9602000000000001E-2</v>
      </c>
      <c r="O7" t="s">
        <v>29</v>
      </c>
      <c r="P7">
        <v>0.50678299999999998</v>
      </c>
      <c r="Q7" t="s">
        <v>30</v>
      </c>
      <c r="R7">
        <v>-2.2927580000000001</v>
      </c>
      <c r="S7" t="s">
        <v>31</v>
      </c>
      <c r="T7">
        <v>0.59869000000000006</v>
      </c>
      <c r="U7" t="s">
        <v>32</v>
      </c>
      <c r="V7">
        <v>0.100871</v>
      </c>
      <c r="W7" t="s">
        <v>33</v>
      </c>
      <c r="X7">
        <v>0.16772400000000001</v>
      </c>
      <c r="Y7" t="s">
        <v>34</v>
      </c>
      <c r="Z7">
        <v>0.104183</v>
      </c>
      <c r="AA7" t="s">
        <v>35</v>
      </c>
      <c r="AB7">
        <v>0.25323899999999999</v>
      </c>
      <c r="AC7" t="s">
        <v>36</v>
      </c>
      <c r="AD7">
        <v>0.327129</v>
      </c>
      <c r="AE7" t="s">
        <v>37</v>
      </c>
      <c r="AF7">
        <v>0.26155299999999998</v>
      </c>
      <c r="AG7" t="s">
        <v>38</v>
      </c>
      <c r="AH7">
        <v>0.79954099999999995</v>
      </c>
      <c r="AI7" t="s">
        <v>39</v>
      </c>
      <c r="AJ7">
        <v>0.63119899999999995</v>
      </c>
      <c r="AK7" t="s">
        <v>40</v>
      </c>
      <c r="AL7">
        <v>0.78449100000000005</v>
      </c>
      <c r="AM7" t="s">
        <v>41</v>
      </c>
      <c r="AN7">
        <v>0.91164599999999996</v>
      </c>
      <c r="AO7" t="s">
        <v>42</v>
      </c>
      <c r="AP7">
        <v>0.74854399999999999</v>
      </c>
    </row>
    <row r="8" spans="1:42" x14ac:dyDescent="0.3">
      <c r="A8" t="s">
        <v>22</v>
      </c>
      <c r="B8">
        <v>0.08</v>
      </c>
      <c r="C8" t="s">
        <v>23</v>
      </c>
      <c r="D8">
        <v>0.93580300000000005</v>
      </c>
      <c r="E8" t="s">
        <v>24</v>
      </c>
      <c r="F8">
        <v>1.456288</v>
      </c>
      <c r="G8" t="s">
        <v>25</v>
      </c>
      <c r="H8">
        <v>0.91616900000000001</v>
      </c>
      <c r="I8" t="s">
        <v>26</v>
      </c>
      <c r="J8">
        <v>6.679E-3</v>
      </c>
      <c r="K8" t="s">
        <v>27</v>
      </c>
      <c r="L8">
        <v>3.1165000000000002E-2</v>
      </c>
      <c r="M8" t="s">
        <v>28</v>
      </c>
      <c r="N8">
        <v>1.9602000000000001E-2</v>
      </c>
      <c r="O8" t="s">
        <v>29</v>
      </c>
      <c r="P8">
        <v>0.49433899999999997</v>
      </c>
      <c r="Q8" t="s">
        <v>30</v>
      </c>
      <c r="R8">
        <v>-2.2719269999999998</v>
      </c>
      <c r="S8" t="s">
        <v>31</v>
      </c>
      <c r="T8">
        <v>0.59869000000000006</v>
      </c>
      <c r="U8" t="s">
        <v>32</v>
      </c>
      <c r="V8">
        <v>0.100396</v>
      </c>
      <c r="W8" t="s">
        <v>33</v>
      </c>
      <c r="X8">
        <v>0.16750599999999999</v>
      </c>
      <c r="Y8" t="s">
        <v>34</v>
      </c>
      <c r="Z8">
        <v>0.104183</v>
      </c>
      <c r="AA8" t="s">
        <v>35</v>
      </c>
      <c r="AB8">
        <v>0.25204500000000002</v>
      </c>
      <c r="AC8" t="s">
        <v>36</v>
      </c>
      <c r="AD8">
        <v>0.32628099999999999</v>
      </c>
      <c r="AE8" t="s">
        <v>37</v>
      </c>
      <c r="AF8">
        <v>0.26155299999999998</v>
      </c>
      <c r="AG8" t="s">
        <v>38</v>
      </c>
      <c r="AH8">
        <v>0.80162</v>
      </c>
      <c r="AI8" t="s">
        <v>39</v>
      </c>
      <c r="AJ8">
        <v>0.63366299999999998</v>
      </c>
      <c r="AK8" t="s">
        <v>40</v>
      </c>
      <c r="AL8">
        <v>0.78449100000000005</v>
      </c>
      <c r="AM8" t="s">
        <v>41</v>
      </c>
      <c r="AN8">
        <v>1.041882</v>
      </c>
      <c r="AO8" t="s">
        <v>42</v>
      </c>
      <c r="AP8">
        <v>0.85104800000000003</v>
      </c>
    </row>
    <row r="9" spans="1:42" x14ac:dyDescent="0.3">
      <c r="A9" t="s">
        <v>22</v>
      </c>
      <c r="B9">
        <v>0.09</v>
      </c>
      <c r="C9" t="s">
        <v>23</v>
      </c>
      <c r="D9">
        <v>0.93811199999999995</v>
      </c>
      <c r="E9" t="s">
        <v>24</v>
      </c>
      <c r="F9">
        <v>1.4524049999999999</v>
      </c>
      <c r="G9" t="s">
        <v>25</v>
      </c>
      <c r="H9">
        <v>0.91616900000000001</v>
      </c>
      <c r="I9" t="s">
        <v>26</v>
      </c>
      <c r="J9">
        <v>6.267E-3</v>
      </c>
      <c r="K9" t="s">
        <v>27</v>
      </c>
      <c r="L9">
        <v>3.1081999999999999E-2</v>
      </c>
      <c r="M9" t="s">
        <v>28</v>
      </c>
      <c r="N9">
        <v>1.9602000000000001E-2</v>
      </c>
      <c r="O9" t="s">
        <v>29</v>
      </c>
      <c r="P9">
        <v>0.482072</v>
      </c>
      <c r="Q9" t="s">
        <v>30</v>
      </c>
      <c r="R9">
        <v>-2.25129</v>
      </c>
      <c r="S9" t="s">
        <v>31</v>
      </c>
      <c r="T9">
        <v>0.59869000000000006</v>
      </c>
      <c r="U9" t="s">
        <v>32</v>
      </c>
      <c r="V9">
        <v>9.9919999999999995E-2</v>
      </c>
      <c r="W9" t="s">
        <v>33</v>
      </c>
      <c r="X9">
        <v>0.16728999999999999</v>
      </c>
      <c r="Y9" t="s">
        <v>34</v>
      </c>
      <c r="Z9">
        <v>0.104183</v>
      </c>
      <c r="AA9" t="s">
        <v>35</v>
      </c>
      <c r="AB9">
        <v>0.25085099999999999</v>
      </c>
      <c r="AC9" t="s">
        <v>36</v>
      </c>
      <c r="AD9">
        <v>0.32544400000000001</v>
      </c>
      <c r="AE9" t="s">
        <v>37</v>
      </c>
      <c r="AF9">
        <v>0.26155299999999998</v>
      </c>
      <c r="AG9" t="s">
        <v>38</v>
      </c>
      <c r="AH9">
        <v>0.80367999999999995</v>
      </c>
      <c r="AI9" t="s">
        <v>39</v>
      </c>
      <c r="AJ9">
        <v>0.63607599999999997</v>
      </c>
      <c r="AK9" t="s">
        <v>40</v>
      </c>
      <c r="AL9">
        <v>0.78449100000000005</v>
      </c>
      <c r="AM9" t="s">
        <v>41</v>
      </c>
      <c r="AN9">
        <v>1.1721170000000001</v>
      </c>
      <c r="AO9" t="s">
        <v>42</v>
      </c>
      <c r="AP9">
        <v>0.95252700000000001</v>
      </c>
    </row>
    <row r="10" spans="1:42" x14ac:dyDescent="0.3">
      <c r="A10" t="s">
        <v>22</v>
      </c>
      <c r="B10">
        <v>0.1</v>
      </c>
      <c r="C10" t="s">
        <v>23</v>
      </c>
      <c r="D10">
        <v>0.940388</v>
      </c>
      <c r="E10" t="s">
        <v>24</v>
      </c>
      <c r="F10">
        <v>1.448558</v>
      </c>
      <c r="G10" t="s">
        <v>25</v>
      </c>
      <c r="H10">
        <v>0.91616900000000001</v>
      </c>
      <c r="I10" t="s">
        <v>26</v>
      </c>
      <c r="J10">
        <v>5.9170000000000004E-3</v>
      </c>
      <c r="K10" t="s">
        <v>27</v>
      </c>
      <c r="L10">
        <v>3.1E-2</v>
      </c>
      <c r="M10" t="s">
        <v>28</v>
      </c>
      <c r="N10">
        <v>1.9602000000000001E-2</v>
      </c>
      <c r="O10" t="s">
        <v>29</v>
      </c>
      <c r="P10">
        <v>0.46997499999999998</v>
      </c>
      <c r="Q10" t="s">
        <v>30</v>
      </c>
      <c r="R10">
        <v>-2.2308439999999998</v>
      </c>
      <c r="S10" t="s">
        <v>31</v>
      </c>
      <c r="T10">
        <v>0.59869000000000006</v>
      </c>
      <c r="U10" t="s">
        <v>32</v>
      </c>
      <c r="V10">
        <v>9.9444000000000005E-2</v>
      </c>
      <c r="W10" t="s">
        <v>33</v>
      </c>
      <c r="X10">
        <v>0.167078</v>
      </c>
      <c r="Y10" t="s">
        <v>34</v>
      </c>
      <c r="Z10">
        <v>0.104183</v>
      </c>
      <c r="AA10" t="s">
        <v>35</v>
      </c>
      <c r="AB10">
        <v>0.24965499999999999</v>
      </c>
      <c r="AC10" t="s">
        <v>36</v>
      </c>
      <c r="AD10">
        <v>0.32461899999999999</v>
      </c>
      <c r="AE10" t="s">
        <v>37</v>
      </c>
      <c r="AF10">
        <v>0.26155299999999998</v>
      </c>
      <c r="AG10" t="s">
        <v>38</v>
      </c>
      <c r="AH10">
        <v>0.80572200000000005</v>
      </c>
      <c r="AI10" t="s">
        <v>39</v>
      </c>
      <c r="AJ10">
        <v>0.63844100000000004</v>
      </c>
      <c r="AK10" t="s">
        <v>40</v>
      </c>
      <c r="AL10">
        <v>0.78449100000000005</v>
      </c>
      <c r="AM10" t="s">
        <v>41</v>
      </c>
      <c r="AN10">
        <v>1.302352</v>
      </c>
      <c r="AO10" t="s">
        <v>42</v>
      </c>
      <c r="AP10">
        <v>1.053005</v>
      </c>
    </row>
    <row r="11" spans="1:42" x14ac:dyDescent="0.3">
      <c r="A11" t="s">
        <v>22</v>
      </c>
      <c r="B11">
        <v>0.11</v>
      </c>
      <c r="C11" t="s">
        <v>23</v>
      </c>
      <c r="D11">
        <v>0.942631</v>
      </c>
      <c r="E11" t="s">
        <v>24</v>
      </c>
      <c r="F11">
        <v>1.444747</v>
      </c>
      <c r="G11" t="s">
        <v>25</v>
      </c>
      <c r="H11">
        <v>0.91616900000000001</v>
      </c>
      <c r="I11" t="s">
        <v>26</v>
      </c>
      <c r="J11">
        <v>5.6140000000000001E-3</v>
      </c>
      <c r="K11" t="s">
        <v>27</v>
      </c>
      <c r="L11">
        <v>3.0918000000000001E-2</v>
      </c>
      <c r="M11" t="s">
        <v>28</v>
      </c>
      <c r="N11">
        <v>1.9602000000000001E-2</v>
      </c>
      <c r="O11" t="s">
        <v>29</v>
      </c>
      <c r="P11">
        <v>0.45805400000000002</v>
      </c>
      <c r="Q11" t="s">
        <v>30</v>
      </c>
      <c r="R11">
        <v>-2.210588</v>
      </c>
      <c r="S11" t="s">
        <v>31</v>
      </c>
      <c r="T11">
        <v>0.59869000000000006</v>
      </c>
      <c r="U11" t="s">
        <v>32</v>
      </c>
      <c r="V11">
        <v>9.8966999999999999E-2</v>
      </c>
      <c r="W11" t="s">
        <v>33</v>
      </c>
      <c r="X11">
        <v>0.16686799999999999</v>
      </c>
      <c r="Y11" t="s">
        <v>34</v>
      </c>
      <c r="Z11">
        <v>0.104183</v>
      </c>
      <c r="AA11" t="s">
        <v>35</v>
      </c>
      <c r="AB11">
        <v>0.24845900000000001</v>
      </c>
      <c r="AC11" t="s">
        <v>36</v>
      </c>
      <c r="AD11">
        <v>0.32380599999999998</v>
      </c>
      <c r="AE11" t="s">
        <v>37</v>
      </c>
      <c r="AF11">
        <v>0.26155299999999998</v>
      </c>
      <c r="AG11" t="s">
        <v>38</v>
      </c>
      <c r="AH11">
        <v>0.80774599999999996</v>
      </c>
      <c r="AI11" t="s">
        <v>39</v>
      </c>
      <c r="AJ11">
        <v>0.64075899999999997</v>
      </c>
      <c r="AK11" t="s">
        <v>40</v>
      </c>
      <c r="AL11">
        <v>0.78449100000000005</v>
      </c>
      <c r="AM11" t="s">
        <v>41</v>
      </c>
      <c r="AN11">
        <v>1.4325870000000001</v>
      </c>
      <c r="AO11" t="s">
        <v>42</v>
      </c>
      <c r="AP11">
        <v>1.152509</v>
      </c>
    </row>
    <row r="12" spans="1:42" x14ac:dyDescent="0.3">
      <c r="A12" t="s">
        <v>22</v>
      </c>
      <c r="B12">
        <v>0.12</v>
      </c>
      <c r="C12" t="s">
        <v>23</v>
      </c>
      <c r="D12">
        <v>0.94484199999999996</v>
      </c>
      <c r="E12" t="s">
        <v>24</v>
      </c>
      <c r="F12">
        <v>1.440971</v>
      </c>
      <c r="G12" t="s">
        <v>25</v>
      </c>
      <c r="H12">
        <v>0.91616900000000001</v>
      </c>
      <c r="I12" t="s">
        <v>26</v>
      </c>
      <c r="J12">
        <v>5.3499999999999997E-3</v>
      </c>
      <c r="K12" t="s">
        <v>27</v>
      </c>
      <c r="L12">
        <v>3.0837E-2</v>
      </c>
      <c r="M12" t="s">
        <v>28</v>
      </c>
      <c r="N12">
        <v>1.9602000000000001E-2</v>
      </c>
      <c r="O12" t="s">
        <v>29</v>
      </c>
      <c r="P12">
        <v>0.44630300000000001</v>
      </c>
      <c r="Q12" t="s">
        <v>30</v>
      </c>
      <c r="R12">
        <v>-2.1905199999999998</v>
      </c>
      <c r="S12" t="s">
        <v>31</v>
      </c>
      <c r="T12">
        <v>0.59869000000000006</v>
      </c>
      <c r="U12" t="s">
        <v>32</v>
      </c>
      <c r="V12">
        <v>9.8490999999999995E-2</v>
      </c>
      <c r="W12" t="s">
        <v>33</v>
      </c>
      <c r="X12">
        <v>0.166662</v>
      </c>
      <c r="Y12" t="s">
        <v>34</v>
      </c>
      <c r="Z12">
        <v>0.104183</v>
      </c>
      <c r="AA12" t="s">
        <v>35</v>
      </c>
      <c r="AB12">
        <v>0.24726300000000001</v>
      </c>
      <c r="AC12" t="s">
        <v>36</v>
      </c>
      <c r="AD12">
        <v>0.32300400000000001</v>
      </c>
      <c r="AE12" t="s">
        <v>37</v>
      </c>
      <c r="AF12">
        <v>0.26155299999999998</v>
      </c>
      <c r="AG12" t="s">
        <v>38</v>
      </c>
      <c r="AH12">
        <v>0.809751</v>
      </c>
      <c r="AI12" t="s">
        <v>39</v>
      </c>
      <c r="AJ12">
        <v>0.64302999999999999</v>
      </c>
      <c r="AK12" t="s">
        <v>40</v>
      </c>
      <c r="AL12">
        <v>0.78449100000000005</v>
      </c>
      <c r="AM12" t="s">
        <v>41</v>
      </c>
      <c r="AN12">
        <v>1.5628219999999999</v>
      </c>
      <c r="AO12" t="s">
        <v>42</v>
      </c>
      <c r="AP12">
        <v>1.2510619999999999</v>
      </c>
    </row>
    <row r="13" spans="1:42" x14ac:dyDescent="0.3">
      <c r="A13" t="s">
        <v>22</v>
      </c>
      <c r="B13">
        <v>0.13</v>
      </c>
      <c r="C13" t="s">
        <v>23</v>
      </c>
      <c r="D13">
        <v>0.947021</v>
      </c>
      <c r="E13" t="s">
        <v>24</v>
      </c>
      <c r="F13">
        <v>1.4372309999999999</v>
      </c>
      <c r="G13" t="s">
        <v>25</v>
      </c>
      <c r="H13">
        <v>0.91616900000000001</v>
      </c>
      <c r="I13" t="s">
        <v>26</v>
      </c>
      <c r="J13">
        <v>5.1149999999999998E-3</v>
      </c>
      <c r="K13" t="s">
        <v>27</v>
      </c>
      <c r="L13">
        <v>3.0757E-2</v>
      </c>
      <c r="M13" t="s">
        <v>28</v>
      </c>
      <c r="N13">
        <v>1.9602000000000001E-2</v>
      </c>
      <c r="O13" t="s">
        <v>29</v>
      </c>
      <c r="P13">
        <v>0.43471900000000002</v>
      </c>
      <c r="Q13" t="s">
        <v>30</v>
      </c>
      <c r="R13">
        <v>-2.1706409999999998</v>
      </c>
      <c r="S13" t="s">
        <v>31</v>
      </c>
      <c r="T13">
        <v>0.59869000000000006</v>
      </c>
      <c r="U13" t="s">
        <v>32</v>
      </c>
      <c r="V13">
        <v>9.8015000000000005E-2</v>
      </c>
      <c r="W13" t="s">
        <v>33</v>
      </c>
      <c r="X13">
        <v>0.16645699999999999</v>
      </c>
      <c r="Y13" t="s">
        <v>34</v>
      </c>
      <c r="Z13">
        <v>0.104183</v>
      </c>
      <c r="AA13" t="s">
        <v>35</v>
      </c>
      <c r="AB13">
        <v>0.24606700000000001</v>
      </c>
      <c r="AC13" t="s">
        <v>36</v>
      </c>
      <c r="AD13">
        <v>0.32221300000000003</v>
      </c>
      <c r="AE13" t="s">
        <v>37</v>
      </c>
      <c r="AF13">
        <v>0.26155299999999998</v>
      </c>
      <c r="AG13" t="s">
        <v>38</v>
      </c>
      <c r="AH13">
        <v>0.81173899999999999</v>
      </c>
      <c r="AI13" t="s">
        <v>39</v>
      </c>
      <c r="AJ13">
        <v>0.64525600000000005</v>
      </c>
      <c r="AK13" t="s">
        <v>40</v>
      </c>
      <c r="AL13">
        <v>0.78449100000000005</v>
      </c>
      <c r="AM13" t="s">
        <v>41</v>
      </c>
      <c r="AN13">
        <v>1.693058</v>
      </c>
      <c r="AO13" t="s">
        <v>42</v>
      </c>
      <c r="AP13">
        <v>1.348689</v>
      </c>
    </row>
    <row r="14" spans="1:42" x14ac:dyDescent="0.3">
      <c r="A14" t="s">
        <v>22</v>
      </c>
      <c r="B14">
        <v>0.14000000000000001</v>
      </c>
      <c r="C14" t="s">
        <v>23</v>
      </c>
      <c r="D14">
        <v>0.94916699999999998</v>
      </c>
      <c r="E14" t="s">
        <v>24</v>
      </c>
      <c r="F14">
        <v>1.4335249999999999</v>
      </c>
      <c r="G14" t="s">
        <v>25</v>
      </c>
      <c r="H14">
        <v>0.91616900000000001</v>
      </c>
      <c r="I14" t="s">
        <v>26</v>
      </c>
      <c r="J14">
        <v>4.9049999999999996E-3</v>
      </c>
      <c r="K14" t="s">
        <v>27</v>
      </c>
      <c r="L14">
        <v>3.0678E-2</v>
      </c>
      <c r="M14" t="s">
        <v>28</v>
      </c>
      <c r="N14">
        <v>1.9602000000000001E-2</v>
      </c>
      <c r="O14" t="s">
        <v>29</v>
      </c>
      <c r="P14">
        <v>0.42331200000000002</v>
      </c>
      <c r="Q14" t="s">
        <v>30</v>
      </c>
      <c r="R14">
        <v>-2.1509469999999999</v>
      </c>
      <c r="S14" t="s">
        <v>31</v>
      </c>
      <c r="T14">
        <v>0.59869000000000006</v>
      </c>
      <c r="U14" t="s">
        <v>32</v>
      </c>
      <c r="V14">
        <v>9.7538E-2</v>
      </c>
      <c r="W14" t="s">
        <v>33</v>
      </c>
      <c r="X14">
        <v>0.16625599999999999</v>
      </c>
      <c r="Y14" t="s">
        <v>34</v>
      </c>
      <c r="Z14">
        <v>0.104183</v>
      </c>
      <c r="AA14" t="s">
        <v>35</v>
      </c>
      <c r="AB14">
        <v>0.24487100000000001</v>
      </c>
      <c r="AC14" t="s">
        <v>36</v>
      </c>
      <c r="AD14">
        <v>0.321434</v>
      </c>
      <c r="AE14" t="s">
        <v>37</v>
      </c>
      <c r="AF14">
        <v>0.26155299999999998</v>
      </c>
      <c r="AG14" t="s">
        <v>38</v>
      </c>
      <c r="AH14">
        <v>0.81370799999999999</v>
      </c>
      <c r="AI14" t="s">
        <v>39</v>
      </c>
      <c r="AJ14">
        <v>0.64743899999999999</v>
      </c>
      <c r="AK14" t="s">
        <v>40</v>
      </c>
      <c r="AL14">
        <v>0.78449100000000005</v>
      </c>
      <c r="AM14" t="s">
        <v>41</v>
      </c>
      <c r="AN14">
        <v>1.8232930000000001</v>
      </c>
      <c r="AO14" t="s">
        <v>42</v>
      </c>
      <c r="AP14">
        <v>1.4454130000000001</v>
      </c>
    </row>
    <row r="15" spans="1:42" x14ac:dyDescent="0.3">
      <c r="A15" t="s">
        <v>22</v>
      </c>
      <c r="B15">
        <v>0.15</v>
      </c>
      <c r="C15" t="s">
        <v>23</v>
      </c>
      <c r="D15">
        <v>0.95128100000000004</v>
      </c>
      <c r="E15" t="s">
        <v>24</v>
      </c>
      <c r="F15">
        <v>1.4298550000000001</v>
      </c>
      <c r="G15" t="s">
        <v>25</v>
      </c>
      <c r="H15">
        <v>0.91616900000000001</v>
      </c>
      <c r="I15" t="s">
        <v>26</v>
      </c>
      <c r="J15">
        <v>4.7149999999999996E-3</v>
      </c>
      <c r="K15" t="s">
        <v>27</v>
      </c>
      <c r="L15">
        <v>3.0599000000000001E-2</v>
      </c>
      <c r="M15" t="s">
        <v>28</v>
      </c>
      <c r="N15">
        <v>1.9602000000000001E-2</v>
      </c>
      <c r="O15" t="s">
        <v>29</v>
      </c>
      <c r="P15">
        <v>0.412078</v>
      </c>
      <c r="Q15" t="s">
        <v>30</v>
      </c>
      <c r="R15">
        <v>-2.1314389999999999</v>
      </c>
      <c r="S15" t="s">
        <v>31</v>
      </c>
      <c r="T15">
        <v>0.59869000000000006</v>
      </c>
      <c r="U15" t="s">
        <v>32</v>
      </c>
      <c r="V15">
        <v>9.7061999999999996E-2</v>
      </c>
      <c r="W15" t="s">
        <v>33</v>
      </c>
      <c r="X15">
        <v>0.16605700000000001</v>
      </c>
      <c r="Y15" t="s">
        <v>34</v>
      </c>
      <c r="Z15">
        <v>0.104183</v>
      </c>
      <c r="AA15" t="s">
        <v>35</v>
      </c>
      <c r="AB15">
        <v>0.243675</v>
      </c>
      <c r="AC15" t="s">
        <v>36</v>
      </c>
      <c r="AD15">
        <v>0.32066499999999998</v>
      </c>
      <c r="AE15" t="s">
        <v>37</v>
      </c>
      <c r="AF15">
        <v>0.26155299999999998</v>
      </c>
      <c r="AG15" t="s">
        <v>38</v>
      </c>
      <c r="AH15">
        <v>0.81565900000000002</v>
      </c>
      <c r="AI15" t="s">
        <v>39</v>
      </c>
      <c r="AJ15">
        <v>0.64957900000000002</v>
      </c>
      <c r="AK15" t="s">
        <v>40</v>
      </c>
      <c r="AL15">
        <v>0.78449100000000005</v>
      </c>
      <c r="AM15" t="s">
        <v>41</v>
      </c>
      <c r="AN15">
        <v>1.9535279999999999</v>
      </c>
      <c r="AO15" t="s">
        <v>42</v>
      </c>
      <c r="AP15">
        <v>1.5412589999999999</v>
      </c>
    </row>
    <row r="16" spans="1:42" x14ac:dyDescent="0.3">
      <c r="A16" t="s">
        <v>22</v>
      </c>
      <c r="B16">
        <v>0.16</v>
      </c>
      <c r="C16" t="s">
        <v>23</v>
      </c>
      <c r="D16">
        <v>0.95336399999999999</v>
      </c>
      <c r="E16" t="s">
        <v>24</v>
      </c>
      <c r="F16">
        <v>1.4262189999999999</v>
      </c>
      <c r="G16" t="s">
        <v>25</v>
      </c>
      <c r="H16">
        <v>0.91616900000000001</v>
      </c>
      <c r="I16" t="s">
        <v>26</v>
      </c>
      <c r="J16">
        <v>4.5430000000000002E-3</v>
      </c>
      <c r="K16" t="s">
        <v>27</v>
      </c>
      <c r="L16">
        <v>3.0521E-2</v>
      </c>
      <c r="M16" t="s">
        <v>28</v>
      </c>
      <c r="N16">
        <v>1.9602000000000001E-2</v>
      </c>
      <c r="O16" t="s">
        <v>29</v>
      </c>
      <c r="P16">
        <v>0.40100999999999998</v>
      </c>
      <c r="Q16" t="s">
        <v>30</v>
      </c>
      <c r="R16">
        <v>-2.112114</v>
      </c>
      <c r="S16" t="s">
        <v>31</v>
      </c>
      <c r="T16">
        <v>0.59869000000000006</v>
      </c>
      <c r="U16" t="s">
        <v>32</v>
      </c>
      <c r="V16">
        <v>9.6586000000000005E-2</v>
      </c>
      <c r="W16" t="s">
        <v>33</v>
      </c>
      <c r="X16">
        <v>0.16586200000000001</v>
      </c>
      <c r="Y16" t="s">
        <v>34</v>
      </c>
      <c r="Z16">
        <v>0.104183</v>
      </c>
      <c r="AA16" t="s">
        <v>35</v>
      </c>
      <c r="AB16">
        <v>0.24248</v>
      </c>
      <c r="AC16" t="s">
        <v>36</v>
      </c>
      <c r="AD16">
        <v>0.319907</v>
      </c>
      <c r="AE16" t="s">
        <v>37</v>
      </c>
      <c r="AF16">
        <v>0.26155299999999998</v>
      </c>
      <c r="AG16" t="s">
        <v>38</v>
      </c>
      <c r="AH16">
        <v>0.81759199999999999</v>
      </c>
      <c r="AI16" t="s">
        <v>39</v>
      </c>
      <c r="AJ16">
        <v>0.65167600000000003</v>
      </c>
      <c r="AK16" t="s">
        <v>40</v>
      </c>
      <c r="AL16">
        <v>0.78449100000000005</v>
      </c>
      <c r="AM16" t="s">
        <v>41</v>
      </c>
      <c r="AN16">
        <v>2.0837629999999998</v>
      </c>
      <c r="AO16" t="s">
        <v>42</v>
      </c>
      <c r="AP16">
        <v>1.636247</v>
      </c>
    </row>
    <row r="17" spans="1:42" x14ac:dyDescent="0.3">
      <c r="A17" t="s">
        <v>22</v>
      </c>
      <c r="B17">
        <v>0.17</v>
      </c>
      <c r="C17" t="s">
        <v>23</v>
      </c>
      <c r="D17">
        <v>0.95541399999999999</v>
      </c>
      <c r="E17" t="s">
        <v>24</v>
      </c>
      <c r="F17">
        <v>1.422617</v>
      </c>
      <c r="G17" t="s">
        <v>25</v>
      </c>
      <c r="H17">
        <v>0.91616900000000001</v>
      </c>
      <c r="I17" t="s">
        <v>26</v>
      </c>
      <c r="J17">
        <v>4.3860000000000001E-3</v>
      </c>
      <c r="K17" t="s">
        <v>27</v>
      </c>
      <c r="L17">
        <v>3.0443999999999999E-2</v>
      </c>
      <c r="M17" t="s">
        <v>28</v>
      </c>
      <c r="N17">
        <v>1.9602000000000001E-2</v>
      </c>
      <c r="O17" t="s">
        <v>29</v>
      </c>
      <c r="P17">
        <v>0.39011499999999999</v>
      </c>
      <c r="Q17" t="s">
        <v>30</v>
      </c>
      <c r="R17">
        <v>-2.0929720000000001</v>
      </c>
      <c r="S17" t="s">
        <v>31</v>
      </c>
      <c r="T17">
        <v>0.59869000000000006</v>
      </c>
      <c r="U17" t="s">
        <v>32</v>
      </c>
      <c r="V17">
        <v>9.6110000000000001E-2</v>
      </c>
      <c r="W17" t="s">
        <v>33</v>
      </c>
      <c r="X17">
        <v>0.16566900000000001</v>
      </c>
      <c r="Y17" t="s">
        <v>34</v>
      </c>
      <c r="Z17">
        <v>0.104183</v>
      </c>
      <c r="AA17" t="s">
        <v>35</v>
      </c>
      <c r="AB17">
        <v>0.241285</v>
      </c>
      <c r="AC17" t="s">
        <v>36</v>
      </c>
      <c r="AD17">
        <v>0.31916</v>
      </c>
      <c r="AE17" t="s">
        <v>37</v>
      </c>
      <c r="AF17">
        <v>0.26155299999999998</v>
      </c>
      <c r="AG17" t="s">
        <v>38</v>
      </c>
      <c r="AH17">
        <v>0.81950500000000004</v>
      </c>
      <c r="AI17" t="s">
        <v>39</v>
      </c>
      <c r="AJ17">
        <v>0.65373300000000001</v>
      </c>
      <c r="AK17" t="s">
        <v>40</v>
      </c>
      <c r="AL17">
        <v>0.78449100000000005</v>
      </c>
      <c r="AM17" t="s">
        <v>41</v>
      </c>
      <c r="AN17">
        <v>2.2139989999999998</v>
      </c>
      <c r="AO17" t="s">
        <v>42</v>
      </c>
      <c r="AP17">
        <v>1.7304010000000001</v>
      </c>
    </row>
    <row r="18" spans="1:42" x14ac:dyDescent="0.3">
      <c r="A18" t="s">
        <v>22</v>
      </c>
      <c r="B18">
        <v>0.18</v>
      </c>
      <c r="C18" t="s">
        <v>23</v>
      </c>
      <c r="D18">
        <v>0.95743199999999995</v>
      </c>
      <c r="E18" t="s">
        <v>24</v>
      </c>
      <c r="F18">
        <v>1.4190499999999999</v>
      </c>
      <c r="G18" t="s">
        <v>25</v>
      </c>
      <c r="H18">
        <v>0.91616900000000001</v>
      </c>
      <c r="I18" t="s">
        <v>26</v>
      </c>
      <c r="J18">
        <v>4.241E-3</v>
      </c>
      <c r="K18" t="s">
        <v>27</v>
      </c>
      <c r="L18">
        <v>3.0367999999999999E-2</v>
      </c>
      <c r="M18" t="s">
        <v>28</v>
      </c>
      <c r="N18">
        <v>1.9602000000000001E-2</v>
      </c>
      <c r="O18" t="s">
        <v>29</v>
      </c>
      <c r="P18">
        <v>0.37938699999999997</v>
      </c>
      <c r="Q18" t="s">
        <v>30</v>
      </c>
      <c r="R18">
        <v>-2.074011</v>
      </c>
      <c r="S18" t="s">
        <v>31</v>
      </c>
      <c r="T18">
        <v>0.59869000000000006</v>
      </c>
      <c r="U18" t="s">
        <v>32</v>
      </c>
      <c r="V18">
        <v>9.5634999999999998E-2</v>
      </c>
      <c r="W18" t="s">
        <v>33</v>
      </c>
      <c r="X18">
        <v>0.16547799999999999</v>
      </c>
      <c r="Y18" t="s">
        <v>34</v>
      </c>
      <c r="Z18">
        <v>0.104183</v>
      </c>
      <c r="AA18" t="s">
        <v>35</v>
      </c>
      <c r="AB18">
        <v>0.240092</v>
      </c>
      <c r="AC18" t="s">
        <v>36</v>
      </c>
      <c r="AD18">
        <v>0.31842300000000001</v>
      </c>
      <c r="AE18" t="s">
        <v>37</v>
      </c>
      <c r="AF18">
        <v>0.26155299999999998</v>
      </c>
      <c r="AG18" t="s">
        <v>38</v>
      </c>
      <c r="AH18">
        <v>0.82140100000000005</v>
      </c>
      <c r="AI18" t="s">
        <v>39</v>
      </c>
      <c r="AJ18">
        <v>0.655748</v>
      </c>
      <c r="AK18" t="s">
        <v>40</v>
      </c>
      <c r="AL18">
        <v>0.78449100000000005</v>
      </c>
      <c r="AM18" t="s">
        <v>41</v>
      </c>
      <c r="AN18">
        <v>2.3442340000000002</v>
      </c>
      <c r="AO18" t="s">
        <v>42</v>
      </c>
      <c r="AP18">
        <v>1.823742</v>
      </c>
    </row>
    <row r="19" spans="1:42" x14ac:dyDescent="0.3">
      <c r="A19" t="s">
        <v>22</v>
      </c>
      <c r="B19">
        <v>0.19</v>
      </c>
      <c r="C19" t="s">
        <v>23</v>
      </c>
      <c r="D19">
        <v>0.95941900000000002</v>
      </c>
      <c r="E19" t="s">
        <v>24</v>
      </c>
      <c r="F19">
        <v>1.415516</v>
      </c>
      <c r="G19" t="s">
        <v>25</v>
      </c>
      <c r="H19">
        <v>0.91616900000000001</v>
      </c>
      <c r="I19" t="s">
        <v>26</v>
      </c>
      <c r="J19">
        <v>4.1079999999999997E-3</v>
      </c>
      <c r="K19" t="s">
        <v>27</v>
      </c>
      <c r="L19">
        <v>3.0291999999999999E-2</v>
      </c>
      <c r="M19" t="s">
        <v>28</v>
      </c>
      <c r="N19">
        <v>1.9602000000000001E-2</v>
      </c>
      <c r="O19" t="s">
        <v>29</v>
      </c>
      <c r="P19">
        <v>0.36882700000000002</v>
      </c>
      <c r="Q19" t="s">
        <v>30</v>
      </c>
      <c r="R19">
        <v>-2.0552299999999999</v>
      </c>
      <c r="S19" t="s">
        <v>31</v>
      </c>
      <c r="T19">
        <v>0.59869000000000006</v>
      </c>
      <c r="U19" t="s">
        <v>32</v>
      </c>
      <c r="V19">
        <v>9.5158999999999994E-2</v>
      </c>
      <c r="W19" t="s">
        <v>33</v>
      </c>
      <c r="X19">
        <v>0.16529099999999999</v>
      </c>
      <c r="Y19" t="s">
        <v>34</v>
      </c>
      <c r="Z19">
        <v>0.104183</v>
      </c>
      <c r="AA19" t="s">
        <v>35</v>
      </c>
      <c r="AB19">
        <v>0.238899</v>
      </c>
      <c r="AC19" t="s">
        <v>36</v>
      </c>
      <c r="AD19">
        <v>0.31769700000000001</v>
      </c>
      <c r="AE19" t="s">
        <v>37</v>
      </c>
      <c r="AF19">
        <v>0.26155299999999998</v>
      </c>
      <c r="AG19" t="s">
        <v>38</v>
      </c>
      <c r="AH19">
        <v>0.82327799999999995</v>
      </c>
      <c r="AI19" t="s">
        <v>39</v>
      </c>
      <c r="AJ19">
        <v>0.657725</v>
      </c>
      <c r="AK19" t="s">
        <v>40</v>
      </c>
      <c r="AL19">
        <v>0.78449100000000005</v>
      </c>
      <c r="AM19" t="s">
        <v>41</v>
      </c>
      <c r="AN19">
        <v>2.474469</v>
      </c>
      <c r="AO19" t="s">
        <v>42</v>
      </c>
      <c r="AP19">
        <v>1.916291</v>
      </c>
    </row>
    <row r="20" spans="1:42" s="4" customFormat="1" x14ac:dyDescent="0.3">
      <c r="A20" s="4" t="s">
        <v>22</v>
      </c>
      <c r="B20" s="4">
        <v>0.2</v>
      </c>
      <c r="C20" s="4" t="s">
        <v>23</v>
      </c>
      <c r="D20" s="4">
        <v>0.96137399999999995</v>
      </c>
      <c r="E20" s="4" t="s">
        <v>24</v>
      </c>
      <c r="F20" s="4">
        <v>1.412015</v>
      </c>
      <c r="G20" s="4" t="s">
        <v>25</v>
      </c>
      <c r="H20" s="4">
        <v>0.91616900000000001</v>
      </c>
      <c r="I20" s="4" t="s">
        <v>26</v>
      </c>
      <c r="J20" s="4">
        <v>3.9839999999999997E-3</v>
      </c>
      <c r="K20" s="4" t="s">
        <v>27</v>
      </c>
      <c r="L20" s="4">
        <v>3.0217000000000001E-2</v>
      </c>
      <c r="M20" s="4" t="s">
        <v>28</v>
      </c>
      <c r="N20" s="4">
        <v>1.9602000000000001E-2</v>
      </c>
      <c r="O20" s="4" t="s">
        <v>29</v>
      </c>
      <c r="P20" s="4">
        <v>0.35843700000000001</v>
      </c>
      <c r="Q20" s="4" t="s">
        <v>30</v>
      </c>
      <c r="R20" s="4">
        <v>-2.0366270000000002</v>
      </c>
      <c r="S20" s="4" t="s">
        <v>31</v>
      </c>
      <c r="T20" s="4">
        <v>0.59869000000000006</v>
      </c>
      <c r="U20" s="4" t="s">
        <v>32</v>
      </c>
      <c r="V20" s="4">
        <v>9.4685000000000005E-2</v>
      </c>
      <c r="W20" s="4" t="s">
        <v>33</v>
      </c>
      <c r="X20" s="4">
        <v>0.165106</v>
      </c>
      <c r="Y20" s="4" t="s">
        <v>34</v>
      </c>
      <c r="Z20" s="4">
        <v>0.104183</v>
      </c>
      <c r="AA20" s="4" t="s">
        <v>35</v>
      </c>
      <c r="AB20" s="4">
        <v>0.237708</v>
      </c>
      <c r="AC20" s="4" t="s">
        <v>36</v>
      </c>
      <c r="AD20" s="4">
        <v>0.31698100000000001</v>
      </c>
      <c r="AE20" s="4" t="s">
        <v>37</v>
      </c>
      <c r="AF20" s="4">
        <v>0.26155299999999998</v>
      </c>
      <c r="AG20" s="4" t="s">
        <v>38</v>
      </c>
      <c r="AH20" s="4">
        <v>0.82513800000000004</v>
      </c>
      <c r="AI20" s="4" t="s">
        <v>39</v>
      </c>
      <c r="AJ20" s="4">
        <v>0.65966400000000003</v>
      </c>
      <c r="AK20" s="4" t="s">
        <v>40</v>
      </c>
      <c r="AL20" s="4">
        <v>0.78449100000000005</v>
      </c>
      <c r="AM20" s="4" t="s">
        <v>41</v>
      </c>
      <c r="AN20" s="4">
        <v>2.6047039999999999</v>
      </c>
      <c r="AO20" s="4" t="s">
        <v>42</v>
      </c>
      <c r="AP20" s="4">
        <v>2.0080680000000002</v>
      </c>
    </row>
    <row r="21" spans="1:42" x14ac:dyDescent="0.3">
      <c r="A21" t="s">
        <v>22</v>
      </c>
      <c r="B21">
        <v>0.21</v>
      </c>
      <c r="C21" t="s">
        <v>23</v>
      </c>
      <c r="D21">
        <v>0.96329799999999999</v>
      </c>
      <c r="E21" t="s">
        <v>24</v>
      </c>
      <c r="F21">
        <v>1.4085490000000001</v>
      </c>
      <c r="G21" t="s">
        <v>25</v>
      </c>
      <c r="H21">
        <v>0.91616900000000001</v>
      </c>
      <c r="I21" t="s">
        <v>26</v>
      </c>
      <c r="J21">
        <v>3.8679999999999999E-3</v>
      </c>
      <c r="K21" t="s">
        <v>27</v>
      </c>
      <c r="L21">
        <v>3.0143E-2</v>
      </c>
      <c r="M21" t="s">
        <v>28</v>
      </c>
      <c r="N21">
        <v>1.9602000000000001E-2</v>
      </c>
      <c r="O21" t="s">
        <v>29</v>
      </c>
      <c r="P21">
        <v>0.34821200000000002</v>
      </c>
      <c r="Q21" t="s">
        <v>30</v>
      </c>
      <c r="R21">
        <v>-2.0182009999999999</v>
      </c>
      <c r="S21" t="s">
        <v>31</v>
      </c>
      <c r="T21">
        <v>0.59869000000000006</v>
      </c>
      <c r="U21" t="s">
        <v>32</v>
      </c>
      <c r="V21">
        <v>9.4211000000000003E-2</v>
      </c>
      <c r="W21" t="s">
        <v>33</v>
      </c>
      <c r="X21">
        <v>0.16492399999999999</v>
      </c>
      <c r="Y21" t="s">
        <v>34</v>
      </c>
      <c r="Z21">
        <v>0.104183</v>
      </c>
      <c r="AA21" t="s">
        <v>35</v>
      </c>
      <c r="AB21">
        <v>0.23651900000000001</v>
      </c>
      <c r="AC21" t="s">
        <v>36</v>
      </c>
      <c r="AD21">
        <v>0.316276</v>
      </c>
      <c r="AE21" t="s">
        <v>37</v>
      </c>
      <c r="AF21">
        <v>0.26155299999999998</v>
      </c>
      <c r="AG21" t="s">
        <v>38</v>
      </c>
      <c r="AH21">
        <v>0.82697900000000002</v>
      </c>
      <c r="AI21" t="s">
        <v>39</v>
      </c>
      <c r="AJ21">
        <v>0.66156599999999999</v>
      </c>
      <c r="AK21" t="s">
        <v>40</v>
      </c>
      <c r="AL21">
        <v>0.78449100000000005</v>
      </c>
      <c r="AM21" t="s">
        <v>41</v>
      </c>
      <c r="AN21">
        <v>2.7349389999999998</v>
      </c>
      <c r="AO21" t="s">
        <v>42</v>
      </c>
      <c r="AP21">
        <v>2.0990950000000002</v>
      </c>
    </row>
    <row r="22" spans="1:42" x14ac:dyDescent="0.3">
      <c r="A22" t="s">
        <v>22</v>
      </c>
      <c r="B22">
        <v>0.22</v>
      </c>
      <c r="C22" t="s">
        <v>23</v>
      </c>
      <c r="D22">
        <v>0.96518999999999999</v>
      </c>
      <c r="E22" t="s">
        <v>24</v>
      </c>
      <c r="F22">
        <v>1.4051149999999999</v>
      </c>
      <c r="G22" t="s">
        <v>25</v>
      </c>
      <c r="H22">
        <v>0.91616900000000001</v>
      </c>
      <c r="I22" t="s">
        <v>26</v>
      </c>
      <c r="J22">
        <v>3.7599999999999999E-3</v>
      </c>
      <c r="K22" t="s">
        <v>27</v>
      </c>
      <c r="L22">
        <v>3.0068999999999999E-2</v>
      </c>
      <c r="M22" t="s">
        <v>28</v>
      </c>
      <c r="N22">
        <v>1.9602000000000001E-2</v>
      </c>
      <c r="O22" t="s">
        <v>29</v>
      </c>
      <c r="P22">
        <v>0.33815699999999999</v>
      </c>
      <c r="Q22" t="s">
        <v>30</v>
      </c>
      <c r="R22">
        <v>-1.999951</v>
      </c>
      <c r="S22" t="s">
        <v>31</v>
      </c>
      <c r="T22">
        <v>0.59869000000000006</v>
      </c>
      <c r="U22" t="s">
        <v>32</v>
      </c>
      <c r="V22">
        <v>9.3738000000000002E-2</v>
      </c>
      <c r="W22" t="s">
        <v>33</v>
      </c>
      <c r="X22">
        <v>0.164745</v>
      </c>
      <c r="Y22" t="s">
        <v>34</v>
      </c>
      <c r="Z22">
        <v>0.104183</v>
      </c>
      <c r="AA22" t="s">
        <v>35</v>
      </c>
      <c r="AB22">
        <v>0.23533000000000001</v>
      </c>
      <c r="AC22" t="s">
        <v>36</v>
      </c>
      <c r="AD22">
        <v>0.31558000000000003</v>
      </c>
      <c r="AE22" t="s">
        <v>37</v>
      </c>
      <c r="AF22">
        <v>0.26155299999999998</v>
      </c>
      <c r="AG22" t="s">
        <v>38</v>
      </c>
      <c r="AH22">
        <v>0.82880200000000004</v>
      </c>
      <c r="AI22" t="s">
        <v>39</v>
      </c>
      <c r="AJ22">
        <v>0.66343099999999999</v>
      </c>
      <c r="AK22" t="s">
        <v>40</v>
      </c>
      <c r="AL22">
        <v>0.78449100000000005</v>
      </c>
      <c r="AM22" t="s">
        <v>41</v>
      </c>
      <c r="AN22">
        <v>2.8651749999999998</v>
      </c>
      <c r="AO22" t="s">
        <v>42</v>
      </c>
      <c r="AP22">
        <v>2.1893899999999999</v>
      </c>
    </row>
    <row r="23" spans="1:42" x14ac:dyDescent="0.3">
      <c r="A23" t="s">
        <v>22</v>
      </c>
      <c r="B23">
        <v>0.23</v>
      </c>
      <c r="C23" t="s">
        <v>23</v>
      </c>
      <c r="D23">
        <v>0.96705099999999999</v>
      </c>
      <c r="E23" t="s">
        <v>24</v>
      </c>
      <c r="F23">
        <v>1.4017139999999999</v>
      </c>
      <c r="G23" t="s">
        <v>25</v>
      </c>
      <c r="H23">
        <v>0.91616900000000001</v>
      </c>
      <c r="I23" t="s">
        <v>26</v>
      </c>
      <c r="J23">
        <v>3.6589999999999999E-3</v>
      </c>
      <c r="K23" t="s">
        <v>27</v>
      </c>
      <c r="L23">
        <v>2.9995999999999998E-2</v>
      </c>
      <c r="M23" t="s">
        <v>28</v>
      </c>
      <c r="N23">
        <v>1.9602000000000001E-2</v>
      </c>
      <c r="O23" t="s">
        <v>29</v>
      </c>
      <c r="P23">
        <v>0.32826499999999997</v>
      </c>
      <c r="Q23" t="s">
        <v>30</v>
      </c>
      <c r="R23">
        <v>-1.9818750000000001</v>
      </c>
      <c r="S23" t="s">
        <v>31</v>
      </c>
      <c r="T23">
        <v>0.59869000000000006</v>
      </c>
      <c r="U23" t="s">
        <v>32</v>
      </c>
      <c r="V23">
        <v>9.3265000000000001E-2</v>
      </c>
      <c r="W23" t="s">
        <v>33</v>
      </c>
      <c r="X23">
        <v>0.16456899999999999</v>
      </c>
      <c r="Y23" t="s">
        <v>34</v>
      </c>
      <c r="Z23">
        <v>0.104183</v>
      </c>
      <c r="AA23" t="s">
        <v>35</v>
      </c>
      <c r="AB23">
        <v>0.23414399999999999</v>
      </c>
      <c r="AC23" t="s">
        <v>36</v>
      </c>
      <c r="AD23">
        <v>0.31489400000000001</v>
      </c>
      <c r="AE23" t="s">
        <v>37</v>
      </c>
      <c r="AF23">
        <v>0.26155299999999998</v>
      </c>
      <c r="AG23" t="s">
        <v>38</v>
      </c>
      <c r="AH23">
        <v>0.83060500000000004</v>
      </c>
      <c r="AI23" t="s">
        <v>39</v>
      </c>
      <c r="AJ23">
        <v>0.66525999999999996</v>
      </c>
      <c r="AK23" t="s">
        <v>40</v>
      </c>
      <c r="AL23">
        <v>0.78449100000000005</v>
      </c>
      <c r="AM23" t="s">
        <v>41</v>
      </c>
      <c r="AN23">
        <v>2.9954100000000001</v>
      </c>
      <c r="AO23" t="s">
        <v>42</v>
      </c>
      <c r="AP23">
        <v>2.2789730000000001</v>
      </c>
    </row>
    <row r="24" spans="1:42" x14ac:dyDescent="0.3">
      <c r="A24" t="s">
        <v>22</v>
      </c>
      <c r="B24">
        <v>0.24</v>
      </c>
      <c r="C24" t="s">
        <v>23</v>
      </c>
      <c r="D24">
        <v>0.96888099999999999</v>
      </c>
      <c r="E24" t="s">
        <v>24</v>
      </c>
      <c r="F24">
        <v>1.3983449999999999</v>
      </c>
      <c r="G24" t="s">
        <v>25</v>
      </c>
      <c r="H24">
        <v>0.91616900000000001</v>
      </c>
      <c r="I24" t="s">
        <v>26</v>
      </c>
      <c r="J24">
        <v>3.5639999999999999E-3</v>
      </c>
      <c r="K24" t="s">
        <v>27</v>
      </c>
      <c r="L24">
        <v>2.9923999999999999E-2</v>
      </c>
      <c r="M24" t="s">
        <v>28</v>
      </c>
      <c r="N24">
        <v>1.9602000000000001E-2</v>
      </c>
      <c r="O24" t="s">
        <v>29</v>
      </c>
      <c r="P24">
        <v>0.31853799999999999</v>
      </c>
      <c r="Q24" t="s">
        <v>30</v>
      </c>
      <c r="R24">
        <v>-1.9639720000000001</v>
      </c>
      <c r="S24" t="s">
        <v>31</v>
      </c>
      <c r="T24">
        <v>0.59869000000000006</v>
      </c>
      <c r="U24" t="s">
        <v>32</v>
      </c>
      <c r="V24">
        <v>9.2794000000000001E-2</v>
      </c>
      <c r="W24" t="s">
        <v>33</v>
      </c>
      <c r="X24">
        <v>0.16439500000000001</v>
      </c>
      <c r="Y24" t="s">
        <v>34</v>
      </c>
      <c r="Z24">
        <v>0.104183</v>
      </c>
      <c r="AA24" t="s">
        <v>35</v>
      </c>
      <c r="AB24">
        <v>0.23296</v>
      </c>
      <c r="AC24" t="s">
        <v>36</v>
      </c>
      <c r="AD24">
        <v>0.31421900000000003</v>
      </c>
      <c r="AE24" t="s">
        <v>37</v>
      </c>
      <c r="AF24">
        <v>0.26155299999999998</v>
      </c>
      <c r="AG24" t="s">
        <v>38</v>
      </c>
      <c r="AH24">
        <v>0.83239300000000005</v>
      </c>
      <c r="AI24" t="s">
        <v>39</v>
      </c>
      <c r="AJ24">
        <v>0.66705300000000001</v>
      </c>
      <c r="AK24" t="s">
        <v>40</v>
      </c>
      <c r="AL24">
        <v>0.78449100000000005</v>
      </c>
      <c r="AM24" t="s">
        <v>41</v>
      </c>
      <c r="AN24">
        <v>3.125645</v>
      </c>
      <c r="AO24" t="s">
        <v>42</v>
      </c>
      <c r="AP24">
        <v>2.3678620000000001</v>
      </c>
    </row>
    <row r="25" spans="1:42" x14ac:dyDescent="0.3">
      <c r="A25" t="s">
        <v>22</v>
      </c>
      <c r="B25">
        <v>0.25</v>
      </c>
      <c r="C25" t="s">
        <v>23</v>
      </c>
      <c r="D25">
        <v>0.97068100000000002</v>
      </c>
      <c r="E25" t="s">
        <v>24</v>
      </c>
      <c r="F25">
        <v>1.3950089999999999</v>
      </c>
      <c r="G25" t="s">
        <v>25</v>
      </c>
      <c r="H25">
        <v>0.91616900000000001</v>
      </c>
      <c r="I25" t="s">
        <v>26</v>
      </c>
      <c r="J25">
        <v>3.4740000000000001E-3</v>
      </c>
      <c r="K25" t="s">
        <v>27</v>
      </c>
      <c r="L25">
        <v>2.9853000000000001E-2</v>
      </c>
      <c r="M25" t="s">
        <v>28</v>
      </c>
      <c r="N25">
        <v>1.9602000000000001E-2</v>
      </c>
      <c r="O25" t="s">
        <v>29</v>
      </c>
      <c r="P25">
        <v>0.30897400000000003</v>
      </c>
      <c r="Q25" t="s">
        <v>30</v>
      </c>
      <c r="R25">
        <v>-1.9462410000000001</v>
      </c>
      <c r="S25" t="s">
        <v>31</v>
      </c>
      <c r="T25">
        <v>0.59869000000000006</v>
      </c>
      <c r="U25" t="s">
        <v>32</v>
      </c>
      <c r="V25">
        <v>9.2323000000000002E-2</v>
      </c>
      <c r="W25" t="s">
        <v>33</v>
      </c>
      <c r="X25">
        <v>0.16422500000000001</v>
      </c>
      <c r="Y25" t="s">
        <v>34</v>
      </c>
      <c r="Z25">
        <v>0.104183</v>
      </c>
      <c r="AA25" t="s">
        <v>35</v>
      </c>
      <c r="AB25">
        <v>0.23177800000000001</v>
      </c>
      <c r="AC25" t="s">
        <v>36</v>
      </c>
      <c r="AD25">
        <v>0.313552</v>
      </c>
      <c r="AE25" t="s">
        <v>37</v>
      </c>
      <c r="AF25">
        <v>0.26155299999999998</v>
      </c>
      <c r="AG25" t="s">
        <v>38</v>
      </c>
      <c r="AH25">
        <v>0.83416100000000004</v>
      </c>
      <c r="AI25" t="s">
        <v>39</v>
      </c>
      <c r="AJ25">
        <v>0.66881199999999996</v>
      </c>
      <c r="AK25" t="s">
        <v>40</v>
      </c>
      <c r="AL25">
        <v>0.78449100000000005</v>
      </c>
      <c r="AM25" t="s">
        <v>41</v>
      </c>
      <c r="AN25">
        <v>3.2558799999999999</v>
      </c>
      <c r="AO25" t="s">
        <v>42</v>
      </c>
      <c r="AP25">
        <v>2.4560759999999999</v>
      </c>
    </row>
    <row r="26" spans="1:42" x14ac:dyDescent="0.3">
      <c r="A26" t="s">
        <v>22</v>
      </c>
      <c r="B26">
        <v>0.26</v>
      </c>
      <c r="C26" t="s">
        <v>23</v>
      </c>
      <c r="D26">
        <v>0.97245000000000004</v>
      </c>
      <c r="E26" t="s">
        <v>24</v>
      </c>
      <c r="F26">
        <v>1.391705</v>
      </c>
      <c r="G26" t="s">
        <v>25</v>
      </c>
      <c r="H26">
        <v>0.91616900000000001</v>
      </c>
      <c r="I26" t="s">
        <v>26</v>
      </c>
      <c r="J26">
        <v>3.3890000000000001E-3</v>
      </c>
      <c r="K26" t="s">
        <v>27</v>
      </c>
      <c r="L26">
        <v>2.9781999999999999E-2</v>
      </c>
      <c r="M26" t="s">
        <v>28</v>
      </c>
      <c r="N26">
        <v>1.9602000000000001E-2</v>
      </c>
      <c r="O26" t="s">
        <v>29</v>
      </c>
      <c r="P26">
        <v>0.299572</v>
      </c>
      <c r="Q26" t="s">
        <v>30</v>
      </c>
      <c r="R26">
        <v>-1.9286810000000001</v>
      </c>
      <c r="S26" t="s">
        <v>31</v>
      </c>
      <c r="T26">
        <v>0.59869000000000006</v>
      </c>
      <c r="U26" t="s">
        <v>32</v>
      </c>
      <c r="V26">
        <v>9.1853000000000004E-2</v>
      </c>
      <c r="W26" t="s">
        <v>33</v>
      </c>
      <c r="X26">
        <v>0.16405700000000001</v>
      </c>
      <c r="Y26" t="s">
        <v>34</v>
      </c>
      <c r="Z26">
        <v>0.104183</v>
      </c>
      <c r="AA26" t="s">
        <v>35</v>
      </c>
      <c r="AB26">
        <v>0.230598</v>
      </c>
      <c r="AC26" t="s">
        <v>36</v>
      </c>
      <c r="AD26">
        <v>0.31289600000000001</v>
      </c>
      <c r="AE26" t="s">
        <v>37</v>
      </c>
      <c r="AF26">
        <v>0.26155299999999998</v>
      </c>
      <c r="AG26" t="s">
        <v>38</v>
      </c>
      <c r="AH26">
        <v>0.83591099999999996</v>
      </c>
      <c r="AI26" t="s">
        <v>39</v>
      </c>
      <c r="AJ26">
        <v>0.67053799999999997</v>
      </c>
      <c r="AK26" t="s">
        <v>40</v>
      </c>
      <c r="AL26">
        <v>0.78449100000000005</v>
      </c>
      <c r="AM26" t="s">
        <v>41</v>
      </c>
      <c r="AN26">
        <v>3.3861150000000002</v>
      </c>
      <c r="AO26" t="s">
        <v>42</v>
      </c>
      <c r="AP26">
        <v>2.5436350000000001</v>
      </c>
    </row>
    <row r="27" spans="1:42" x14ac:dyDescent="0.3">
      <c r="A27" t="s">
        <v>22</v>
      </c>
      <c r="B27">
        <v>0.27</v>
      </c>
      <c r="C27" t="s">
        <v>23</v>
      </c>
      <c r="D27">
        <v>0.97418800000000005</v>
      </c>
      <c r="E27" t="s">
        <v>24</v>
      </c>
      <c r="F27">
        <v>1.388433</v>
      </c>
      <c r="G27" t="s">
        <v>25</v>
      </c>
      <c r="H27">
        <v>0.91616900000000001</v>
      </c>
      <c r="I27" t="s">
        <v>26</v>
      </c>
      <c r="J27">
        <v>3.3089999999999999E-3</v>
      </c>
      <c r="K27" t="s">
        <v>27</v>
      </c>
      <c r="L27">
        <v>2.9711999999999999E-2</v>
      </c>
      <c r="M27" t="s">
        <v>28</v>
      </c>
      <c r="N27">
        <v>1.9602000000000001E-2</v>
      </c>
      <c r="O27" t="s">
        <v>29</v>
      </c>
      <c r="P27">
        <v>0.29033100000000001</v>
      </c>
      <c r="Q27" t="s">
        <v>30</v>
      </c>
      <c r="R27">
        <v>-1.9112899999999999</v>
      </c>
      <c r="S27" t="s">
        <v>31</v>
      </c>
      <c r="T27">
        <v>0.59869000000000006</v>
      </c>
      <c r="U27" t="s">
        <v>32</v>
      </c>
      <c r="V27">
        <v>9.1384000000000007E-2</v>
      </c>
      <c r="W27" t="s">
        <v>33</v>
      </c>
      <c r="X27">
        <v>0.16389100000000001</v>
      </c>
      <c r="Y27" t="s">
        <v>34</v>
      </c>
      <c r="Z27">
        <v>0.104183</v>
      </c>
      <c r="AA27" t="s">
        <v>35</v>
      </c>
      <c r="AB27">
        <v>0.22942000000000001</v>
      </c>
      <c r="AC27" t="s">
        <v>36</v>
      </c>
      <c r="AD27">
        <v>0.312249</v>
      </c>
      <c r="AE27" t="s">
        <v>37</v>
      </c>
      <c r="AF27">
        <v>0.26155299999999998</v>
      </c>
      <c r="AG27" t="s">
        <v>38</v>
      </c>
      <c r="AH27">
        <v>0.83764300000000003</v>
      </c>
      <c r="AI27" t="s">
        <v>39</v>
      </c>
      <c r="AJ27">
        <v>0.67223200000000005</v>
      </c>
      <c r="AK27" t="s">
        <v>40</v>
      </c>
      <c r="AL27">
        <v>0.78449100000000005</v>
      </c>
      <c r="AM27" t="s">
        <v>41</v>
      </c>
      <c r="AN27">
        <v>3.5163509999999998</v>
      </c>
      <c r="AO27" t="s">
        <v>42</v>
      </c>
      <c r="AP27">
        <v>2.6305529999999999</v>
      </c>
    </row>
    <row r="28" spans="1:42" x14ac:dyDescent="0.3">
      <c r="A28" t="s">
        <v>22</v>
      </c>
      <c r="B28">
        <v>0.28000000000000003</v>
      </c>
      <c r="C28" t="s">
        <v>23</v>
      </c>
      <c r="D28">
        <v>0.97589599999999999</v>
      </c>
      <c r="E28" t="s">
        <v>24</v>
      </c>
      <c r="F28">
        <v>1.385192</v>
      </c>
      <c r="G28" t="s">
        <v>25</v>
      </c>
      <c r="H28">
        <v>0.91616900000000001</v>
      </c>
      <c r="I28" t="s">
        <v>26</v>
      </c>
      <c r="J28">
        <v>3.2330000000000002E-3</v>
      </c>
      <c r="K28" t="s">
        <v>27</v>
      </c>
      <c r="L28">
        <v>2.9642000000000002E-2</v>
      </c>
      <c r="M28" t="s">
        <v>28</v>
      </c>
      <c r="N28">
        <v>1.9602000000000001E-2</v>
      </c>
      <c r="O28" t="s">
        <v>29</v>
      </c>
      <c r="P28">
        <v>0.28125299999999998</v>
      </c>
      <c r="Q28" t="s">
        <v>30</v>
      </c>
      <c r="R28">
        <v>-1.8940650000000001</v>
      </c>
      <c r="S28" t="s">
        <v>31</v>
      </c>
      <c r="T28">
        <v>0.59869000000000006</v>
      </c>
      <c r="U28" t="s">
        <v>32</v>
      </c>
      <c r="V28">
        <v>9.0915999999999997E-2</v>
      </c>
      <c r="W28" t="s">
        <v>33</v>
      </c>
      <c r="X28">
        <v>0.16372900000000001</v>
      </c>
      <c r="Y28" t="s">
        <v>34</v>
      </c>
      <c r="Z28">
        <v>0.104183</v>
      </c>
      <c r="AA28" t="s">
        <v>35</v>
      </c>
      <c r="AB28">
        <v>0.228246</v>
      </c>
      <c r="AC28" t="s">
        <v>36</v>
      </c>
      <c r="AD28">
        <v>0.31161100000000003</v>
      </c>
      <c r="AE28" t="s">
        <v>37</v>
      </c>
      <c r="AF28">
        <v>0.26155299999999998</v>
      </c>
      <c r="AG28" t="s">
        <v>38</v>
      </c>
      <c r="AH28">
        <v>0.83935700000000002</v>
      </c>
      <c r="AI28" t="s">
        <v>39</v>
      </c>
      <c r="AJ28">
        <v>0.67389500000000002</v>
      </c>
      <c r="AK28" t="s">
        <v>40</v>
      </c>
      <c r="AL28">
        <v>0.78449100000000005</v>
      </c>
      <c r="AM28" t="s">
        <v>41</v>
      </c>
      <c r="AN28">
        <v>3.6465860000000001</v>
      </c>
      <c r="AO28" t="s">
        <v>42</v>
      </c>
      <c r="AP28">
        <v>2.7168489999999998</v>
      </c>
    </row>
    <row r="29" spans="1:42" x14ac:dyDescent="0.3">
      <c r="A29" t="s">
        <v>22</v>
      </c>
      <c r="B29">
        <v>0.28999999999999998</v>
      </c>
      <c r="C29" t="s">
        <v>23</v>
      </c>
      <c r="D29">
        <v>0.97757499999999997</v>
      </c>
      <c r="E29" t="s">
        <v>24</v>
      </c>
      <c r="F29">
        <v>1.381982</v>
      </c>
      <c r="G29" t="s">
        <v>25</v>
      </c>
      <c r="H29">
        <v>0.91616900000000001</v>
      </c>
      <c r="I29" t="s">
        <v>26</v>
      </c>
      <c r="J29">
        <v>3.16E-3</v>
      </c>
      <c r="K29" t="s">
        <v>27</v>
      </c>
      <c r="L29">
        <v>2.9574E-2</v>
      </c>
      <c r="M29" t="s">
        <v>28</v>
      </c>
      <c r="N29">
        <v>1.9602000000000001E-2</v>
      </c>
      <c r="O29" t="s">
        <v>29</v>
      </c>
      <c r="P29">
        <v>0.27233000000000002</v>
      </c>
      <c r="Q29" t="s">
        <v>30</v>
      </c>
      <c r="R29">
        <v>-1.877006</v>
      </c>
      <c r="S29" t="s">
        <v>31</v>
      </c>
      <c r="T29">
        <v>0.59869000000000006</v>
      </c>
      <c r="U29" t="s">
        <v>32</v>
      </c>
      <c r="V29">
        <v>9.0449000000000002E-2</v>
      </c>
      <c r="W29" t="s">
        <v>33</v>
      </c>
      <c r="X29">
        <v>0.16356899999999999</v>
      </c>
      <c r="Y29" t="s">
        <v>34</v>
      </c>
      <c r="Z29">
        <v>0.104183</v>
      </c>
      <c r="AA29" t="s">
        <v>35</v>
      </c>
      <c r="AB29">
        <v>0.227073</v>
      </c>
      <c r="AC29" t="s">
        <v>36</v>
      </c>
      <c r="AD29">
        <v>0.31098300000000001</v>
      </c>
      <c r="AE29" t="s">
        <v>37</v>
      </c>
      <c r="AF29">
        <v>0.26155299999999998</v>
      </c>
      <c r="AG29" t="s">
        <v>38</v>
      </c>
      <c r="AH29">
        <v>0.84105399999999997</v>
      </c>
      <c r="AI29" t="s">
        <v>39</v>
      </c>
      <c r="AJ29">
        <v>0.67552400000000001</v>
      </c>
      <c r="AK29" t="s">
        <v>40</v>
      </c>
      <c r="AL29">
        <v>0.78449100000000005</v>
      </c>
      <c r="AM29" t="s">
        <v>41</v>
      </c>
      <c r="AN29">
        <v>3.776821</v>
      </c>
      <c r="AO29" t="s">
        <v>42</v>
      </c>
      <c r="AP29">
        <v>2.8025380000000002</v>
      </c>
    </row>
    <row r="30" spans="1:42" x14ac:dyDescent="0.3">
      <c r="A30" t="s">
        <v>22</v>
      </c>
      <c r="B30">
        <v>0.3</v>
      </c>
      <c r="C30" t="s">
        <v>23</v>
      </c>
      <c r="D30">
        <v>0.97922399999999998</v>
      </c>
      <c r="E30" t="s">
        <v>24</v>
      </c>
      <c r="F30">
        <v>1.3788039999999999</v>
      </c>
      <c r="G30" t="s">
        <v>25</v>
      </c>
      <c r="H30">
        <v>0.91616900000000001</v>
      </c>
      <c r="I30" t="s">
        <v>26</v>
      </c>
      <c r="J30">
        <v>3.091E-3</v>
      </c>
      <c r="K30" t="s">
        <v>27</v>
      </c>
      <c r="L30">
        <v>2.9505E-2</v>
      </c>
      <c r="M30" t="s">
        <v>28</v>
      </c>
      <c r="N30">
        <v>1.9602000000000001E-2</v>
      </c>
      <c r="O30" t="s">
        <v>29</v>
      </c>
      <c r="P30">
        <v>0.26356600000000002</v>
      </c>
      <c r="Q30" t="s">
        <v>30</v>
      </c>
      <c r="R30">
        <v>-1.860114</v>
      </c>
      <c r="S30" t="s">
        <v>31</v>
      </c>
      <c r="T30">
        <v>0.59869000000000006</v>
      </c>
      <c r="U30" t="s">
        <v>32</v>
      </c>
      <c r="V30">
        <v>8.9982999999999994E-2</v>
      </c>
      <c r="W30" t="s">
        <v>33</v>
      </c>
      <c r="X30">
        <v>0.163412</v>
      </c>
      <c r="Y30" t="s">
        <v>34</v>
      </c>
      <c r="Z30">
        <v>0.104183</v>
      </c>
      <c r="AA30" t="s">
        <v>35</v>
      </c>
      <c r="AB30">
        <v>0.22590499999999999</v>
      </c>
      <c r="AC30" t="s">
        <v>36</v>
      </c>
      <c r="AD30">
        <v>0.310363</v>
      </c>
      <c r="AE30" t="s">
        <v>37</v>
      </c>
      <c r="AF30">
        <v>0.26155299999999998</v>
      </c>
      <c r="AG30" t="s">
        <v>38</v>
      </c>
      <c r="AH30">
        <v>0.84273299999999995</v>
      </c>
      <c r="AI30" t="s">
        <v>39</v>
      </c>
      <c r="AJ30">
        <v>0.67712399999999995</v>
      </c>
      <c r="AK30" t="s">
        <v>40</v>
      </c>
      <c r="AL30">
        <v>0.78449100000000005</v>
      </c>
      <c r="AM30" t="s">
        <v>41</v>
      </c>
      <c r="AN30">
        <v>3.9070559999999999</v>
      </c>
      <c r="AO30" t="s">
        <v>42</v>
      </c>
      <c r="AP30">
        <v>2.8876390000000001</v>
      </c>
    </row>
    <row r="31" spans="1:42" x14ac:dyDescent="0.3">
      <c r="A31" t="s">
        <v>22</v>
      </c>
      <c r="B31">
        <v>0.31</v>
      </c>
      <c r="C31" t="s">
        <v>23</v>
      </c>
      <c r="D31">
        <v>0.98084400000000005</v>
      </c>
      <c r="E31" t="s">
        <v>24</v>
      </c>
      <c r="F31">
        <v>1.375656</v>
      </c>
      <c r="G31" t="s">
        <v>25</v>
      </c>
      <c r="H31">
        <v>0.91616900000000001</v>
      </c>
      <c r="I31" t="s">
        <v>26</v>
      </c>
      <c r="J31">
        <v>3.0249999999999999E-3</v>
      </c>
      <c r="K31" t="s">
        <v>27</v>
      </c>
      <c r="L31">
        <v>2.9437999999999999E-2</v>
      </c>
      <c r="M31" t="s">
        <v>28</v>
      </c>
      <c r="N31">
        <v>1.9602000000000001E-2</v>
      </c>
      <c r="O31" t="s">
        <v>29</v>
      </c>
      <c r="P31">
        <v>0.25495800000000002</v>
      </c>
      <c r="Q31" t="s">
        <v>30</v>
      </c>
      <c r="R31">
        <v>-1.843383</v>
      </c>
      <c r="S31" t="s">
        <v>31</v>
      </c>
      <c r="T31">
        <v>0.59869000000000006</v>
      </c>
      <c r="U31" t="s">
        <v>32</v>
      </c>
      <c r="V31">
        <v>8.9519000000000001E-2</v>
      </c>
      <c r="W31" t="s">
        <v>33</v>
      </c>
      <c r="X31">
        <v>0.16325799999999999</v>
      </c>
      <c r="Y31" t="s">
        <v>34</v>
      </c>
      <c r="Z31">
        <v>0.104183</v>
      </c>
      <c r="AA31" t="s">
        <v>35</v>
      </c>
      <c r="AB31">
        <v>0.22473899999999999</v>
      </c>
      <c r="AC31" t="s">
        <v>36</v>
      </c>
      <c r="AD31">
        <v>0.309753</v>
      </c>
      <c r="AE31" t="s">
        <v>37</v>
      </c>
      <c r="AF31">
        <v>0.26155299999999998</v>
      </c>
      <c r="AG31" t="s">
        <v>38</v>
      </c>
      <c r="AH31">
        <v>0.84439399999999998</v>
      </c>
      <c r="AI31" t="s">
        <v>39</v>
      </c>
      <c r="AJ31">
        <v>0.67869299999999999</v>
      </c>
      <c r="AK31" t="s">
        <v>40</v>
      </c>
      <c r="AL31">
        <v>0.78449100000000005</v>
      </c>
      <c r="AM31" t="s">
        <v>41</v>
      </c>
      <c r="AN31">
        <v>4.0372919999999999</v>
      </c>
      <c r="AO31" t="s">
        <v>42</v>
      </c>
      <c r="AP31">
        <v>2.9721660000000001</v>
      </c>
    </row>
    <row r="32" spans="1:42" x14ac:dyDescent="0.3">
      <c r="A32" t="s">
        <v>22</v>
      </c>
      <c r="B32">
        <v>0.32</v>
      </c>
      <c r="C32" t="s">
        <v>23</v>
      </c>
      <c r="D32">
        <v>0.98243400000000003</v>
      </c>
      <c r="E32" t="s">
        <v>24</v>
      </c>
      <c r="F32">
        <v>1.372538</v>
      </c>
      <c r="G32" t="s">
        <v>25</v>
      </c>
      <c r="H32">
        <v>0.91616900000000001</v>
      </c>
      <c r="I32" t="s">
        <v>26</v>
      </c>
      <c r="J32">
        <v>2.9619999999999998E-3</v>
      </c>
      <c r="K32" t="s">
        <v>27</v>
      </c>
      <c r="L32">
        <v>2.9371000000000001E-2</v>
      </c>
      <c r="M32" t="s">
        <v>28</v>
      </c>
      <c r="N32">
        <v>1.9602000000000001E-2</v>
      </c>
      <c r="O32" t="s">
        <v>29</v>
      </c>
      <c r="P32">
        <v>0.246507</v>
      </c>
      <c r="Q32" t="s">
        <v>30</v>
      </c>
      <c r="R32">
        <v>-1.8268139999999999</v>
      </c>
      <c r="S32" t="s">
        <v>31</v>
      </c>
      <c r="T32">
        <v>0.59869000000000006</v>
      </c>
      <c r="U32" t="s">
        <v>32</v>
      </c>
      <c r="V32">
        <v>8.9055999999999996E-2</v>
      </c>
      <c r="W32" t="s">
        <v>33</v>
      </c>
      <c r="X32">
        <v>0.163106</v>
      </c>
      <c r="Y32" t="s">
        <v>34</v>
      </c>
      <c r="Z32">
        <v>0.104183</v>
      </c>
      <c r="AA32" t="s">
        <v>35</v>
      </c>
      <c r="AB32">
        <v>0.223576</v>
      </c>
      <c r="AC32" t="s">
        <v>36</v>
      </c>
      <c r="AD32">
        <v>0.30915100000000001</v>
      </c>
      <c r="AE32" t="s">
        <v>37</v>
      </c>
      <c r="AF32">
        <v>0.26155299999999998</v>
      </c>
      <c r="AG32" t="s">
        <v>38</v>
      </c>
      <c r="AH32">
        <v>0.84603700000000004</v>
      </c>
      <c r="AI32" t="s">
        <v>39</v>
      </c>
      <c r="AJ32">
        <v>0.68023400000000001</v>
      </c>
      <c r="AK32" t="s">
        <v>40</v>
      </c>
      <c r="AL32">
        <v>0.78449100000000005</v>
      </c>
      <c r="AM32" t="s">
        <v>41</v>
      </c>
      <c r="AN32">
        <v>4.1675269999999998</v>
      </c>
      <c r="AO32" t="s">
        <v>42</v>
      </c>
      <c r="AP32">
        <v>3.0561340000000001</v>
      </c>
    </row>
    <row r="33" spans="1:42" x14ac:dyDescent="0.3">
      <c r="A33" t="s">
        <v>22</v>
      </c>
      <c r="B33">
        <v>0.33</v>
      </c>
      <c r="C33" t="s">
        <v>23</v>
      </c>
      <c r="D33">
        <v>0.98399499999999995</v>
      </c>
      <c r="E33" t="s">
        <v>24</v>
      </c>
      <c r="F33">
        <v>1.369451</v>
      </c>
      <c r="G33" t="s">
        <v>25</v>
      </c>
      <c r="H33">
        <v>0.91616900000000001</v>
      </c>
      <c r="I33" t="s">
        <v>26</v>
      </c>
      <c r="J33">
        <v>2.9020000000000001E-3</v>
      </c>
      <c r="K33" t="s">
        <v>27</v>
      </c>
      <c r="L33">
        <v>2.9305000000000001E-2</v>
      </c>
      <c r="M33" t="s">
        <v>28</v>
      </c>
      <c r="N33">
        <v>1.9602000000000001E-2</v>
      </c>
      <c r="O33" t="s">
        <v>29</v>
      </c>
      <c r="P33">
        <v>0.23821000000000001</v>
      </c>
      <c r="Q33" t="s">
        <v>30</v>
      </c>
      <c r="R33">
        <v>-1.8104070000000001</v>
      </c>
      <c r="S33" t="s">
        <v>31</v>
      </c>
      <c r="T33">
        <v>0.59869000000000006</v>
      </c>
      <c r="U33" t="s">
        <v>32</v>
      </c>
      <c r="V33">
        <v>8.8594000000000006E-2</v>
      </c>
      <c r="W33" t="s">
        <v>33</v>
      </c>
      <c r="X33">
        <v>0.16295699999999999</v>
      </c>
      <c r="Y33" t="s">
        <v>34</v>
      </c>
      <c r="Z33">
        <v>0.104183</v>
      </c>
      <c r="AA33" t="s">
        <v>35</v>
      </c>
      <c r="AB33">
        <v>0.222416</v>
      </c>
      <c r="AC33" t="s">
        <v>36</v>
      </c>
      <c r="AD33">
        <v>0.308558</v>
      </c>
      <c r="AE33" t="s">
        <v>37</v>
      </c>
      <c r="AF33">
        <v>0.26155299999999998</v>
      </c>
      <c r="AG33" t="s">
        <v>38</v>
      </c>
      <c r="AH33">
        <v>0.84766300000000006</v>
      </c>
      <c r="AI33" t="s">
        <v>39</v>
      </c>
      <c r="AJ33">
        <v>0.68174500000000005</v>
      </c>
      <c r="AK33" t="s">
        <v>40</v>
      </c>
      <c r="AL33">
        <v>0.78449100000000005</v>
      </c>
      <c r="AM33" t="s">
        <v>41</v>
      </c>
      <c r="AN33">
        <v>4.2977619999999996</v>
      </c>
      <c r="AO33" t="s">
        <v>42</v>
      </c>
      <c r="AP33">
        <v>3.1395599999999999</v>
      </c>
    </row>
    <row r="34" spans="1:42" x14ac:dyDescent="0.3">
      <c r="A34" t="s">
        <v>22</v>
      </c>
      <c r="B34">
        <v>0.34</v>
      </c>
      <c r="C34" t="s">
        <v>23</v>
      </c>
      <c r="D34">
        <v>0.98552799999999996</v>
      </c>
      <c r="E34" t="s">
        <v>24</v>
      </c>
      <c r="F34">
        <v>1.3663940000000001</v>
      </c>
      <c r="G34" t="s">
        <v>25</v>
      </c>
      <c r="H34">
        <v>0.91616900000000001</v>
      </c>
      <c r="I34" t="s">
        <v>26</v>
      </c>
      <c r="J34">
        <v>2.8440000000000002E-3</v>
      </c>
      <c r="K34" t="s">
        <v>27</v>
      </c>
      <c r="L34">
        <v>2.9239999999999999E-2</v>
      </c>
      <c r="M34" t="s">
        <v>28</v>
      </c>
      <c r="N34">
        <v>1.9602000000000001E-2</v>
      </c>
      <c r="O34" t="s">
        <v>29</v>
      </c>
      <c r="P34">
        <v>0.23006499999999999</v>
      </c>
      <c r="Q34" t="s">
        <v>30</v>
      </c>
      <c r="R34">
        <v>-1.7941579999999999</v>
      </c>
      <c r="S34" t="s">
        <v>31</v>
      </c>
      <c r="T34">
        <v>0.59869000000000006</v>
      </c>
      <c r="U34" t="s">
        <v>32</v>
      </c>
      <c r="V34">
        <v>8.8133000000000003E-2</v>
      </c>
      <c r="W34" t="s">
        <v>33</v>
      </c>
      <c r="X34">
        <v>0.16281100000000001</v>
      </c>
      <c r="Y34" t="s">
        <v>34</v>
      </c>
      <c r="Z34">
        <v>0.104183</v>
      </c>
      <c r="AA34" t="s">
        <v>35</v>
      </c>
      <c r="AB34">
        <v>0.22126000000000001</v>
      </c>
      <c r="AC34" t="s">
        <v>36</v>
      </c>
      <c r="AD34">
        <v>0.30797400000000003</v>
      </c>
      <c r="AE34" t="s">
        <v>37</v>
      </c>
      <c r="AF34">
        <v>0.26155299999999998</v>
      </c>
      <c r="AG34" t="s">
        <v>38</v>
      </c>
      <c r="AH34">
        <v>0.849271</v>
      </c>
      <c r="AI34" t="s">
        <v>39</v>
      </c>
      <c r="AJ34">
        <v>0.68322899999999998</v>
      </c>
      <c r="AK34" t="s">
        <v>40</v>
      </c>
      <c r="AL34">
        <v>0.78449100000000005</v>
      </c>
      <c r="AM34" t="s">
        <v>41</v>
      </c>
      <c r="AN34">
        <v>4.4279970000000004</v>
      </c>
      <c r="AO34" t="s">
        <v>42</v>
      </c>
      <c r="AP34">
        <v>3.2224590000000002</v>
      </c>
    </row>
    <row r="35" spans="1:42" x14ac:dyDescent="0.3">
      <c r="A35" t="s">
        <v>22</v>
      </c>
      <c r="B35">
        <v>0.35</v>
      </c>
      <c r="C35" t="s">
        <v>23</v>
      </c>
      <c r="D35">
        <v>0.98703200000000002</v>
      </c>
      <c r="E35" t="s">
        <v>24</v>
      </c>
      <c r="F35">
        <v>1.3633660000000001</v>
      </c>
      <c r="G35" t="s">
        <v>25</v>
      </c>
      <c r="H35">
        <v>0.91616900000000001</v>
      </c>
      <c r="I35" t="s">
        <v>26</v>
      </c>
      <c r="J35">
        <v>2.7880000000000001E-3</v>
      </c>
      <c r="K35" t="s">
        <v>27</v>
      </c>
      <c r="L35">
        <v>2.9175E-2</v>
      </c>
      <c r="M35" t="s">
        <v>28</v>
      </c>
      <c r="N35">
        <v>1.9602000000000001E-2</v>
      </c>
      <c r="O35" t="s">
        <v>29</v>
      </c>
      <c r="P35">
        <v>0.22207199999999999</v>
      </c>
      <c r="Q35" t="s">
        <v>30</v>
      </c>
      <c r="R35">
        <v>-1.7780670000000001</v>
      </c>
      <c r="S35" t="s">
        <v>31</v>
      </c>
      <c r="T35">
        <v>0.59869000000000006</v>
      </c>
      <c r="U35" t="s">
        <v>32</v>
      </c>
      <c r="V35">
        <v>8.7674000000000002E-2</v>
      </c>
      <c r="W35" t="s">
        <v>33</v>
      </c>
      <c r="X35">
        <v>0.16266700000000001</v>
      </c>
      <c r="Y35" t="s">
        <v>34</v>
      </c>
      <c r="Z35">
        <v>0.104183</v>
      </c>
      <c r="AA35" t="s">
        <v>35</v>
      </c>
      <c r="AB35">
        <v>0.220108</v>
      </c>
      <c r="AC35" t="s">
        <v>36</v>
      </c>
      <c r="AD35">
        <v>0.307398</v>
      </c>
      <c r="AE35" t="s">
        <v>37</v>
      </c>
      <c r="AF35">
        <v>0.26155299999999998</v>
      </c>
      <c r="AG35" t="s">
        <v>38</v>
      </c>
      <c r="AH35">
        <v>0.85086200000000001</v>
      </c>
      <c r="AI35" t="s">
        <v>39</v>
      </c>
      <c r="AJ35">
        <v>0.68468600000000002</v>
      </c>
      <c r="AK35" t="s">
        <v>40</v>
      </c>
      <c r="AL35">
        <v>0.78449100000000005</v>
      </c>
      <c r="AM35" t="s">
        <v>41</v>
      </c>
      <c r="AN35">
        <v>4.5582320000000003</v>
      </c>
      <c r="AO35" t="s">
        <v>42</v>
      </c>
      <c r="AP35">
        <v>3.3048419999999998</v>
      </c>
    </row>
    <row r="36" spans="1:42" x14ac:dyDescent="0.3">
      <c r="A36" t="s">
        <v>22</v>
      </c>
      <c r="B36">
        <v>0.36</v>
      </c>
      <c r="C36" t="s">
        <v>23</v>
      </c>
      <c r="D36">
        <v>0.98850800000000005</v>
      </c>
      <c r="E36" t="s">
        <v>24</v>
      </c>
      <c r="F36">
        <v>1.360368</v>
      </c>
      <c r="G36" t="s">
        <v>25</v>
      </c>
      <c r="H36">
        <v>0.91616900000000001</v>
      </c>
      <c r="I36" t="s">
        <v>26</v>
      </c>
      <c r="J36">
        <v>2.735E-3</v>
      </c>
      <c r="K36" t="s">
        <v>27</v>
      </c>
      <c r="L36">
        <v>2.9111000000000001E-2</v>
      </c>
      <c r="M36" t="s">
        <v>28</v>
      </c>
      <c r="N36">
        <v>1.9602000000000001E-2</v>
      </c>
      <c r="O36" t="s">
        <v>29</v>
      </c>
      <c r="P36">
        <v>0.214225</v>
      </c>
      <c r="Q36" t="s">
        <v>30</v>
      </c>
      <c r="R36">
        <v>-1.7621309999999999</v>
      </c>
      <c r="S36" t="s">
        <v>31</v>
      </c>
      <c r="T36">
        <v>0.59869000000000006</v>
      </c>
      <c r="U36" t="s">
        <v>32</v>
      </c>
      <c r="V36">
        <v>8.7217000000000003E-2</v>
      </c>
      <c r="W36" t="s">
        <v>33</v>
      </c>
      <c r="X36">
        <v>0.162526</v>
      </c>
      <c r="Y36" t="s">
        <v>34</v>
      </c>
      <c r="Z36">
        <v>0.104183</v>
      </c>
      <c r="AA36" t="s">
        <v>35</v>
      </c>
      <c r="AB36">
        <v>0.21895899999999999</v>
      </c>
      <c r="AC36" t="s">
        <v>36</v>
      </c>
      <c r="AD36">
        <v>0.30682999999999999</v>
      </c>
      <c r="AE36" t="s">
        <v>37</v>
      </c>
      <c r="AF36">
        <v>0.26155299999999998</v>
      </c>
      <c r="AG36" t="s">
        <v>38</v>
      </c>
      <c r="AH36">
        <v>0.85243599999999997</v>
      </c>
      <c r="AI36" t="s">
        <v>39</v>
      </c>
      <c r="AJ36">
        <v>0.68611599999999995</v>
      </c>
      <c r="AK36" t="s">
        <v>40</v>
      </c>
      <c r="AL36">
        <v>0.78449100000000005</v>
      </c>
      <c r="AM36" t="s">
        <v>41</v>
      </c>
      <c r="AN36">
        <v>4.6884680000000003</v>
      </c>
      <c r="AO36" t="s">
        <v>42</v>
      </c>
      <c r="AP36">
        <v>3.3867259999999999</v>
      </c>
    </row>
    <row r="37" spans="1:42" x14ac:dyDescent="0.3">
      <c r="A37" t="s">
        <v>22</v>
      </c>
      <c r="B37">
        <v>0.37</v>
      </c>
      <c r="C37" t="s">
        <v>23</v>
      </c>
      <c r="D37">
        <v>0.98995599999999995</v>
      </c>
      <c r="E37" t="s">
        <v>24</v>
      </c>
      <c r="F37">
        <v>1.357399</v>
      </c>
      <c r="G37" t="s">
        <v>25</v>
      </c>
      <c r="H37">
        <v>0.91616900000000001</v>
      </c>
      <c r="I37" t="s">
        <v>26</v>
      </c>
      <c r="J37">
        <v>2.6840000000000002E-3</v>
      </c>
      <c r="K37" t="s">
        <v>27</v>
      </c>
      <c r="L37">
        <v>2.9047E-2</v>
      </c>
      <c r="M37" t="s">
        <v>28</v>
      </c>
      <c r="N37">
        <v>1.9602000000000001E-2</v>
      </c>
      <c r="O37" t="s">
        <v>29</v>
      </c>
      <c r="P37">
        <v>0.20652999999999999</v>
      </c>
      <c r="Q37" t="s">
        <v>30</v>
      </c>
      <c r="R37">
        <v>-1.746351</v>
      </c>
      <c r="S37" t="s">
        <v>31</v>
      </c>
      <c r="T37">
        <v>0.59869000000000006</v>
      </c>
      <c r="U37" t="s">
        <v>32</v>
      </c>
      <c r="V37">
        <v>8.6761000000000005E-2</v>
      </c>
      <c r="W37" t="s">
        <v>33</v>
      </c>
      <c r="X37">
        <v>0.162388</v>
      </c>
      <c r="Y37" t="s">
        <v>34</v>
      </c>
      <c r="Z37">
        <v>0.104183</v>
      </c>
      <c r="AA37" t="s">
        <v>35</v>
      </c>
      <c r="AB37">
        <v>0.21781400000000001</v>
      </c>
      <c r="AC37" t="s">
        <v>36</v>
      </c>
      <c r="AD37">
        <v>0.30627100000000002</v>
      </c>
      <c r="AE37" t="s">
        <v>37</v>
      </c>
      <c r="AF37">
        <v>0.26155299999999998</v>
      </c>
      <c r="AG37" t="s">
        <v>38</v>
      </c>
      <c r="AH37">
        <v>0.853993</v>
      </c>
      <c r="AI37" t="s">
        <v>39</v>
      </c>
      <c r="AJ37">
        <v>0.68751799999999996</v>
      </c>
      <c r="AK37" t="s">
        <v>40</v>
      </c>
      <c r="AL37">
        <v>0.78449100000000005</v>
      </c>
      <c r="AM37" t="s">
        <v>41</v>
      </c>
      <c r="AN37">
        <v>4.8187030000000002</v>
      </c>
      <c r="AO37" t="s">
        <v>42</v>
      </c>
      <c r="AP37">
        <v>3.4681250000000001</v>
      </c>
    </row>
    <row r="38" spans="1:42" x14ac:dyDescent="0.3">
      <c r="A38" t="s">
        <v>22</v>
      </c>
      <c r="B38">
        <v>0.38</v>
      </c>
      <c r="C38" t="s">
        <v>23</v>
      </c>
      <c r="D38">
        <v>0.99137600000000003</v>
      </c>
      <c r="E38" t="s">
        <v>24</v>
      </c>
      <c r="F38">
        <v>1.3544590000000001</v>
      </c>
      <c r="G38" t="s">
        <v>25</v>
      </c>
      <c r="H38">
        <v>0.91616900000000001</v>
      </c>
      <c r="I38" t="s">
        <v>26</v>
      </c>
      <c r="J38">
        <v>2.6340000000000001E-3</v>
      </c>
      <c r="K38" t="s">
        <v>27</v>
      </c>
      <c r="L38">
        <v>2.8983999999999999E-2</v>
      </c>
      <c r="M38" t="s">
        <v>28</v>
      </c>
      <c r="N38">
        <v>1.9602000000000001E-2</v>
      </c>
      <c r="O38" t="s">
        <v>29</v>
      </c>
      <c r="P38">
        <v>0.19898099999999999</v>
      </c>
      <c r="Q38" t="s">
        <v>30</v>
      </c>
      <c r="R38">
        <v>-1.7307250000000001</v>
      </c>
      <c r="S38" t="s">
        <v>31</v>
      </c>
      <c r="T38">
        <v>0.59869000000000006</v>
      </c>
      <c r="U38" t="s">
        <v>32</v>
      </c>
      <c r="V38">
        <v>8.6305999999999994E-2</v>
      </c>
      <c r="W38" t="s">
        <v>33</v>
      </c>
      <c r="X38">
        <v>0.16225200000000001</v>
      </c>
      <c r="Y38" t="s">
        <v>34</v>
      </c>
      <c r="Z38">
        <v>0.104183</v>
      </c>
      <c r="AA38" t="s">
        <v>35</v>
      </c>
      <c r="AB38">
        <v>0.216673</v>
      </c>
      <c r="AC38" t="s">
        <v>36</v>
      </c>
      <c r="AD38">
        <v>0.30571999999999999</v>
      </c>
      <c r="AE38" t="s">
        <v>37</v>
      </c>
      <c r="AF38">
        <v>0.26155299999999998</v>
      </c>
      <c r="AG38" t="s">
        <v>38</v>
      </c>
      <c r="AH38">
        <v>0.85553199999999996</v>
      </c>
      <c r="AI38" t="s">
        <v>39</v>
      </c>
      <c r="AJ38">
        <v>0.68889699999999998</v>
      </c>
      <c r="AK38" t="s">
        <v>40</v>
      </c>
      <c r="AL38">
        <v>0.78449100000000005</v>
      </c>
      <c r="AM38" t="s">
        <v>41</v>
      </c>
      <c r="AN38">
        <v>4.9489380000000001</v>
      </c>
      <c r="AO38" t="s">
        <v>42</v>
      </c>
      <c r="AP38">
        <v>3.549051</v>
      </c>
    </row>
    <row r="39" spans="1:42" x14ac:dyDescent="0.3">
      <c r="A39" t="s">
        <v>22</v>
      </c>
      <c r="B39">
        <v>0.39</v>
      </c>
      <c r="C39" t="s">
        <v>23</v>
      </c>
      <c r="D39">
        <v>0.99276900000000001</v>
      </c>
      <c r="E39" t="s">
        <v>24</v>
      </c>
      <c r="F39">
        <v>1.3515470000000001</v>
      </c>
      <c r="G39" t="s">
        <v>25</v>
      </c>
      <c r="H39">
        <v>0.91616900000000001</v>
      </c>
      <c r="I39" t="s">
        <v>26</v>
      </c>
      <c r="J39">
        <v>2.5869999999999999E-3</v>
      </c>
      <c r="K39" t="s">
        <v>27</v>
      </c>
      <c r="L39">
        <v>2.8922E-2</v>
      </c>
      <c r="M39" t="s">
        <v>28</v>
      </c>
      <c r="N39">
        <v>1.9602000000000001E-2</v>
      </c>
      <c r="O39" t="s">
        <v>29</v>
      </c>
      <c r="P39">
        <v>0.191577</v>
      </c>
      <c r="Q39" t="s">
        <v>30</v>
      </c>
      <c r="R39">
        <v>-1.715249</v>
      </c>
      <c r="S39" t="s">
        <v>31</v>
      </c>
      <c r="T39">
        <v>0.59869000000000006</v>
      </c>
      <c r="U39" t="s">
        <v>32</v>
      </c>
      <c r="V39">
        <v>8.5852999999999999E-2</v>
      </c>
      <c r="W39" t="s">
        <v>33</v>
      </c>
      <c r="X39">
        <v>0.16211900000000001</v>
      </c>
      <c r="Y39" t="s">
        <v>34</v>
      </c>
      <c r="Z39">
        <v>0.104183</v>
      </c>
      <c r="AA39" t="s">
        <v>35</v>
      </c>
      <c r="AB39">
        <v>0.21553600000000001</v>
      </c>
      <c r="AC39" t="s">
        <v>36</v>
      </c>
      <c r="AD39">
        <v>0.30517699999999998</v>
      </c>
      <c r="AE39" t="s">
        <v>37</v>
      </c>
      <c r="AF39">
        <v>0.26155299999999998</v>
      </c>
      <c r="AG39" t="s">
        <v>38</v>
      </c>
      <c r="AH39">
        <v>0.85705500000000001</v>
      </c>
      <c r="AI39" t="s">
        <v>39</v>
      </c>
      <c r="AJ39">
        <v>0.69024799999999997</v>
      </c>
      <c r="AK39" t="s">
        <v>40</v>
      </c>
      <c r="AL39">
        <v>0.78449100000000005</v>
      </c>
      <c r="AM39" t="s">
        <v>41</v>
      </c>
      <c r="AN39">
        <v>5.0791729999999999</v>
      </c>
      <c r="AO39" t="s">
        <v>42</v>
      </c>
      <c r="AP39">
        <v>3.6295169999999999</v>
      </c>
    </row>
    <row r="40" spans="1:42" x14ac:dyDescent="0.3">
      <c r="A40" t="s">
        <v>22</v>
      </c>
      <c r="B40">
        <v>0.4</v>
      </c>
      <c r="C40" t="s">
        <v>23</v>
      </c>
      <c r="D40">
        <v>0.99413499999999999</v>
      </c>
      <c r="E40" t="s">
        <v>24</v>
      </c>
      <c r="F40">
        <v>1.3486640000000001</v>
      </c>
      <c r="G40" t="s">
        <v>25</v>
      </c>
      <c r="H40">
        <v>0.91616900000000001</v>
      </c>
      <c r="I40" t="s">
        <v>26</v>
      </c>
      <c r="J40">
        <v>2.5409999999999999E-3</v>
      </c>
      <c r="K40" t="s">
        <v>27</v>
      </c>
      <c r="L40">
        <v>2.886E-2</v>
      </c>
      <c r="M40" t="s">
        <v>28</v>
      </c>
      <c r="N40">
        <v>1.9602000000000001E-2</v>
      </c>
      <c r="O40" t="s">
        <v>29</v>
      </c>
      <c r="P40">
        <v>0.18431800000000001</v>
      </c>
      <c r="Q40" t="s">
        <v>30</v>
      </c>
      <c r="R40">
        <v>-1.6999249999999999</v>
      </c>
      <c r="S40" t="s">
        <v>31</v>
      </c>
      <c r="T40">
        <v>0.59869000000000006</v>
      </c>
      <c r="U40" t="s">
        <v>32</v>
      </c>
      <c r="V40">
        <v>8.5402000000000006E-2</v>
      </c>
      <c r="W40" t="s">
        <v>33</v>
      </c>
      <c r="X40">
        <v>0.16198899999999999</v>
      </c>
      <c r="Y40" t="s">
        <v>34</v>
      </c>
      <c r="Z40">
        <v>0.104183</v>
      </c>
      <c r="AA40" t="s">
        <v>35</v>
      </c>
      <c r="AB40">
        <v>0.21440300000000001</v>
      </c>
      <c r="AC40" t="s">
        <v>36</v>
      </c>
      <c r="AD40">
        <v>0.30464200000000002</v>
      </c>
      <c r="AE40" t="s">
        <v>37</v>
      </c>
      <c r="AF40">
        <v>0.26155299999999998</v>
      </c>
      <c r="AG40" t="s">
        <v>38</v>
      </c>
      <c r="AH40">
        <v>0.85856100000000002</v>
      </c>
      <c r="AI40" t="s">
        <v>39</v>
      </c>
      <c r="AJ40">
        <v>0.69157500000000005</v>
      </c>
      <c r="AK40" t="s">
        <v>40</v>
      </c>
      <c r="AL40">
        <v>0.78449100000000005</v>
      </c>
      <c r="AM40" t="s">
        <v>41</v>
      </c>
      <c r="AN40">
        <v>5.2094079999999998</v>
      </c>
      <c r="AO40" t="s">
        <v>42</v>
      </c>
      <c r="AP40">
        <v>3.7095359999999999</v>
      </c>
    </row>
    <row r="41" spans="1:42" x14ac:dyDescent="0.3">
      <c r="A41" t="s">
        <v>22</v>
      </c>
      <c r="B41">
        <v>0.41</v>
      </c>
      <c r="C41" t="s">
        <v>23</v>
      </c>
      <c r="D41">
        <v>0.99547399999999997</v>
      </c>
      <c r="E41" t="s">
        <v>24</v>
      </c>
      <c r="F41">
        <v>1.3458079999999999</v>
      </c>
      <c r="G41" t="s">
        <v>25</v>
      </c>
      <c r="H41">
        <v>0.91616900000000001</v>
      </c>
      <c r="I41" t="s">
        <v>26</v>
      </c>
      <c r="J41">
        <v>2.496E-3</v>
      </c>
      <c r="K41" t="s">
        <v>27</v>
      </c>
      <c r="L41">
        <v>2.8799000000000002E-2</v>
      </c>
      <c r="M41" t="s">
        <v>28</v>
      </c>
      <c r="N41">
        <v>1.9602000000000001E-2</v>
      </c>
      <c r="O41" t="s">
        <v>29</v>
      </c>
      <c r="P41">
        <v>0.177201</v>
      </c>
      <c r="Q41" t="s">
        <v>30</v>
      </c>
      <c r="R41">
        <v>-1.68475</v>
      </c>
      <c r="S41" t="s">
        <v>31</v>
      </c>
      <c r="T41">
        <v>0.59869000000000006</v>
      </c>
      <c r="U41" t="s">
        <v>32</v>
      </c>
      <c r="V41">
        <v>8.4952E-2</v>
      </c>
      <c r="W41" t="s">
        <v>33</v>
      </c>
      <c r="X41">
        <v>0.161861</v>
      </c>
      <c r="Y41" t="s">
        <v>34</v>
      </c>
      <c r="Z41">
        <v>0.104183</v>
      </c>
      <c r="AA41" t="s">
        <v>35</v>
      </c>
      <c r="AB41">
        <v>0.21327399999999999</v>
      </c>
      <c r="AC41" t="s">
        <v>36</v>
      </c>
      <c r="AD41">
        <v>0.304114</v>
      </c>
      <c r="AE41" t="s">
        <v>37</v>
      </c>
      <c r="AF41">
        <v>0.26155299999999998</v>
      </c>
      <c r="AG41" t="s">
        <v>38</v>
      </c>
      <c r="AH41">
        <v>0.86004899999999995</v>
      </c>
      <c r="AI41" t="s">
        <v>39</v>
      </c>
      <c r="AJ41">
        <v>0.69288099999999997</v>
      </c>
      <c r="AK41" t="s">
        <v>40</v>
      </c>
      <c r="AL41">
        <v>0.78449100000000005</v>
      </c>
      <c r="AM41" t="s">
        <v>41</v>
      </c>
      <c r="AN41">
        <v>5.3396429999999997</v>
      </c>
      <c r="AO41" t="s">
        <v>42</v>
      </c>
      <c r="AP41">
        <v>3.7891210000000002</v>
      </c>
    </row>
    <row r="42" spans="1:42" x14ac:dyDescent="0.3">
      <c r="A42" t="s">
        <v>22</v>
      </c>
      <c r="B42">
        <v>0.42</v>
      </c>
      <c r="C42" t="s">
        <v>23</v>
      </c>
      <c r="D42">
        <v>0.99678699999999998</v>
      </c>
      <c r="E42" t="s">
        <v>24</v>
      </c>
      <c r="F42">
        <v>1.342981</v>
      </c>
      <c r="G42" t="s">
        <v>25</v>
      </c>
      <c r="H42">
        <v>0.91616900000000001</v>
      </c>
      <c r="I42" t="s">
        <v>26</v>
      </c>
      <c r="J42">
        <v>2.4529999999999999E-3</v>
      </c>
      <c r="K42" t="s">
        <v>27</v>
      </c>
      <c r="L42">
        <v>2.8738E-2</v>
      </c>
      <c r="M42" t="s">
        <v>28</v>
      </c>
      <c r="N42">
        <v>1.9602000000000001E-2</v>
      </c>
      <c r="O42" t="s">
        <v>29</v>
      </c>
      <c r="P42">
        <v>0.17022499999999999</v>
      </c>
      <c r="Q42" t="s">
        <v>30</v>
      </c>
      <c r="R42">
        <v>-1.6697230000000001</v>
      </c>
      <c r="S42" t="s">
        <v>31</v>
      </c>
      <c r="T42">
        <v>0.59869000000000006</v>
      </c>
      <c r="U42" t="s">
        <v>32</v>
      </c>
      <c r="V42">
        <v>8.4504999999999997E-2</v>
      </c>
      <c r="W42" t="s">
        <v>33</v>
      </c>
      <c r="X42">
        <v>0.16173599999999999</v>
      </c>
      <c r="Y42" t="s">
        <v>34</v>
      </c>
      <c r="Z42">
        <v>0.104183</v>
      </c>
      <c r="AA42" t="s">
        <v>35</v>
      </c>
      <c r="AB42">
        <v>0.21215000000000001</v>
      </c>
      <c r="AC42" t="s">
        <v>36</v>
      </c>
      <c r="AD42">
        <v>0.30359399999999997</v>
      </c>
      <c r="AE42" t="s">
        <v>37</v>
      </c>
      <c r="AF42">
        <v>0.26155299999999998</v>
      </c>
      <c r="AG42" t="s">
        <v>38</v>
      </c>
      <c r="AH42">
        <v>0.86152200000000001</v>
      </c>
      <c r="AI42" t="s">
        <v>39</v>
      </c>
      <c r="AJ42">
        <v>0.69416100000000003</v>
      </c>
      <c r="AK42" t="s">
        <v>40</v>
      </c>
      <c r="AL42">
        <v>0.78449100000000005</v>
      </c>
      <c r="AM42" t="s">
        <v>41</v>
      </c>
      <c r="AN42">
        <v>5.4698789999999997</v>
      </c>
      <c r="AO42" t="s">
        <v>42</v>
      </c>
      <c r="AP42">
        <v>3.8682829999999999</v>
      </c>
    </row>
    <row r="43" spans="1:42" x14ac:dyDescent="0.3">
      <c r="A43" t="s">
        <v>22</v>
      </c>
      <c r="B43">
        <v>0.43</v>
      </c>
      <c r="C43" t="s">
        <v>23</v>
      </c>
      <c r="D43">
        <v>0.99807299999999999</v>
      </c>
      <c r="E43" t="s">
        <v>24</v>
      </c>
      <c r="F43">
        <v>1.3401810000000001</v>
      </c>
      <c r="G43" t="s">
        <v>25</v>
      </c>
      <c r="H43">
        <v>0.91616900000000001</v>
      </c>
      <c r="I43" t="s">
        <v>26</v>
      </c>
      <c r="J43">
        <v>2.4120000000000001E-3</v>
      </c>
      <c r="K43" t="s">
        <v>27</v>
      </c>
      <c r="L43">
        <v>2.8677999999999999E-2</v>
      </c>
      <c r="M43" t="s">
        <v>28</v>
      </c>
      <c r="N43">
        <v>1.9602000000000001E-2</v>
      </c>
      <c r="O43" t="s">
        <v>29</v>
      </c>
      <c r="P43">
        <v>0.16338900000000001</v>
      </c>
      <c r="Q43" t="s">
        <v>30</v>
      </c>
      <c r="R43">
        <v>-1.654841</v>
      </c>
      <c r="S43" t="s">
        <v>31</v>
      </c>
      <c r="T43">
        <v>0.59869000000000006</v>
      </c>
      <c r="U43" t="s">
        <v>32</v>
      </c>
      <c r="V43">
        <v>8.4058999999999995E-2</v>
      </c>
      <c r="W43" t="s">
        <v>33</v>
      </c>
      <c r="X43">
        <v>0.16161400000000001</v>
      </c>
      <c r="Y43" t="s">
        <v>34</v>
      </c>
      <c r="Z43">
        <v>0.104183</v>
      </c>
      <c r="AA43" t="s">
        <v>35</v>
      </c>
      <c r="AB43">
        <v>0.21103</v>
      </c>
      <c r="AC43" t="s">
        <v>36</v>
      </c>
      <c r="AD43">
        <v>0.30308200000000002</v>
      </c>
      <c r="AE43" t="s">
        <v>37</v>
      </c>
      <c r="AF43">
        <v>0.26155299999999998</v>
      </c>
      <c r="AG43" t="s">
        <v>38</v>
      </c>
      <c r="AH43">
        <v>0.86297800000000002</v>
      </c>
      <c r="AI43" t="s">
        <v>39</v>
      </c>
      <c r="AJ43">
        <v>0.69541799999999998</v>
      </c>
      <c r="AK43" t="s">
        <v>40</v>
      </c>
      <c r="AL43">
        <v>0.78449100000000005</v>
      </c>
      <c r="AM43" t="s">
        <v>41</v>
      </c>
      <c r="AN43">
        <v>5.6001139999999996</v>
      </c>
      <c r="AO43" t="s">
        <v>42</v>
      </c>
      <c r="AP43">
        <v>3.9470339999999999</v>
      </c>
    </row>
    <row r="44" spans="1:42" x14ac:dyDescent="0.3">
      <c r="A44" t="s">
        <v>22</v>
      </c>
      <c r="B44">
        <v>0.44</v>
      </c>
      <c r="C44" t="s">
        <v>23</v>
      </c>
      <c r="D44">
        <v>0.99933399999999994</v>
      </c>
      <c r="E44" t="s">
        <v>24</v>
      </c>
      <c r="F44">
        <v>1.3374079999999999</v>
      </c>
      <c r="G44" t="s">
        <v>25</v>
      </c>
      <c r="H44">
        <v>0.91616900000000001</v>
      </c>
      <c r="I44" t="s">
        <v>26</v>
      </c>
      <c r="J44">
        <v>2.372E-3</v>
      </c>
      <c r="K44" t="s">
        <v>27</v>
      </c>
      <c r="L44">
        <v>2.8618999999999999E-2</v>
      </c>
      <c r="M44" t="s">
        <v>28</v>
      </c>
      <c r="N44">
        <v>1.9602000000000001E-2</v>
      </c>
      <c r="O44" t="s">
        <v>29</v>
      </c>
      <c r="P44">
        <v>0.15668899999999999</v>
      </c>
      <c r="Q44" t="s">
        <v>30</v>
      </c>
      <c r="R44">
        <v>-1.6401049999999999</v>
      </c>
      <c r="S44" t="s">
        <v>31</v>
      </c>
      <c r="T44">
        <v>0.59869000000000006</v>
      </c>
      <c r="U44" t="s">
        <v>32</v>
      </c>
      <c r="V44">
        <v>8.3613999999999994E-2</v>
      </c>
      <c r="W44" t="s">
        <v>33</v>
      </c>
      <c r="X44">
        <v>0.161493</v>
      </c>
      <c r="Y44" t="s">
        <v>34</v>
      </c>
      <c r="Z44">
        <v>0.104183</v>
      </c>
      <c r="AA44" t="s">
        <v>35</v>
      </c>
      <c r="AB44">
        <v>0.20991499999999999</v>
      </c>
      <c r="AC44" t="s">
        <v>36</v>
      </c>
      <c r="AD44">
        <v>0.30257800000000001</v>
      </c>
      <c r="AE44" t="s">
        <v>37</v>
      </c>
      <c r="AF44">
        <v>0.26155299999999998</v>
      </c>
      <c r="AG44" t="s">
        <v>38</v>
      </c>
      <c r="AH44">
        <v>0.86441699999999999</v>
      </c>
      <c r="AI44" t="s">
        <v>39</v>
      </c>
      <c r="AJ44">
        <v>0.69665100000000002</v>
      </c>
      <c r="AK44" t="s">
        <v>40</v>
      </c>
      <c r="AL44">
        <v>0.78449100000000005</v>
      </c>
      <c r="AM44" t="s">
        <v>41</v>
      </c>
      <c r="AN44">
        <v>5.7303490000000004</v>
      </c>
      <c r="AO44" t="s">
        <v>42</v>
      </c>
      <c r="AP44">
        <v>4.0253860000000001</v>
      </c>
    </row>
    <row r="45" spans="1:42" x14ac:dyDescent="0.3">
      <c r="A45" t="s">
        <v>22</v>
      </c>
      <c r="B45">
        <v>0.45</v>
      </c>
      <c r="C45" t="s">
        <v>23</v>
      </c>
      <c r="D45">
        <v>1.000569</v>
      </c>
      <c r="E45" t="s">
        <v>24</v>
      </c>
      <c r="F45">
        <v>1.3346629999999999</v>
      </c>
      <c r="G45" t="s">
        <v>25</v>
      </c>
      <c r="H45">
        <v>0.91616900000000001</v>
      </c>
      <c r="I45" t="s">
        <v>26</v>
      </c>
      <c r="J45">
        <v>2.333E-3</v>
      </c>
      <c r="K45" t="s">
        <v>27</v>
      </c>
      <c r="L45">
        <v>2.8559999999999999E-2</v>
      </c>
      <c r="M45" t="s">
        <v>28</v>
      </c>
      <c r="N45">
        <v>1.9602000000000001E-2</v>
      </c>
      <c r="O45" t="s">
        <v>29</v>
      </c>
      <c r="P45">
        <v>0.15012400000000001</v>
      </c>
      <c r="Q45" t="s">
        <v>30</v>
      </c>
      <c r="R45">
        <v>-1.625513</v>
      </c>
      <c r="S45" t="s">
        <v>31</v>
      </c>
      <c r="T45">
        <v>0.59869000000000006</v>
      </c>
      <c r="U45" t="s">
        <v>32</v>
      </c>
      <c r="V45">
        <v>8.3171999999999996E-2</v>
      </c>
      <c r="W45" t="s">
        <v>33</v>
      </c>
      <c r="X45">
        <v>0.16137599999999999</v>
      </c>
      <c r="Y45" t="s">
        <v>34</v>
      </c>
      <c r="Z45">
        <v>0.104183</v>
      </c>
      <c r="AA45" t="s">
        <v>35</v>
      </c>
      <c r="AB45">
        <v>0.20880499999999999</v>
      </c>
      <c r="AC45" t="s">
        <v>36</v>
      </c>
      <c r="AD45">
        <v>0.30208000000000002</v>
      </c>
      <c r="AE45" t="s">
        <v>37</v>
      </c>
      <c r="AF45">
        <v>0.26155299999999998</v>
      </c>
      <c r="AG45" t="s">
        <v>38</v>
      </c>
      <c r="AH45">
        <v>0.86584000000000005</v>
      </c>
      <c r="AI45" t="s">
        <v>39</v>
      </c>
      <c r="AJ45">
        <v>0.69786400000000004</v>
      </c>
      <c r="AK45" t="s">
        <v>40</v>
      </c>
      <c r="AL45">
        <v>0.78449100000000005</v>
      </c>
      <c r="AM45" t="s">
        <v>41</v>
      </c>
      <c r="AN45">
        <v>5.8605840000000002</v>
      </c>
      <c r="AO45" t="s">
        <v>42</v>
      </c>
      <c r="AP45">
        <v>4.1033499999999998</v>
      </c>
    </row>
    <row r="46" spans="1:42" x14ac:dyDescent="0.3">
      <c r="A46" t="s">
        <v>22</v>
      </c>
      <c r="B46">
        <v>0.46</v>
      </c>
      <c r="C46" t="s">
        <v>23</v>
      </c>
      <c r="D46">
        <v>1.0017780000000001</v>
      </c>
      <c r="E46" t="s">
        <v>24</v>
      </c>
      <c r="F46">
        <v>1.331944</v>
      </c>
      <c r="G46" t="s">
        <v>25</v>
      </c>
      <c r="H46">
        <v>0.91616900000000001</v>
      </c>
      <c r="I46" t="s">
        <v>26</v>
      </c>
      <c r="J46">
        <v>2.2950000000000002E-3</v>
      </c>
      <c r="K46" t="s">
        <v>27</v>
      </c>
      <c r="L46">
        <v>2.8502E-2</v>
      </c>
      <c r="M46" t="s">
        <v>28</v>
      </c>
      <c r="N46">
        <v>1.9602000000000001E-2</v>
      </c>
      <c r="O46" t="s">
        <v>29</v>
      </c>
      <c r="P46">
        <v>0.14369699999999999</v>
      </c>
      <c r="Q46" t="s">
        <v>30</v>
      </c>
      <c r="R46">
        <v>-1.611062</v>
      </c>
      <c r="S46" t="s">
        <v>31</v>
      </c>
      <c r="T46">
        <v>0.59869000000000006</v>
      </c>
      <c r="U46" t="s">
        <v>32</v>
      </c>
      <c r="V46">
        <v>8.2732E-2</v>
      </c>
      <c r="W46" t="s">
        <v>33</v>
      </c>
      <c r="X46">
        <v>0.16126099999999999</v>
      </c>
      <c r="Y46" t="s">
        <v>34</v>
      </c>
      <c r="Z46">
        <v>0.104183</v>
      </c>
      <c r="AA46" t="s">
        <v>35</v>
      </c>
      <c r="AB46">
        <v>0.20769899999999999</v>
      </c>
      <c r="AC46" t="s">
        <v>36</v>
      </c>
      <c r="AD46">
        <v>0.30159000000000002</v>
      </c>
      <c r="AE46" t="s">
        <v>37</v>
      </c>
      <c r="AF46">
        <v>0.26155299999999998</v>
      </c>
      <c r="AG46" t="s">
        <v>38</v>
      </c>
      <c r="AH46">
        <v>0.86724699999999999</v>
      </c>
      <c r="AI46" t="s">
        <v>39</v>
      </c>
      <c r="AJ46">
        <v>0.69905399999999995</v>
      </c>
      <c r="AK46" t="s">
        <v>40</v>
      </c>
      <c r="AL46">
        <v>0.78449100000000005</v>
      </c>
      <c r="AM46" t="s">
        <v>41</v>
      </c>
      <c r="AN46">
        <v>5.9908190000000001</v>
      </c>
      <c r="AO46" t="s">
        <v>42</v>
      </c>
      <c r="AP46">
        <v>4.180936</v>
      </c>
    </row>
    <row r="47" spans="1:42" x14ac:dyDescent="0.3">
      <c r="A47" t="s">
        <v>22</v>
      </c>
      <c r="B47">
        <v>0.47</v>
      </c>
      <c r="C47" t="s">
        <v>23</v>
      </c>
      <c r="D47">
        <v>1.0029619999999999</v>
      </c>
      <c r="E47" t="s">
        <v>24</v>
      </c>
      <c r="F47">
        <v>1.329251</v>
      </c>
      <c r="G47" t="s">
        <v>25</v>
      </c>
      <c r="H47">
        <v>0.91616900000000001</v>
      </c>
      <c r="I47" t="s">
        <v>26</v>
      </c>
      <c r="J47">
        <v>2.2590000000000002E-3</v>
      </c>
      <c r="K47" t="s">
        <v>27</v>
      </c>
      <c r="L47">
        <v>2.8444000000000001E-2</v>
      </c>
      <c r="M47" t="s">
        <v>28</v>
      </c>
      <c r="N47">
        <v>1.9602000000000001E-2</v>
      </c>
      <c r="O47" t="s">
        <v>29</v>
      </c>
      <c r="P47">
        <v>0.137403</v>
      </c>
      <c r="Q47" t="s">
        <v>30</v>
      </c>
      <c r="R47">
        <v>-1.5967519999999999</v>
      </c>
      <c r="S47" t="s">
        <v>31</v>
      </c>
      <c r="T47">
        <v>0.59869000000000006</v>
      </c>
      <c r="U47" t="s">
        <v>32</v>
      </c>
      <c r="V47">
        <v>8.2293000000000005E-2</v>
      </c>
      <c r="W47" t="s">
        <v>33</v>
      </c>
      <c r="X47">
        <v>0.16114899999999999</v>
      </c>
      <c r="Y47" t="s">
        <v>34</v>
      </c>
      <c r="Z47">
        <v>0.104183</v>
      </c>
      <c r="AA47" t="s">
        <v>35</v>
      </c>
      <c r="AB47">
        <v>0.206598</v>
      </c>
      <c r="AC47" t="s">
        <v>36</v>
      </c>
      <c r="AD47">
        <v>0.30110700000000001</v>
      </c>
      <c r="AE47" t="s">
        <v>37</v>
      </c>
      <c r="AF47">
        <v>0.26155299999999998</v>
      </c>
      <c r="AG47" t="s">
        <v>38</v>
      </c>
      <c r="AH47">
        <v>0.86863800000000002</v>
      </c>
      <c r="AI47" t="s">
        <v>39</v>
      </c>
      <c r="AJ47">
        <v>0.70022399999999996</v>
      </c>
      <c r="AK47" t="s">
        <v>40</v>
      </c>
      <c r="AL47">
        <v>0.78449100000000005</v>
      </c>
      <c r="AM47" t="s">
        <v>41</v>
      </c>
      <c r="AN47">
        <v>6.1210550000000001</v>
      </c>
      <c r="AO47" t="s">
        <v>42</v>
      </c>
      <c r="AP47">
        <v>4.2581559999999996</v>
      </c>
    </row>
    <row r="48" spans="1:42" x14ac:dyDescent="0.3">
      <c r="A48" t="s">
        <v>22</v>
      </c>
      <c r="B48">
        <v>0.48</v>
      </c>
      <c r="C48" t="s">
        <v>23</v>
      </c>
      <c r="D48">
        <v>1.004122</v>
      </c>
      <c r="E48" t="s">
        <v>24</v>
      </c>
      <c r="F48">
        <v>1.3265849999999999</v>
      </c>
      <c r="G48" t="s">
        <v>25</v>
      </c>
      <c r="H48">
        <v>0.91616900000000001</v>
      </c>
      <c r="I48" t="s">
        <v>26</v>
      </c>
      <c r="J48">
        <v>2.2230000000000001E-3</v>
      </c>
      <c r="K48" t="s">
        <v>27</v>
      </c>
      <c r="L48">
        <v>2.8386999999999999E-2</v>
      </c>
      <c r="M48" t="s">
        <v>28</v>
      </c>
      <c r="N48">
        <v>1.9602000000000001E-2</v>
      </c>
      <c r="O48" t="s">
        <v>29</v>
      </c>
      <c r="P48">
        <v>0.13123799999999999</v>
      </c>
      <c r="Q48" t="s">
        <v>30</v>
      </c>
      <c r="R48">
        <v>-1.5825819999999999</v>
      </c>
      <c r="S48" t="s">
        <v>31</v>
      </c>
      <c r="T48">
        <v>0.59869000000000006</v>
      </c>
      <c r="U48" t="s">
        <v>32</v>
      </c>
      <c r="V48">
        <v>8.1855999999999998E-2</v>
      </c>
      <c r="W48" t="s">
        <v>33</v>
      </c>
      <c r="X48">
        <v>0.16103899999999999</v>
      </c>
      <c r="Y48" t="s">
        <v>34</v>
      </c>
      <c r="Z48">
        <v>0.104183</v>
      </c>
      <c r="AA48" t="s">
        <v>35</v>
      </c>
      <c r="AB48">
        <v>0.20550199999999999</v>
      </c>
      <c r="AC48" t="s">
        <v>36</v>
      </c>
      <c r="AD48">
        <v>0.30063099999999998</v>
      </c>
      <c r="AE48" t="s">
        <v>37</v>
      </c>
      <c r="AF48">
        <v>0.26155299999999998</v>
      </c>
      <c r="AG48" t="s">
        <v>38</v>
      </c>
      <c r="AH48">
        <v>0.87001300000000004</v>
      </c>
      <c r="AI48" t="s">
        <v>39</v>
      </c>
      <c r="AJ48">
        <v>0.701372</v>
      </c>
      <c r="AK48" t="s">
        <v>40</v>
      </c>
      <c r="AL48">
        <v>0.78449100000000005</v>
      </c>
      <c r="AM48" t="s">
        <v>41</v>
      </c>
      <c r="AN48">
        <v>6.25129</v>
      </c>
      <c r="AO48" t="s">
        <v>42</v>
      </c>
      <c r="AP48">
        <v>4.3350200000000001</v>
      </c>
    </row>
    <row r="49" spans="1:42" x14ac:dyDescent="0.3">
      <c r="A49" t="s">
        <v>22</v>
      </c>
      <c r="B49">
        <v>0.49</v>
      </c>
      <c r="C49" t="s">
        <v>23</v>
      </c>
      <c r="D49">
        <v>1.005258</v>
      </c>
      <c r="E49" t="s">
        <v>24</v>
      </c>
      <c r="F49">
        <v>1.3239449999999999</v>
      </c>
      <c r="G49" t="s">
        <v>25</v>
      </c>
      <c r="H49">
        <v>0.91616900000000001</v>
      </c>
      <c r="I49" t="s">
        <v>26</v>
      </c>
      <c r="J49">
        <v>2.189E-3</v>
      </c>
      <c r="K49" t="s">
        <v>27</v>
      </c>
      <c r="L49">
        <v>2.8330999999999999E-2</v>
      </c>
      <c r="M49" t="s">
        <v>28</v>
      </c>
      <c r="N49">
        <v>1.9602000000000001E-2</v>
      </c>
      <c r="O49" t="s">
        <v>29</v>
      </c>
      <c r="P49">
        <v>0.12520400000000001</v>
      </c>
      <c r="Q49" t="s">
        <v>30</v>
      </c>
      <c r="R49">
        <v>-1.568549</v>
      </c>
      <c r="S49" t="s">
        <v>31</v>
      </c>
      <c r="T49">
        <v>0.59869000000000006</v>
      </c>
      <c r="U49" t="s">
        <v>32</v>
      </c>
      <c r="V49">
        <v>8.1421999999999994E-2</v>
      </c>
      <c r="W49" t="s">
        <v>33</v>
      </c>
      <c r="X49">
        <v>0.16093099999999999</v>
      </c>
      <c r="Y49" t="s">
        <v>34</v>
      </c>
      <c r="Z49">
        <v>0.104183</v>
      </c>
      <c r="AA49" t="s">
        <v>35</v>
      </c>
      <c r="AB49">
        <v>0.20441000000000001</v>
      </c>
      <c r="AC49" t="s">
        <v>36</v>
      </c>
      <c r="AD49">
        <v>0.30016199999999998</v>
      </c>
      <c r="AE49" t="s">
        <v>37</v>
      </c>
      <c r="AF49">
        <v>0.26155299999999998</v>
      </c>
      <c r="AG49" t="s">
        <v>38</v>
      </c>
      <c r="AH49">
        <v>0.87137200000000004</v>
      </c>
      <c r="AI49" t="s">
        <v>39</v>
      </c>
      <c r="AJ49">
        <v>0.70250000000000001</v>
      </c>
      <c r="AK49" t="s">
        <v>40</v>
      </c>
      <c r="AL49">
        <v>0.78449100000000005</v>
      </c>
      <c r="AM49" t="s">
        <v>41</v>
      </c>
      <c r="AN49">
        <v>6.3815249999999999</v>
      </c>
      <c r="AO49" t="s">
        <v>42</v>
      </c>
      <c r="AP49">
        <v>4.411537</v>
      </c>
    </row>
    <row r="50" spans="1:42" x14ac:dyDescent="0.3">
      <c r="A50" t="s">
        <v>22</v>
      </c>
      <c r="B50">
        <v>0.5</v>
      </c>
      <c r="C50" t="s">
        <v>23</v>
      </c>
      <c r="D50">
        <v>1.0063690000000001</v>
      </c>
      <c r="E50" t="s">
        <v>24</v>
      </c>
      <c r="F50">
        <v>1.3213299999999999</v>
      </c>
      <c r="G50" t="s">
        <v>25</v>
      </c>
      <c r="H50">
        <v>0.91616900000000001</v>
      </c>
      <c r="I50" t="s">
        <v>26</v>
      </c>
      <c r="J50">
        <v>2.1549999999999998E-3</v>
      </c>
      <c r="K50" t="s">
        <v>27</v>
      </c>
      <c r="L50">
        <v>2.8275000000000002E-2</v>
      </c>
      <c r="M50" t="s">
        <v>28</v>
      </c>
      <c r="N50">
        <v>1.9602000000000001E-2</v>
      </c>
      <c r="O50" t="s">
        <v>29</v>
      </c>
      <c r="P50">
        <v>0.119298</v>
      </c>
      <c r="Q50" t="s">
        <v>30</v>
      </c>
      <c r="R50">
        <v>-1.5546530000000001</v>
      </c>
      <c r="S50" t="s">
        <v>31</v>
      </c>
      <c r="T50">
        <v>0.59869000000000006</v>
      </c>
      <c r="U50" t="s">
        <v>32</v>
      </c>
      <c r="V50">
        <v>8.0989000000000005E-2</v>
      </c>
      <c r="W50" t="s">
        <v>33</v>
      </c>
      <c r="X50">
        <v>0.160826</v>
      </c>
      <c r="Y50" t="s">
        <v>34</v>
      </c>
      <c r="Z50">
        <v>0.104183</v>
      </c>
      <c r="AA50" t="s">
        <v>35</v>
      </c>
      <c r="AB50">
        <v>0.203324</v>
      </c>
      <c r="AC50" t="s">
        <v>36</v>
      </c>
      <c r="AD50">
        <v>0.29970000000000002</v>
      </c>
      <c r="AE50" t="s">
        <v>37</v>
      </c>
      <c r="AF50">
        <v>0.26155299999999998</v>
      </c>
      <c r="AG50" t="s">
        <v>38</v>
      </c>
      <c r="AH50">
        <v>0.87271600000000005</v>
      </c>
      <c r="AI50" t="s">
        <v>39</v>
      </c>
      <c r="AJ50">
        <v>0.70360900000000004</v>
      </c>
      <c r="AK50" t="s">
        <v>40</v>
      </c>
      <c r="AL50">
        <v>0.78449100000000005</v>
      </c>
      <c r="AM50" t="s">
        <v>41</v>
      </c>
      <c r="AN50">
        <v>6.5117599999999998</v>
      </c>
      <c r="AO50" t="s">
        <v>42</v>
      </c>
      <c r="AP50">
        <v>4.487717</v>
      </c>
    </row>
    <row r="51" spans="1:42" x14ac:dyDescent="0.3">
      <c r="A51" t="s">
        <v>22</v>
      </c>
      <c r="B51">
        <v>0.51</v>
      </c>
      <c r="C51" t="s">
        <v>23</v>
      </c>
      <c r="D51">
        <v>1.0074559999999999</v>
      </c>
      <c r="E51" t="s">
        <v>24</v>
      </c>
      <c r="F51">
        <v>1.3187409999999999</v>
      </c>
      <c r="G51" t="s">
        <v>25</v>
      </c>
      <c r="H51">
        <v>0.91616900000000001</v>
      </c>
      <c r="I51" t="s">
        <v>26</v>
      </c>
      <c r="J51">
        <v>2.1220000000000002E-3</v>
      </c>
      <c r="K51" t="s">
        <v>27</v>
      </c>
      <c r="L51">
        <v>2.8219000000000001E-2</v>
      </c>
      <c r="M51" t="s">
        <v>28</v>
      </c>
      <c r="N51">
        <v>1.9602000000000001E-2</v>
      </c>
      <c r="O51" t="s">
        <v>29</v>
      </c>
      <c r="P51">
        <v>0.11351899999999999</v>
      </c>
      <c r="Q51" t="s">
        <v>30</v>
      </c>
      <c r="R51">
        <v>-1.5408930000000001</v>
      </c>
      <c r="S51" t="s">
        <v>31</v>
      </c>
      <c r="T51">
        <v>0.59869000000000006</v>
      </c>
      <c r="U51" t="s">
        <v>32</v>
      </c>
      <c r="V51">
        <v>8.0559000000000006E-2</v>
      </c>
      <c r="W51" t="s">
        <v>33</v>
      </c>
      <c r="X51">
        <v>0.160723</v>
      </c>
      <c r="Y51" t="s">
        <v>34</v>
      </c>
      <c r="Z51">
        <v>0.104183</v>
      </c>
      <c r="AA51" t="s">
        <v>35</v>
      </c>
      <c r="AB51">
        <v>0.20224400000000001</v>
      </c>
      <c r="AC51" t="s">
        <v>36</v>
      </c>
      <c r="AD51">
        <v>0.29924499999999998</v>
      </c>
      <c r="AE51" t="s">
        <v>37</v>
      </c>
      <c r="AF51">
        <v>0.26155299999999998</v>
      </c>
      <c r="AG51" t="s">
        <v>38</v>
      </c>
      <c r="AH51">
        <v>0.87404400000000004</v>
      </c>
      <c r="AI51" t="s">
        <v>39</v>
      </c>
      <c r="AJ51">
        <v>0.70469700000000002</v>
      </c>
      <c r="AK51" t="s">
        <v>40</v>
      </c>
      <c r="AL51">
        <v>0.78449100000000005</v>
      </c>
      <c r="AM51" t="s">
        <v>41</v>
      </c>
      <c r="AN51">
        <v>6.6419949999999996</v>
      </c>
      <c r="AO51" t="s">
        <v>42</v>
      </c>
      <c r="AP51">
        <v>4.5635709999999996</v>
      </c>
    </row>
    <row r="52" spans="1:42" x14ac:dyDescent="0.3">
      <c r="A52" t="s">
        <v>22</v>
      </c>
      <c r="B52">
        <v>0.52</v>
      </c>
      <c r="C52" t="s">
        <v>23</v>
      </c>
      <c r="D52">
        <v>1.0085200000000001</v>
      </c>
      <c r="E52" t="s">
        <v>24</v>
      </c>
      <c r="F52">
        <v>1.3161769999999999</v>
      </c>
      <c r="G52" t="s">
        <v>25</v>
      </c>
      <c r="H52">
        <v>0.91616900000000001</v>
      </c>
      <c r="I52" t="s">
        <v>26</v>
      </c>
      <c r="J52">
        <v>2.091E-3</v>
      </c>
      <c r="K52" t="s">
        <v>27</v>
      </c>
      <c r="L52">
        <v>2.8164000000000002E-2</v>
      </c>
      <c r="M52" t="s">
        <v>28</v>
      </c>
      <c r="N52">
        <v>1.9602000000000001E-2</v>
      </c>
      <c r="O52" t="s">
        <v>29</v>
      </c>
      <c r="P52">
        <v>0.107864</v>
      </c>
      <c r="Q52" t="s">
        <v>30</v>
      </c>
      <c r="R52">
        <v>-1.5272669999999999</v>
      </c>
      <c r="S52" t="s">
        <v>31</v>
      </c>
      <c r="T52">
        <v>0.59869000000000006</v>
      </c>
      <c r="U52" t="s">
        <v>32</v>
      </c>
      <c r="V52">
        <v>8.0130000000000007E-2</v>
      </c>
      <c r="W52" t="s">
        <v>33</v>
      </c>
      <c r="X52">
        <v>0.16062299999999999</v>
      </c>
      <c r="Y52" t="s">
        <v>34</v>
      </c>
      <c r="Z52">
        <v>0.104183</v>
      </c>
      <c r="AA52" t="s">
        <v>35</v>
      </c>
      <c r="AB52">
        <v>0.20116800000000001</v>
      </c>
      <c r="AC52" t="s">
        <v>36</v>
      </c>
      <c r="AD52">
        <v>0.29879600000000001</v>
      </c>
      <c r="AE52" t="s">
        <v>37</v>
      </c>
      <c r="AF52">
        <v>0.26155299999999998</v>
      </c>
      <c r="AG52" t="s">
        <v>38</v>
      </c>
      <c r="AH52">
        <v>0.87535700000000005</v>
      </c>
      <c r="AI52" t="s">
        <v>39</v>
      </c>
      <c r="AJ52">
        <v>0.70576700000000003</v>
      </c>
      <c r="AK52" t="s">
        <v>40</v>
      </c>
      <c r="AL52">
        <v>0.78449100000000005</v>
      </c>
      <c r="AM52" t="s">
        <v>41</v>
      </c>
      <c r="AN52">
        <v>6.7722309999999997</v>
      </c>
      <c r="AO52" t="s">
        <v>42</v>
      </c>
      <c r="AP52">
        <v>4.6391070000000001</v>
      </c>
    </row>
    <row r="53" spans="1:42" x14ac:dyDescent="0.3">
      <c r="A53" t="s">
        <v>22</v>
      </c>
      <c r="B53">
        <v>0.53</v>
      </c>
      <c r="C53" t="s">
        <v>23</v>
      </c>
      <c r="D53">
        <v>1.0095609999999999</v>
      </c>
      <c r="E53" t="s">
        <v>24</v>
      </c>
      <c r="F53">
        <v>1.3136380000000001</v>
      </c>
      <c r="G53" t="s">
        <v>25</v>
      </c>
      <c r="H53">
        <v>0.91616900000000001</v>
      </c>
      <c r="I53" t="s">
        <v>26</v>
      </c>
      <c r="J53">
        <v>2.0600000000000002E-3</v>
      </c>
      <c r="K53" t="s">
        <v>27</v>
      </c>
      <c r="L53">
        <v>2.811E-2</v>
      </c>
      <c r="M53" t="s">
        <v>28</v>
      </c>
      <c r="N53">
        <v>1.9602000000000001E-2</v>
      </c>
      <c r="O53" t="s">
        <v>29</v>
      </c>
      <c r="P53">
        <v>0.10233299999999999</v>
      </c>
      <c r="Q53" t="s">
        <v>30</v>
      </c>
      <c r="R53">
        <v>-1.513773</v>
      </c>
      <c r="S53" t="s">
        <v>31</v>
      </c>
      <c r="T53">
        <v>0.59869000000000006</v>
      </c>
      <c r="U53" t="s">
        <v>32</v>
      </c>
      <c r="V53">
        <v>7.9703999999999997E-2</v>
      </c>
      <c r="W53" t="s">
        <v>33</v>
      </c>
      <c r="X53">
        <v>0.160526</v>
      </c>
      <c r="Y53" t="s">
        <v>34</v>
      </c>
      <c r="Z53">
        <v>0.104183</v>
      </c>
      <c r="AA53" t="s">
        <v>35</v>
      </c>
      <c r="AB53">
        <v>0.200097</v>
      </c>
      <c r="AC53" t="s">
        <v>36</v>
      </c>
      <c r="AD53">
        <v>0.29835400000000001</v>
      </c>
      <c r="AE53" t="s">
        <v>37</v>
      </c>
      <c r="AF53">
        <v>0.26155299999999998</v>
      </c>
      <c r="AG53" t="s">
        <v>38</v>
      </c>
      <c r="AH53">
        <v>0.87665400000000004</v>
      </c>
      <c r="AI53" t="s">
        <v>39</v>
      </c>
      <c r="AJ53">
        <v>0.70681799999999995</v>
      </c>
      <c r="AK53" t="s">
        <v>40</v>
      </c>
      <c r="AL53">
        <v>0.78449100000000005</v>
      </c>
      <c r="AM53" t="s">
        <v>41</v>
      </c>
      <c r="AN53">
        <v>6.9024660000000004</v>
      </c>
      <c r="AO53" t="s">
        <v>42</v>
      </c>
      <c r="AP53">
        <v>4.7143350000000002</v>
      </c>
    </row>
    <row r="54" spans="1:42" x14ac:dyDescent="0.3">
      <c r="A54" t="s">
        <v>22</v>
      </c>
      <c r="B54">
        <v>0.54</v>
      </c>
      <c r="C54" t="s">
        <v>23</v>
      </c>
      <c r="D54">
        <v>1.0105789999999999</v>
      </c>
      <c r="E54" t="s">
        <v>24</v>
      </c>
      <c r="F54">
        <v>1.311124</v>
      </c>
      <c r="G54" t="s">
        <v>25</v>
      </c>
      <c r="H54">
        <v>0.91616900000000001</v>
      </c>
      <c r="I54" t="s">
        <v>26</v>
      </c>
      <c r="J54">
        <v>2.0300000000000001E-3</v>
      </c>
      <c r="K54" t="s">
        <v>27</v>
      </c>
      <c r="L54">
        <v>2.8056000000000001E-2</v>
      </c>
      <c r="M54" t="s">
        <v>28</v>
      </c>
      <c r="N54">
        <v>1.9602000000000001E-2</v>
      </c>
      <c r="O54" t="s">
        <v>29</v>
      </c>
      <c r="P54">
        <v>9.6922999999999995E-2</v>
      </c>
      <c r="Q54" t="s">
        <v>30</v>
      </c>
      <c r="R54">
        <v>-1.50041</v>
      </c>
      <c r="S54" t="s">
        <v>31</v>
      </c>
      <c r="T54">
        <v>0.59869000000000006</v>
      </c>
      <c r="U54" t="s">
        <v>32</v>
      </c>
      <c r="V54">
        <v>7.9279000000000002E-2</v>
      </c>
      <c r="W54" t="s">
        <v>33</v>
      </c>
      <c r="X54">
        <v>0.16042999999999999</v>
      </c>
      <c r="Y54" t="s">
        <v>34</v>
      </c>
      <c r="Z54">
        <v>0.104183</v>
      </c>
      <c r="AA54" t="s">
        <v>35</v>
      </c>
      <c r="AB54">
        <v>0.19903199999999999</v>
      </c>
      <c r="AC54" t="s">
        <v>36</v>
      </c>
      <c r="AD54">
        <v>0.29791800000000002</v>
      </c>
      <c r="AE54" t="s">
        <v>37</v>
      </c>
      <c r="AF54">
        <v>0.26155299999999998</v>
      </c>
      <c r="AG54" t="s">
        <v>38</v>
      </c>
      <c r="AH54">
        <v>0.87793699999999997</v>
      </c>
      <c r="AI54" t="s">
        <v>39</v>
      </c>
      <c r="AJ54">
        <v>0.70784999999999998</v>
      </c>
      <c r="AK54" t="s">
        <v>40</v>
      </c>
      <c r="AL54">
        <v>0.78449100000000005</v>
      </c>
      <c r="AM54" t="s">
        <v>41</v>
      </c>
      <c r="AN54">
        <v>7.0327010000000003</v>
      </c>
      <c r="AO54" t="s">
        <v>42</v>
      </c>
      <c r="AP54">
        <v>4.789263</v>
      </c>
    </row>
    <row r="55" spans="1:42" x14ac:dyDescent="0.3">
      <c r="A55" t="s">
        <v>22</v>
      </c>
      <c r="B55">
        <v>0.55000000000000004</v>
      </c>
      <c r="C55" t="s">
        <v>23</v>
      </c>
      <c r="D55">
        <v>1.011574</v>
      </c>
      <c r="E55" t="s">
        <v>24</v>
      </c>
      <c r="F55">
        <v>1.3086340000000001</v>
      </c>
      <c r="G55" t="s">
        <v>25</v>
      </c>
      <c r="H55">
        <v>0.91616900000000001</v>
      </c>
      <c r="I55" t="s">
        <v>26</v>
      </c>
      <c r="J55">
        <v>2.0010000000000002E-3</v>
      </c>
      <c r="K55" t="s">
        <v>27</v>
      </c>
      <c r="L55">
        <v>2.8003E-2</v>
      </c>
      <c r="M55" t="s">
        <v>28</v>
      </c>
      <c r="N55">
        <v>1.9602000000000001E-2</v>
      </c>
      <c r="O55" t="s">
        <v>29</v>
      </c>
      <c r="P55">
        <v>9.1633999999999993E-2</v>
      </c>
      <c r="Q55" t="s">
        <v>30</v>
      </c>
      <c r="R55">
        <v>-1.487177</v>
      </c>
      <c r="S55" t="s">
        <v>31</v>
      </c>
      <c r="T55">
        <v>0.59869000000000006</v>
      </c>
      <c r="U55" t="s">
        <v>32</v>
      </c>
      <c r="V55">
        <v>7.8856999999999997E-2</v>
      </c>
      <c r="W55" t="s">
        <v>33</v>
      </c>
      <c r="X55">
        <v>0.16033700000000001</v>
      </c>
      <c r="Y55" t="s">
        <v>34</v>
      </c>
      <c r="Z55">
        <v>0.104183</v>
      </c>
      <c r="AA55" t="s">
        <v>35</v>
      </c>
      <c r="AB55">
        <v>0.19797200000000001</v>
      </c>
      <c r="AC55" t="s">
        <v>36</v>
      </c>
      <c r="AD55">
        <v>0.297489</v>
      </c>
      <c r="AE55" t="s">
        <v>37</v>
      </c>
      <c r="AF55">
        <v>0.26155299999999998</v>
      </c>
      <c r="AG55" t="s">
        <v>38</v>
      </c>
      <c r="AH55">
        <v>0.87920399999999999</v>
      </c>
      <c r="AI55" t="s">
        <v>39</v>
      </c>
      <c r="AJ55">
        <v>0.708866</v>
      </c>
      <c r="AK55" t="s">
        <v>40</v>
      </c>
      <c r="AL55">
        <v>0.78449100000000005</v>
      </c>
      <c r="AM55" t="s">
        <v>41</v>
      </c>
      <c r="AN55">
        <v>7.1629360000000002</v>
      </c>
      <c r="AO55" t="s">
        <v>42</v>
      </c>
      <c r="AP55">
        <v>4.863899</v>
      </c>
    </row>
    <row r="56" spans="1:42" x14ac:dyDescent="0.3">
      <c r="A56" t="s">
        <v>22</v>
      </c>
      <c r="B56">
        <v>0.56000000000000005</v>
      </c>
      <c r="C56" t="s">
        <v>23</v>
      </c>
      <c r="D56">
        <v>1.0125470000000001</v>
      </c>
      <c r="E56" t="s">
        <v>24</v>
      </c>
      <c r="F56">
        <v>1.306168</v>
      </c>
      <c r="G56" t="s">
        <v>25</v>
      </c>
      <c r="H56">
        <v>0.91616900000000001</v>
      </c>
      <c r="I56" t="s">
        <v>26</v>
      </c>
      <c r="J56">
        <v>1.9719999999999998E-3</v>
      </c>
      <c r="K56" t="s">
        <v>27</v>
      </c>
      <c r="L56">
        <v>2.7949999999999999E-2</v>
      </c>
      <c r="M56" t="s">
        <v>28</v>
      </c>
      <c r="N56">
        <v>1.9602000000000001E-2</v>
      </c>
      <c r="O56" t="s">
        <v>29</v>
      </c>
      <c r="P56">
        <v>8.6462999999999998E-2</v>
      </c>
      <c r="Q56" t="s">
        <v>30</v>
      </c>
      <c r="R56">
        <v>-1.474072</v>
      </c>
      <c r="S56" t="s">
        <v>31</v>
      </c>
      <c r="T56">
        <v>0.59869000000000006</v>
      </c>
      <c r="U56" t="s">
        <v>32</v>
      </c>
      <c r="V56">
        <v>7.8437000000000007E-2</v>
      </c>
      <c r="W56" t="s">
        <v>33</v>
      </c>
      <c r="X56">
        <v>0.160247</v>
      </c>
      <c r="Y56" t="s">
        <v>34</v>
      </c>
      <c r="Z56">
        <v>0.104183</v>
      </c>
      <c r="AA56" t="s">
        <v>35</v>
      </c>
      <c r="AB56">
        <v>0.19691700000000001</v>
      </c>
      <c r="AC56" t="s">
        <v>36</v>
      </c>
      <c r="AD56">
        <v>0.29706500000000002</v>
      </c>
      <c r="AE56" t="s">
        <v>37</v>
      </c>
      <c r="AF56">
        <v>0.26155299999999998</v>
      </c>
      <c r="AG56" t="s">
        <v>38</v>
      </c>
      <c r="AH56">
        <v>0.88045700000000005</v>
      </c>
      <c r="AI56" t="s">
        <v>39</v>
      </c>
      <c r="AJ56">
        <v>0.70986300000000002</v>
      </c>
      <c r="AK56" t="s">
        <v>40</v>
      </c>
      <c r="AL56">
        <v>0.78449100000000005</v>
      </c>
      <c r="AM56" t="s">
        <v>41</v>
      </c>
      <c r="AN56">
        <v>7.2931710000000001</v>
      </c>
      <c r="AO56" t="s">
        <v>42</v>
      </c>
      <c r="AP56">
        <v>4.9382520000000003</v>
      </c>
    </row>
    <row r="57" spans="1:42" x14ac:dyDescent="0.3">
      <c r="A57" t="s">
        <v>22</v>
      </c>
      <c r="B57">
        <v>0.56999999999999995</v>
      </c>
      <c r="C57" t="s">
        <v>23</v>
      </c>
      <c r="D57">
        <v>1.013498</v>
      </c>
      <c r="E57" t="s">
        <v>24</v>
      </c>
      <c r="F57">
        <v>1.3037270000000001</v>
      </c>
      <c r="G57" t="s">
        <v>25</v>
      </c>
      <c r="H57">
        <v>0.91616900000000001</v>
      </c>
      <c r="I57" t="s">
        <v>26</v>
      </c>
      <c r="J57">
        <v>1.944E-3</v>
      </c>
      <c r="K57" t="s">
        <v>27</v>
      </c>
      <c r="L57">
        <v>2.7897999999999999E-2</v>
      </c>
      <c r="M57" t="s">
        <v>28</v>
      </c>
      <c r="N57">
        <v>1.9602000000000001E-2</v>
      </c>
      <c r="O57" t="s">
        <v>29</v>
      </c>
      <c r="P57">
        <v>8.1407999999999994E-2</v>
      </c>
      <c r="Q57" t="s">
        <v>30</v>
      </c>
      <c r="R57">
        <v>-1.461096</v>
      </c>
      <c r="S57" t="s">
        <v>31</v>
      </c>
      <c r="T57">
        <v>0.59869000000000006</v>
      </c>
      <c r="U57" t="s">
        <v>32</v>
      </c>
      <c r="V57">
        <v>7.8019000000000005E-2</v>
      </c>
      <c r="W57" t="s">
        <v>33</v>
      </c>
      <c r="X57">
        <v>0.16015799999999999</v>
      </c>
      <c r="Y57" t="s">
        <v>34</v>
      </c>
      <c r="Z57">
        <v>0.104183</v>
      </c>
      <c r="AA57" t="s">
        <v>35</v>
      </c>
      <c r="AB57">
        <v>0.19586799999999999</v>
      </c>
      <c r="AC57" t="s">
        <v>36</v>
      </c>
      <c r="AD57">
        <v>0.29664800000000002</v>
      </c>
      <c r="AE57" t="s">
        <v>37</v>
      </c>
      <c r="AF57">
        <v>0.26155299999999998</v>
      </c>
      <c r="AG57" t="s">
        <v>38</v>
      </c>
      <c r="AH57">
        <v>0.88169500000000001</v>
      </c>
      <c r="AI57" t="s">
        <v>39</v>
      </c>
      <c r="AJ57">
        <v>0.710843</v>
      </c>
      <c r="AK57" t="s">
        <v>40</v>
      </c>
      <c r="AL57">
        <v>0.78449100000000005</v>
      </c>
      <c r="AM57" t="s">
        <v>41</v>
      </c>
      <c r="AN57">
        <v>7.4234070000000001</v>
      </c>
      <c r="AO57" t="s">
        <v>42</v>
      </c>
      <c r="AP57">
        <v>5.0123319999999998</v>
      </c>
    </row>
    <row r="58" spans="1:42" x14ac:dyDescent="0.3">
      <c r="A58" t="s">
        <v>22</v>
      </c>
      <c r="B58">
        <v>0.57999999999999996</v>
      </c>
      <c r="C58" t="s">
        <v>23</v>
      </c>
      <c r="D58">
        <v>1.0144280000000001</v>
      </c>
      <c r="E58" t="s">
        <v>24</v>
      </c>
      <c r="F58">
        <v>1.301309</v>
      </c>
      <c r="G58" t="s">
        <v>25</v>
      </c>
      <c r="H58">
        <v>0.91616900000000001</v>
      </c>
      <c r="I58" t="s">
        <v>26</v>
      </c>
      <c r="J58">
        <v>1.9170000000000001E-3</v>
      </c>
      <c r="K58" t="s">
        <v>27</v>
      </c>
      <c r="L58">
        <v>2.7845999999999999E-2</v>
      </c>
      <c r="M58" t="s">
        <v>28</v>
      </c>
      <c r="N58">
        <v>1.9602000000000001E-2</v>
      </c>
      <c r="O58" t="s">
        <v>29</v>
      </c>
      <c r="P58">
        <v>7.6467999999999994E-2</v>
      </c>
      <c r="Q58" t="s">
        <v>30</v>
      </c>
      <c r="R58">
        <v>-1.4482440000000001</v>
      </c>
      <c r="S58" t="s">
        <v>31</v>
      </c>
      <c r="T58">
        <v>0.59869000000000006</v>
      </c>
      <c r="U58" t="s">
        <v>32</v>
      </c>
      <c r="V58">
        <v>7.7603000000000005E-2</v>
      </c>
      <c r="W58" t="s">
        <v>33</v>
      </c>
      <c r="X58">
        <v>0.16007199999999999</v>
      </c>
      <c r="Y58" t="s">
        <v>34</v>
      </c>
      <c r="Z58">
        <v>0.104183</v>
      </c>
      <c r="AA58" t="s">
        <v>35</v>
      </c>
      <c r="AB58">
        <v>0.194825</v>
      </c>
      <c r="AC58" t="s">
        <v>36</v>
      </c>
      <c r="AD58">
        <v>0.29623699999999997</v>
      </c>
      <c r="AE58" t="s">
        <v>37</v>
      </c>
      <c r="AF58">
        <v>0.26155299999999998</v>
      </c>
      <c r="AG58" t="s">
        <v>38</v>
      </c>
      <c r="AH58">
        <v>0.88291799999999998</v>
      </c>
      <c r="AI58" t="s">
        <v>39</v>
      </c>
      <c r="AJ58">
        <v>0.71180500000000002</v>
      </c>
      <c r="AK58" t="s">
        <v>40</v>
      </c>
      <c r="AL58">
        <v>0.78449100000000005</v>
      </c>
      <c r="AM58" t="s">
        <v>41</v>
      </c>
      <c r="AN58">
        <v>7.553642</v>
      </c>
      <c r="AO58" t="s">
        <v>42</v>
      </c>
      <c r="AP58">
        <v>5.086144</v>
      </c>
    </row>
    <row r="59" spans="1:42" x14ac:dyDescent="0.3">
      <c r="A59" t="s">
        <v>22</v>
      </c>
      <c r="B59">
        <v>0.59</v>
      </c>
      <c r="C59" t="s">
        <v>23</v>
      </c>
      <c r="D59">
        <v>1.0153350000000001</v>
      </c>
      <c r="E59" t="s">
        <v>24</v>
      </c>
      <c r="F59">
        <v>1.2989139999999999</v>
      </c>
      <c r="G59" t="s">
        <v>25</v>
      </c>
      <c r="H59">
        <v>0.91616900000000001</v>
      </c>
      <c r="I59" t="s">
        <v>26</v>
      </c>
      <c r="J59">
        <v>1.8910000000000001E-3</v>
      </c>
      <c r="K59" t="s">
        <v>27</v>
      </c>
      <c r="L59">
        <v>2.7795E-2</v>
      </c>
      <c r="M59" t="s">
        <v>28</v>
      </c>
      <c r="N59">
        <v>1.9602000000000001E-2</v>
      </c>
      <c r="O59" t="s">
        <v>29</v>
      </c>
      <c r="P59">
        <v>7.1642999999999998E-2</v>
      </c>
      <c r="Q59" t="s">
        <v>30</v>
      </c>
      <c r="R59">
        <v>-1.4355169999999999</v>
      </c>
      <c r="S59" t="s">
        <v>31</v>
      </c>
      <c r="T59">
        <v>0.59869000000000006</v>
      </c>
      <c r="U59" t="s">
        <v>32</v>
      </c>
      <c r="V59">
        <v>7.7189999999999995E-2</v>
      </c>
      <c r="W59" t="s">
        <v>33</v>
      </c>
      <c r="X59">
        <v>0.15998899999999999</v>
      </c>
      <c r="Y59" t="s">
        <v>34</v>
      </c>
      <c r="Z59">
        <v>0.104183</v>
      </c>
      <c r="AA59" t="s">
        <v>35</v>
      </c>
      <c r="AB59">
        <v>0.19378699999999999</v>
      </c>
      <c r="AC59" t="s">
        <v>36</v>
      </c>
      <c r="AD59">
        <v>0.29583199999999998</v>
      </c>
      <c r="AE59" t="s">
        <v>37</v>
      </c>
      <c r="AF59">
        <v>0.26155299999999998</v>
      </c>
      <c r="AG59" t="s">
        <v>38</v>
      </c>
      <c r="AH59">
        <v>0.884127</v>
      </c>
      <c r="AI59" t="s">
        <v>39</v>
      </c>
      <c r="AJ59">
        <v>0.71275100000000002</v>
      </c>
      <c r="AK59" t="s">
        <v>40</v>
      </c>
      <c r="AL59">
        <v>0.78449100000000005</v>
      </c>
      <c r="AM59" t="s">
        <v>41</v>
      </c>
      <c r="AN59">
        <v>7.6838769999999998</v>
      </c>
      <c r="AO59" t="s">
        <v>42</v>
      </c>
      <c r="AP59">
        <v>5.1596970000000004</v>
      </c>
    </row>
    <row r="60" spans="1:42" x14ac:dyDescent="0.3">
      <c r="A60" t="s">
        <v>22</v>
      </c>
      <c r="B60">
        <v>0.6</v>
      </c>
      <c r="C60" t="s">
        <v>23</v>
      </c>
      <c r="D60">
        <v>1.0162230000000001</v>
      </c>
      <c r="E60" t="s">
        <v>24</v>
      </c>
      <c r="F60">
        <v>1.296543</v>
      </c>
      <c r="G60" t="s">
        <v>25</v>
      </c>
      <c r="H60">
        <v>0.91616900000000001</v>
      </c>
      <c r="I60" t="s">
        <v>26</v>
      </c>
      <c r="J60">
        <v>1.8649999999999999E-3</v>
      </c>
      <c r="K60" t="s">
        <v>27</v>
      </c>
      <c r="L60">
        <v>2.7744000000000001E-2</v>
      </c>
      <c r="M60" t="s">
        <v>28</v>
      </c>
      <c r="N60">
        <v>1.9602000000000001E-2</v>
      </c>
      <c r="O60" t="s">
        <v>29</v>
      </c>
      <c r="P60">
        <v>6.6927E-2</v>
      </c>
      <c r="Q60" t="s">
        <v>30</v>
      </c>
      <c r="R60">
        <v>-1.4229130000000001</v>
      </c>
      <c r="S60" t="s">
        <v>31</v>
      </c>
      <c r="T60">
        <v>0.59869000000000006</v>
      </c>
      <c r="U60" t="s">
        <v>32</v>
      </c>
      <c r="V60">
        <v>7.6779E-2</v>
      </c>
      <c r="W60" t="s">
        <v>33</v>
      </c>
      <c r="X60">
        <v>0.15990699999999999</v>
      </c>
      <c r="Y60" t="s">
        <v>34</v>
      </c>
      <c r="Z60">
        <v>0.104183</v>
      </c>
      <c r="AA60" t="s">
        <v>35</v>
      </c>
      <c r="AB60">
        <v>0.19275400000000001</v>
      </c>
      <c r="AC60" t="s">
        <v>36</v>
      </c>
      <c r="AD60">
        <v>0.295433</v>
      </c>
      <c r="AE60" t="s">
        <v>37</v>
      </c>
      <c r="AF60">
        <v>0.26155299999999998</v>
      </c>
      <c r="AG60" t="s">
        <v>38</v>
      </c>
      <c r="AH60">
        <v>0.88532100000000002</v>
      </c>
      <c r="AI60" t="s">
        <v>39</v>
      </c>
      <c r="AJ60">
        <v>0.71368200000000004</v>
      </c>
      <c r="AK60" t="s">
        <v>40</v>
      </c>
      <c r="AL60">
        <v>0.78449100000000005</v>
      </c>
      <c r="AM60" t="s">
        <v>41</v>
      </c>
      <c r="AN60">
        <v>7.8141119999999997</v>
      </c>
      <c r="AO60" t="s">
        <v>42</v>
      </c>
      <c r="AP60">
        <v>5.2329970000000001</v>
      </c>
    </row>
    <row r="61" spans="1:42" x14ac:dyDescent="0.3">
      <c r="A61" t="s">
        <v>22</v>
      </c>
      <c r="B61">
        <v>0.61</v>
      </c>
      <c r="C61" t="s">
        <v>23</v>
      </c>
      <c r="D61">
        <v>1.0170889999999999</v>
      </c>
      <c r="E61" t="s">
        <v>24</v>
      </c>
      <c r="F61">
        <v>1.2941940000000001</v>
      </c>
      <c r="G61" t="s">
        <v>25</v>
      </c>
      <c r="H61">
        <v>0.91616900000000001</v>
      </c>
      <c r="I61" t="s">
        <v>26</v>
      </c>
      <c r="J61">
        <v>1.8400000000000001E-3</v>
      </c>
      <c r="K61" t="s">
        <v>27</v>
      </c>
      <c r="L61">
        <v>2.7694E-2</v>
      </c>
      <c r="M61" t="s">
        <v>28</v>
      </c>
      <c r="N61">
        <v>1.9602000000000001E-2</v>
      </c>
      <c r="O61" t="s">
        <v>29</v>
      </c>
      <c r="P61">
        <v>6.2323999999999997E-2</v>
      </c>
      <c r="Q61" t="s">
        <v>30</v>
      </c>
      <c r="R61">
        <v>-1.410433</v>
      </c>
      <c r="S61" t="s">
        <v>31</v>
      </c>
      <c r="T61">
        <v>0.59869000000000006</v>
      </c>
      <c r="U61" t="s">
        <v>32</v>
      </c>
      <c r="V61">
        <v>7.6369999999999993E-2</v>
      </c>
      <c r="W61" t="s">
        <v>33</v>
      </c>
      <c r="X61">
        <v>0.159828</v>
      </c>
      <c r="Y61" t="s">
        <v>34</v>
      </c>
      <c r="Z61">
        <v>0.104183</v>
      </c>
      <c r="AA61" t="s">
        <v>35</v>
      </c>
      <c r="AB61">
        <v>0.19172700000000001</v>
      </c>
      <c r="AC61" t="s">
        <v>36</v>
      </c>
      <c r="AD61">
        <v>0.29504000000000002</v>
      </c>
      <c r="AE61" t="s">
        <v>37</v>
      </c>
      <c r="AF61">
        <v>0.26155299999999998</v>
      </c>
      <c r="AG61" t="s">
        <v>38</v>
      </c>
      <c r="AH61">
        <v>0.88650200000000001</v>
      </c>
      <c r="AI61" t="s">
        <v>39</v>
      </c>
      <c r="AJ61">
        <v>0.71459700000000004</v>
      </c>
      <c r="AK61" t="s">
        <v>40</v>
      </c>
      <c r="AL61">
        <v>0.78449100000000005</v>
      </c>
      <c r="AM61" t="s">
        <v>41</v>
      </c>
      <c r="AN61">
        <v>7.9443469999999996</v>
      </c>
      <c r="AO61" t="s">
        <v>42</v>
      </c>
      <c r="AP61">
        <v>5.3060559999999999</v>
      </c>
    </row>
    <row r="62" spans="1:42" x14ac:dyDescent="0.3">
      <c r="A62" t="s">
        <v>22</v>
      </c>
      <c r="B62">
        <v>0.62</v>
      </c>
      <c r="C62" t="s">
        <v>23</v>
      </c>
      <c r="D62">
        <v>1.017935</v>
      </c>
      <c r="E62" t="s">
        <v>24</v>
      </c>
      <c r="F62">
        <v>1.291868</v>
      </c>
      <c r="G62" t="s">
        <v>25</v>
      </c>
      <c r="H62">
        <v>0.91616900000000001</v>
      </c>
      <c r="I62" t="s">
        <v>26</v>
      </c>
      <c r="J62">
        <v>1.815E-3</v>
      </c>
      <c r="K62" t="s">
        <v>27</v>
      </c>
      <c r="L62">
        <v>2.7643999999999998E-2</v>
      </c>
      <c r="M62" t="s">
        <v>28</v>
      </c>
      <c r="N62">
        <v>1.9602000000000001E-2</v>
      </c>
      <c r="O62" t="s">
        <v>29</v>
      </c>
      <c r="P62">
        <v>5.7827999999999997E-2</v>
      </c>
      <c r="Q62" t="s">
        <v>30</v>
      </c>
      <c r="R62">
        <v>-1.3980710000000001</v>
      </c>
      <c r="S62" t="s">
        <v>31</v>
      </c>
      <c r="T62">
        <v>0.59869000000000006</v>
      </c>
      <c r="U62" t="s">
        <v>32</v>
      </c>
      <c r="V62">
        <v>7.5963000000000003E-2</v>
      </c>
      <c r="W62" t="s">
        <v>33</v>
      </c>
      <c r="X62">
        <v>0.159751</v>
      </c>
      <c r="Y62" t="s">
        <v>34</v>
      </c>
      <c r="Z62">
        <v>0.104183</v>
      </c>
      <c r="AA62" t="s">
        <v>35</v>
      </c>
      <c r="AB62">
        <v>0.19070599999999999</v>
      </c>
      <c r="AC62" t="s">
        <v>36</v>
      </c>
      <c r="AD62">
        <v>0.29465200000000003</v>
      </c>
      <c r="AE62" t="s">
        <v>37</v>
      </c>
      <c r="AF62">
        <v>0.26155299999999998</v>
      </c>
      <c r="AG62" t="s">
        <v>38</v>
      </c>
      <c r="AH62">
        <v>0.88766800000000001</v>
      </c>
      <c r="AI62" t="s">
        <v>39</v>
      </c>
      <c r="AJ62">
        <v>0.71549399999999996</v>
      </c>
      <c r="AK62" t="s">
        <v>40</v>
      </c>
      <c r="AL62">
        <v>0.78449100000000005</v>
      </c>
      <c r="AM62" t="s">
        <v>41</v>
      </c>
      <c r="AN62">
        <v>8.0745830000000005</v>
      </c>
      <c r="AO62" t="s">
        <v>42</v>
      </c>
      <c r="AP62">
        <v>5.3788739999999997</v>
      </c>
    </row>
    <row r="63" spans="1:42" x14ac:dyDescent="0.3">
      <c r="A63" t="s">
        <v>22</v>
      </c>
      <c r="B63">
        <v>0.63</v>
      </c>
      <c r="C63" t="s">
        <v>23</v>
      </c>
      <c r="D63">
        <v>1.0187600000000001</v>
      </c>
      <c r="E63" t="s">
        <v>24</v>
      </c>
      <c r="F63">
        <v>1.2895650000000001</v>
      </c>
      <c r="G63" t="s">
        <v>25</v>
      </c>
      <c r="H63">
        <v>0.91616900000000001</v>
      </c>
      <c r="I63" t="s">
        <v>26</v>
      </c>
      <c r="J63">
        <v>1.7910000000000001E-3</v>
      </c>
      <c r="K63" t="s">
        <v>27</v>
      </c>
      <c r="L63">
        <v>2.7594E-2</v>
      </c>
      <c r="M63" t="s">
        <v>28</v>
      </c>
      <c r="N63">
        <v>1.9602000000000001E-2</v>
      </c>
      <c r="O63" t="s">
        <v>29</v>
      </c>
      <c r="P63">
        <v>5.3442000000000003E-2</v>
      </c>
      <c r="Q63" t="s">
        <v>30</v>
      </c>
      <c r="R63">
        <v>-1.3858299999999999</v>
      </c>
      <c r="S63" t="s">
        <v>31</v>
      </c>
      <c r="T63">
        <v>0.59869000000000006</v>
      </c>
      <c r="U63" t="s">
        <v>32</v>
      </c>
      <c r="V63">
        <v>7.5559000000000001E-2</v>
      </c>
      <c r="W63" t="s">
        <v>33</v>
      </c>
      <c r="X63">
        <v>0.15967600000000001</v>
      </c>
      <c r="Y63" t="s">
        <v>34</v>
      </c>
      <c r="Z63">
        <v>0.104183</v>
      </c>
      <c r="AA63" t="s">
        <v>35</v>
      </c>
      <c r="AB63">
        <v>0.189691</v>
      </c>
      <c r="AC63" t="s">
        <v>36</v>
      </c>
      <c r="AD63">
        <v>0.29426999999999998</v>
      </c>
      <c r="AE63" t="s">
        <v>37</v>
      </c>
      <c r="AF63">
        <v>0.26155299999999998</v>
      </c>
      <c r="AG63" t="s">
        <v>38</v>
      </c>
      <c r="AH63">
        <v>0.88882099999999997</v>
      </c>
      <c r="AI63" t="s">
        <v>39</v>
      </c>
      <c r="AJ63">
        <v>0.71637799999999996</v>
      </c>
      <c r="AK63" t="s">
        <v>40</v>
      </c>
      <c r="AL63">
        <v>0.78449100000000005</v>
      </c>
      <c r="AM63" t="s">
        <v>41</v>
      </c>
      <c r="AN63">
        <v>8.2048179999999995</v>
      </c>
      <c r="AO63" t="s">
        <v>42</v>
      </c>
      <c r="AP63">
        <v>5.4514630000000004</v>
      </c>
    </row>
    <row r="64" spans="1:42" x14ac:dyDescent="0.3">
      <c r="A64" t="s">
        <v>22</v>
      </c>
      <c r="B64">
        <v>0.64</v>
      </c>
      <c r="C64" t="s">
        <v>23</v>
      </c>
      <c r="D64">
        <v>1.019566</v>
      </c>
      <c r="E64" t="s">
        <v>24</v>
      </c>
      <c r="F64">
        <v>1.2872840000000001</v>
      </c>
      <c r="G64" t="s">
        <v>25</v>
      </c>
      <c r="H64">
        <v>0.91616900000000001</v>
      </c>
      <c r="I64" t="s">
        <v>26</v>
      </c>
      <c r="J64">
        <v>1.768E-3</v>
      </c>
      <c r="K64" t="s">
        <v>27</v>
      </c>
      <c r="L64">
        <v>2.7546000000000001E-2</v>
      </c>
      <c r="M64" t="s">
        <v>28</v>
      </c>
      <c r="N64">
        <v>1.9602000000000001E-2</v>
      </c>
      <c r="O64" t="s">
        <v>29</v>
      </c>
      <c r="P64">
        <v>4.9156999999999999E-2</v>
      </c>
      <c r="Q64" t="s">
        <v>30</v>
      </c>
      <c r="R64">
        <v>-1.3737060000000001</v>
      </c>
      <c r="S64" t="s">
        <v>31</v>
      </c>
      <c r="T64">
        <v>0.59869000000000006</v>
      </c>
      <c r="U64" t="s">
        <v>32</v>
      </c>
      <c r="V64">
        <v>7.5156000000000001E-2</v>
      </c>
      <c r="W64" t="s">
        <v>33</v>
      </c>
      <c r="X64">
        <v>0.159604</v>
      </c>
      <c r="Y64" t="s">
        <v>34</v>
      </c>
      <c r="Z64">
        <v>0.104183</v>
      </c>
      <c r="AA64" t="s">
        <v>35</v>
      </c>
      <c r="AB64">
        <v>0.18868099999999999</v>
      </c>
      <c r="AC64" t="s">
        <v>36</v>
      </c>
      <c r="AD64">
        <v>0.29389300000000002</v>
      </c>
      <c r="AE64" t="s">
        <v>37</v>
      </c>
      <c r="AF64">
        <v>0.26155299999999998</v>
      </c>
      <c r="AG64" t="s">
        <v>38</v>
      </c>
      <c r="AH64">
        <v>0.88995999999999997</v>
      </c>
      <c r="AI64" t="s">
        <v>39</v>
      </c>
      <c r="AJ64">
        <v>0.71724699999999997</v>
      </c>
      <c r="AK64" t="s">
        <v>40</v>
      </c>
      <c r="AL64">
        <v>0.78449100000000005</v>
      </c>
      <c r="AM64" t="s">
        <v>41</v>
      </c>
      <c r="AN64">
        <v>8.3350530000000003</v>
      </c>
      <c r="AO64" t="s">
        <v>42</v>
      </c>
      <c r="AP64">
        <v>5.5238290000000001</v>
      </c>
    </row>
    <row r="65" spans="1:42" x14ac:dyDescent="0.3">
      <c r="A65" t="s">
        <v>22</v>
      </c>
      <c r="B65">
        <v>0.65</v>
      </c>
      <c r="C65" t="s">
        <v>23</v>
      </c>
      <c r="D65">
        <v>1.0203530000000001</v>
      </c>
      <c r="E65" t="s">
        <v>24</v>
      </c>
      <c r="F65">
        <v>1.2850250000000001</v>
      </c>
      <c r="G65" t="s">
        <v>25</v>
      </c>
      <c r="H65">
        <v>0.91616900000000001</v>
      </c>
      <c r="I65" t="s">
        <v>26</v>
      </c>
      <c r="J65">
        <v>1.745E-3</v>
      </c>
      <c r="K65" t="s">
        <v>27</v>
      </c>
      <c r="L65">
        <v>2.7497000000000001E-2</v>
      </c>
      <c r="M65" t="s">
        <v>28</v>
      </c>
      <c r="N65">
        <v>1.9602000000000001E-2</v>
      </c>
      <c r="O65" t="s">
        <v>29</v>
      </c>
      <c r="P65">
        <v>4.4977999999999997E-2</v>
      </c>
      <c r="Q65" t="s">
        <v>30</v>
      </c>
      <c r="R65">
        <v>-1.3616999999999999</v>
      </c>
      <c r="S65" t="s">
        <v>31</v>
      </c>
      <c r="T65">
        <v>0.59869000000000006</v>
      </c>
      <c r="U65" t="s">
        <v>32</v>
      </c>
      <c r="V65">
        <v>7.4757000000000004E-2</v>
      </c>
      <c r="W65" t="s">
        <v>33</v>
      </c>
      <c r="X65">
        <v>0.15953400000000001</v>
      </c>
      <c r="Y65" t="s">
        <v>34</v>
      </c>
      <c r="Z65">
        <v>0.104183</v>
      </c>
      <c r="AA65" t="s">
        <v>35</v>
      </c>
      <c r="AB65">
        <v>0.18767700000000001</v>
      </c>
      <c r="AC65" t="s">
        <v>36</v>
      </c>
      <c r="AD65">
        <v>0.29352200000000001</v>
      </c>
      <c r="AE65" t="s">
        <v>37</v>
      </c>
      <c r="AF65">
        <v>0.26155299999999998</v>
      </c>
      <c r="AG65" t="s">
        <v>38</v>
      </c>
      <c r="AH65">
        <v>0.89108500000000002</v>
      </c>
      <c r="AI65" t="s">
        <v>39</v>
      </c>
      <c r="AJ65">
        <v>0.71810099999999999</v>
      </c>
      <c r="AK65" t="s">
        <v>40</v>
      </c>
      <c r="AL65">
        <v>0.78449100000000005</v>
      </c>
      <c r="AM65" t="s">
        <v>41</v>
      </c>
      <c r="AN65">
        <v>8.4652879999999993</v>
      </c>
      <c r="AO65" t="s">
        <v>42</v>
      </c>
      <c r="AP65">
        <v>5.5959779999999997</v>
      </c>
    </row>
    <row r="66" spans="1:42" x14ac:dyDescent="0.3">
      <c r="A66" t="s">
        <v>22</v>
      </c>
      <c r="B66">
        <v>0.66</v>
      </c>
      <c r="C66" t="s">
        <v>23</v>
      </c>
      <c r="D66">
        <v>1.02112</v>
      </c>
      <c r="E66" t="s">
        <v>24</v>
      </c>
      <c r="F66">
        <v>1.282788</v>
      </c>
      <c r="G66" t="s">
        <v>25</v>
      </c>
      <c r="H66">
        <v>0.91616900000000001</v>
      </c>
      <c r="I66" t="s">
        <v>26</v>
      </c>
      <c r="J66">
        <v>1.722E-3</v>
      </c>
      <c r="K66" t="s">
        <v>27</v>
      </c>
      <c r="L66">
        <v>2.7449000000000001E-2</v>
      </c>
      <c r="M66" t="s">
        <v>28</v>
      </c>
      <c r="N66">
        <v>1.9602000000000001E-2</v>
      </c>
      <c r="O66" t="s">
        <v>29</v>
      </c>
      <c r="P66">
        <v>4.0899999999999999E-2</v>
      </c>
      <c r="Q66" t="s">
        <v>30</v>
      </c>
      <c r="R66">
        <v>-1.349809</v>
      </c>
      <c r="S66" t="s">
        <v>31</v>
      </c>
      <c r="T66">
        <v>0.59869000000000006</v>
      </c>
      <c r="U66" t="s">
        <v>32</v>
      </c>
      <c r="V66">
        <v>7.4358999999999995E-2</v>
      </c>
      <c r="W66" t="s">
        <v>33</v>
      </c>
      <c r="X66">
        <v>0.159466</v>
      </c>
      <c r="Y66" t="s">
        <v>34</v>
      </c>
      <c r="Z66">
        <v>0.104183</v>
      </c>
      <c r="AA66" t="s">
        <v>35</v>
      </c>
      <c r="AB66">
        <v>0.18667900000000001</v>
      </c>
      <c r="AC66" t="s">
        <v>36</v>
      </c>
      <c r="AD66">
        <v>0.29315600000000003</v>
      </c>
      <c r="AE66" t="s">
        <v>37</v>
      </c>
      <c r="AF66">
        <v>0.26155299999999998</v>
      </c>
      <c r="AG66" t="s">
        <v>38</v>
      </c>
      <c r="AH66">
        <v>0.89219700000000002</v>
      </c>
      <c r="AI66" t="s">
        <v>39</v>
      </c>
      <c r="AJ66">
        <v>0.71894000000000002</v>
      </c>
      <c r="AK66" t="s">
        <v>40</v>
      </c>
      <c r="AL66">
        <v>0.78449100000000005</v>
      </c>
      <c r="AM66" t="s">
        <v>41</v>
      </c>
      <c r="AN66">
        <v>8.5955239999999993</v>
      </c>
      <c r="AO66" t="s">
        <v>42</v>
      </c>
      <c r="AP66">
        <v>5.6679149999999998</v>
      </c>
    </row>
    <row r="67" spans="1:42" x14ac:dyDescent="0.3">
      <c r="A67" t="s">
        <v>22</v>
      </c>
      <c r="B67">
        <v>0.67</v>
      </c>
      <c r="C67" t="s">
        <v>23</v>
      </c>
      <c r="D67">
        <v>1.021868</v>
      </c>
      <c r="E67" t="s">
        <v>24</v>
      </c>
      <c r="F67">
        <v>1.280572</v>
      </c>
      <c r="G67" t="s">
        <v>25</v>
      </c>
      <c r="H67">
        <v>0.91616900000000001</v>
      </c>
      <c r="I67" t="s">
        <v>26</v>
      </c>
      <c r="J67">
        <v>1.6999999999999999E-3</v>
      </c>
      <c r="K67" t="s">
        <v>27</v>
      </c>
      <c r="L67">
        <v>2.7401999999999999E-2</v>
      </c>
      <c r="M67" t="s">
        <v>28</v>
      </c>
      <c r="N67">
        <v>1.9602000000000001E-2</v>
      </c>
      <c r="O67" t="s">
        <v>29</v>
      </c>
      <c r="P67">
        <v>3.6922999999999997E-2</v>
      </c>
      <c r="Q67" t="s">
        <v>30</v>
      </c>
      <c r="R67">
        <v>-1.338033</v>
      </c>
      <c r="S67" t="s">
        <v>31</v>
      </c>
      <c r="T67">
        <v>0.59869000000000006</v>
      </c>
      <c r="U67" t="s">
        <v>32</v>
      </c>
      <c r="V67">
        <v>7.3964000000000002E-2</v>
      </c>
      <c r="W67" t="s">
        <v>33</v>
      </c>
      <c r="X67">
        <v>0.15939999999999999</v>
      </c>
      <c r="Y67" t="s">
        <v>34</v>
      </c>
      <c r="Z67">
        <v>0.104183</v>
      </c>
      <c r="AA67" t="s">
        <v>35</v>
      </c>
      <c r="AB67">
        <v>0.18568699999999999</v>
      </c>
      <c r="AC67" t="s">
        <v>36</v>
      </c>
      <c r="AD67">
        <v>0.29279500000000003</v>
      </c>
      <c r="AE67" t="s">
        <v>37</v>
      </c>
      <c r="AF67">
        <v>0.26155299999999998</v>
      </c>
      <c r="AG67" t="s">
        <v>38</v>
      </c>
      <c r="AH67">
        <v>0.89329599999999998</v>
      </c>
      <c r="AI67" t="s">
        <v>39</v>
      </c>
      <c r="AJ67">
        <v>0.71976700000000005</v>
      </c>
      <c r="AK67" t="s">
        <v>40</v>
      </c>
      <c r="AL67">
        <v>0.78449100000000005</v>
      </c>
      <c r="AM67" t="s">
        <v>41</v>
      </c>
      <c r="AN67">
        <v>8.725759</v>
      </c>
      <c r="AO67" t="s">
        <v>42</v>
      </c>
      <c r="AP67">
        <v>5.739649</v>
      </c>
    </row>
    <row r="68" spans="1:42" x14ac:dyDescent="0.3">
      <c r="A68" t="s">
        <v>22</v>
      </c>
      <c r="B68">
        <v>0.68</v>
      </c>
      <c r="C68" t="s">
        <v>23</v>
      </c>
      <c r="D68">
        <v>1.022597</v>
      </c>
      <c r="E68" t="s">
        <v>24</v>
      </c>
      <c r="F68">
        <v>1.278378</v>
      </c>
      <c r="G68" t="s">
        <v>25</v>
      </c>
      <c r="H68">
        <v>0.91616900000000001</v>
      </c>
      <c r="I68" t="s">
        <v>26</v>
      </c>
      <c r="J68">
        <v>1.6789999999999999E-3</v>
      </c>
      <c r="K68" t="s">
        <v>27</v>
      </c>
      <c r="L68">
        <v>2.7355000000000001E-2</v>
      </c>
      <c r="M68" t="s">
        <v>28</v>
      </c>
      <c r="N68">
        <v>1.9602000000000001E-2</v>
      </c>
      <c r="O68" t="s">
        <v>29</v>
      </c>
      <c r="P68">
        <v>3.3047E-2</v>
      </c>
      <c r="Q68" t="s">
        <v>30</v>
      </c>
      <c r="R68">
        <v>-1.32637</v>
      </c>
      <c r="S68" t="s">
        <v>31</v>
      </c>
      <c r="T68">
        <v>0.59869000000000006</v>
      </c>
      <c r="U68" t="s">
        <v>32</v>
      </c>
      <c r="V68">
        <v>7.3570999999999998E-2</v>
      </c>
      <c r="W68" t="s">
        <v>33</v>
      </c>
      <c r="X68">
        <v>0.15933600000000001</v>
      </c>
      <c r="Y68" t="s">
        <v>34</v>
      </c>
      <c r="Z68">
        <v>0.104183</v>
      </c>
      <c r="AA68" t="s">
        <v>35</v>
      </c>
      <c r="AB68">
        <v>0.184701</v>
      </c>
      <c r="AC68" t="s">
        <v>36</v>
      </c>
      <c r="AD68">
        <v>0.29243999999999998</v>
      </c>
      <c r="AE68" t="s">
        <v>37</v>
      </c>
      <c r="AF68">
        <v>0.26155299999999998</v>
      </c>
      <c r="AG68" t="s">
        <v>38</v>
      </c>
      <c r="AH68">
        <v>0.89438200000000001</v>
      </c>
      <c r="AI68" t="s">
        <v>39</v>
      </c>
      <c r="AJ68">
        <v>0.72057800000000005</v>
      </c>
      <c r="AK68" t="s">
        <v>40</v>
      </c>
      <c r="AL68">
        <v>0.78449100000000005</v>
      </c>
      <c r="AM68" t="s">
        <v>41</v>
      </c>
      <c r="AN68">
        <v>8.8559940000000008</v>
      </c>
      <c r="AO68" t="s">
        <v>42</v>
      </c>
      <c r="AP68">
        <v>5.8111839999999999</v>
      </c>
    </row>
    <row r="69" spans="1:42" x14ac:dyDescent="0.3">
      <c r="A69" t="s">
        <v>22</v>
      </c>
      <c r="B69">
        <v>0.69</v>
      </c>
      <c r="C69" t="s">
        <v>23</v>
      </c>
      <c r="D69">
        <v>1.023309</v>
      </c>
      <c r="E69" t="s">
        <v>24</v>
      </c>
      <c r="F69">
        <v>1.2762039999999999</v>
      </c>
      <c r="G69" t="s">
        <v>25</v>
      </c>
      <c r="H69">
        <v>0.91616900000000001</v>
      </c>
      <c r="I69" t="s">
        <v>26</v>
      </c>
      <c r="J69">
        <v>1.658E-3</v>
      </c>
      <c r="K69" t="s">
        <v>27</v>
      </c>
      <c r="L69">
        <v>2.7307999999999999E-2</v>
      </c>
      <c r="M69" t="s">
        <v>28</v>
      </c>
      <c r="N69">
        <v>1.9602000000000001E-2</v>
      </c>
      <c r="O69" t="s">
        <v>29</v>
      </c>
      <c r="P69">
        <v>2.9267000000000001E-2</v>
      </c>
      <c r="Q69" t="s">
        <v>30</v>
      </c>
      <c r="R69">
        <v>-1.314819</v>
      </c>
      <c r="S69" t="s">
        <v>31</v>
      </c>
      <c r="T69">
        <v>0.59869000000000006</v>
      </c>
      <c r="U69" t="s">
        <v>32</v>
      </c>
      <c r="V69">
        <v>7.3179999999999995E-2</v>
      </c>
      <c r="W69" t="s">
        <v>33</v>
      </c>
      <c r="X69">
        <v>0.159274</v>
      </c>
      <c r="Y69" t="s">
        <v>34</v>
      </c>
      <c r="Z69">
        <v>0.104183</v>
      </c>
      <c r="AA69" t="s">
        <v>35</v>
      </c>
      <c r="AB69">
        <v>0.18371999999999999</v>
      </c>
      <c r="AC69" t="s">
        <v>36</v>
      </c>
      <c r="AD69">
        <v>0.29209000000000002</v>
      </c>
      <c r="AE69" t="s">
        <v>37</v>
      </c>
      <c r="AF69">
        <v>0.26155299999999998</v>
      </c>
      <c r="AG69" t="s">
        <v>38</v>
      </c>
      <c r="AH69">
        <v>0.89545399999999997</v>
      </c>
      <c r="AI69" t="s">
        <v>39</v>
      </c>
      <c r="AJ69">
        <v>0.72137600000000002</v>
      </c>
      <c r="AK69" t="s">
        <v>40</v>
      </c>
      <c r="AL69">
        <v>0.78449100000000005</v>
      </c>
      <c r="AM69" t="s">
        <v>41</v>
      </c>
      <c r="AN69">
        <v>8.9862289999999998</v>
      </c>
      <c r="AO69" t="s">
        <v>42</v>
      </c>
      <c r="AP69">
        <v>5.8825269999999996</v>
      </c>
    </row>
    <row r="70" spans="1:42" x14ac:dyDescent="0.3">
      <c r="A70" t="s">
        <v>22</v>
      </c>
      <c r="B70">
        <v>0.7</v>
      </c>
      <c r="C70" t="s">
        <v>23</v>
      </c>
      <c r="D70">
        <v>1.0240020000000001</v>
      </c>
      <c r="E70" t="s">
        <v>24</v>
      </c>
      <c r="F70">
        <v>1.274052</v>
      </c>
      <c r="G70" t="s">
        <v>25</v>
      </c>
      <c r="H70">
        <v>0.91616900000000001</v>
      </c>
      <c r="I70" t="s">
        <v>26</v>
      </c>
      <c r="J70">
        <v>1.637E-3</v>
      </c>
      <c r="K70" t="s">
        <v>27</v>
      </c>
      <c r="L70">
        <v>2.7262000000000002E-2</v>
      </c>
      <c r="M70" t="s">
        <v>28</v>
      </c>
      <c r="N70">
        <v>1.9602000000000001E-2</v>
      </c>
      <c r="O70" t="s">
        <v>29</v>
      </c>
      <c r="P70">
        <v>2.5583000000000002E-2</v>
      </c>
      <c r="Q70" t="s">
        <v>30</v>
      </c>
      <c r="R70">
        <v>-1.3033790000000001</v>
      </c>
      <c r="S70" t="s">
        <v>31</v>
      </c>
      <c r="T70">
        <v>0.59869000000000006</v>
      </c>
      <c r="U70" t="s">
        <v>32</v>
      </c>
      <c r="V70">
        <v>7.2791999999999996E-2</v>
      </c>
      <c r="W70" t="s">
        <v>33</v>
      </c>
      <c r="X70">
        <v>0.15921399999999999</v>
      </c>
      <c r="Y70" t="s">
        <v>34</v>
      </c>
      <c r="Z70">
        <v>0.104183</v>
      </c>
      <c r="AA70" t="s">
        <v>35</v>
      </c>
      <c r="AB70">
        <v>0.18274499999999999</v>
      </c>
      <c r="AC70" t="s">
        <v>36</v>
      </c>
      <c r="AD70">
        <v>0.29174499999999998</v>
      </c>
      <c r="AE70" t="s">
        <v>37</v>
      </c>
      <c r="AF70">
        <v>0.26155299999999998</v>
      </c>
      <c r="AG70" t="s">
        <v>38</v>
      </c>
      <c r="AH70">
        <v>0.89651400000000003</v>
      </c>
      <c r="AI70" t="s">
        <v>39</v>
      </c>
      <c r="AJ70">
        <v>0.72216100000000005</v>
      </c>
      <c r="AK70" t="s">
        <v>40</v>
      </c>
      <c r="AL70">
        <v>0.78449100000000005</v>
      </c>
      <c r="AM70" t="s">
        <v>41</v>
      </c>
      <c r="AN70">
        <v>9.1164649999999998</v>
      </c>
      <c r="AO70" t="s">
        <v>42</v>
      </c>
      <c r="AP70">
        <v>5.9536819999999997</v>
      </c>
    </row>
    <row r="71" spans="1:42" x14ac:dyDescent="0.3">
      <c r="A71" t="s">
        <v>22</v>
      </c>
      <c r="B71">
        <v>0.71</v>
      </c>
      <c r="C71" t="s">
        <v>23</v>
      </c>
      <c r="D71">
        <v>1.0246770000000001</v>
      </c>
      <c r="E71" t="s">
        <v>24</v>
      </c>
      <c r="F71">
        <v>1.2719199999999999</v>
      </c>
      <c r="G71" t="s">
        <v>25</v>
      </c>
      <c r="H71">
        <v>0.91616900000000001</v>
      </c>
      <c r="I71" t="s">
        <v>26</v>
      </c>
      <c r="J71">
        <v>1.6169999999999999E-3</v>
      </c>
      <c r="K71" t="s">
        <v>27</v>
      </c>
      <c r="L71">
        <v>2.7217000000000002E-2</v>
      </c>
      <c r="M71" t="s">
        <v>28</v>
      </c>
      <c r="N71">
        <v>1.9602000000000001E-2</v>
      </c>
      <c r="O71" t="s">
        <v>29</v>
      </c>
      <c r="P71">
        <v>2.1995000000000001E-2</v>
      </c>
      <c r="Q71" t="s">
        <v>30</v>
      </c>
      <c r="R71">
        <v>-1.2920480000000001</v>
      </c>
      <c r="S71" t="s">
        <v>31</v>
      </c>
      <c r="T71">
        <v>0.59869000000000006</v>
      </c>
      <c r="U71" t="s">
        <v>32</v>
      </c>
      <c r="V71">
        <v>7.2405999999999998E-2</v>
      </c>
      <c r="W71" t="s">
        <v>33</v>
      </c>
      <c r="X71">
        <v>0.15915699999999999</v>
      </c>
      <c r="Y71" t="s">
        <v>34</v>
      </c>
      <c r="Z71">
        <v>0.104183</v>
      </c>
      <c r="AA71" t="s">
        <v>35</v>
      </c>
      <c r="AB71">
        <v>0.18177599999999999</v>
      </c>
      <c r="AC71" t="s">
        <v>36</v>
      </c>
      <c r="AD71">
        <v>0.29140500000000003</v>
      </c>
      <c r="AE71" t="s">
        <v>37</v>
      </c>
      <c r="AF71">
        <v>0.26155299999999998</v>
      </c>
      <c r="AG71" t="s">
        <v>38</v>
      </c>
      <c r="AH71">
        <v>0.89756100000000005</v>
      </c>
      <c r="AI71" t="s">
        <v>39</v>
      </c>
      <c r="AJ71">
        <v>0.72293300000000005</v>
      </c>
      <c r="AK71" t="s">
        <v>40</v>
      </c>
      <c r="AL71">
        <v>0.78449100000000005</v>
      </c>
      <c r="AM71" t="s">
        <v>41</v>
      </c>
      <c r="AN71">
        <v>9.2466989999999996</v>
      </c>
      <c r="AO71" t="s">
        <v>42</v>
      </c>
      <c r="AP71">
        <v>6.0246570000000004</v>
      </c>
    </row>
    <row r="72" spans="1:42" x14ac:dyDescent="0.3">
      <c r="A72" t="s">
        <v>22</v>
      </c>
      <c r="B72">
        <v>0.72</v>
      </c>
      <c r="C72" t="s">
        <v>23</v>
      </c>
      <c r="D72">
        <v>1.0253350000000001</v>
      </c>
      <c r="E72" t="s">
        <v>24</v>
      </c>
      <c r="F72">
        <v>1.269808</v>
      </c>
      <c r="G72" t="s">
        <v>25</v>
      </c>
      <c r="H72">
        <v>0.91616900000000001</v>
      </c>
      <c r="I72" t="s">
        <v>26</v>
      </c>
      <c r="J72">
        <v>1.5969999999999999E-3</v>
      </c>
      <c r="K72" t="s">
        <v>27</v>
      </c>
      <c r="L72">
        <v>2.7171000000000001E-2</v>
      </c>
      <c r="M72" t="s">
        <v>28</v>
      </c>
      <c r="N72">
        <v>1.9602000000000001E-2</v>
      </c>
      <c r="O72" t="s">
        <v>29</v>
      </c>
      <c r="P72">
        <v>1.8497E-2</v>
      </c>
      <c r="Q72" t="s">
        <v>30</v>
      </c>
      <c r="R72">
        <v>-1.2808250000000001</v>
      </c>
      <c r="S72" t="s">
        <v>31</v>
      </c>
      <c r="T72">
        <v>0.59869000000000006</v>
      </c>
      <c r="U72" t="s">
        <v>32</v>
      </c>
      <c r="V72">
        <v>7.2022000000000003E-2</v>
      </c>
      <c r="W72" t="s">
        <v>33</v>
      </c>
      <c r="X72">
        <v>0.15910099999999999</v>
      </c>
      <c r="Y72" t="s">
        <v>34</v>
      </c>
      <c r="Z72">
        <v>0.104183</v>
      </c>
      <c r="AA72" t="s">
        <v>35</v>
      </c>
      <c r="AB72">
        <v>0.180813</v>
      </c>
      <c r="AC72" t="s">
        <v>36</v>
      </c>
      <c r="AD72">
        <v>0.29106900000000002</v>
      </c>
      <c r="AE72" t="s">
        <v>37</v>
      </c>
      <c r="AF72">
        <v>0.26155299999999998</v>
      </c>
      <c r="AG72" t="s">
        <v>38</v>
      </c>
      <c r="AH72">
        <v>0.89859500000000003</v>
      </c>
      <c r="AI72" t="s">
        <v>39</v>
      </c>
      <c r="AJ72">
        <v>0.723692</v>
      </c>
      <c r="AK72" t="s">
        <v>40</v>
      </c>
      <c r="AL72">
        <v>0.78449100000000005</v>
      </c>
      <c r="AM72" t="s">
        <v>41</v>
      </c>
      <c r="AN72">
        <v>9.3769349999999996</v>
      </c>
      <c r="AO72" t="s">
        <v>42</v>
      </c>
      <c r="AP72">
        <v>6.0954550000000003</v>
      </c>
    </row>
    <row r="73" spans="1:42" x14ac:dyDescent="0.3">
      <c r="A73" t="s">
        <v>22</v>
      </c>
      <c r="B73">
        <v>0.73</v>
      </c>
      <c r="C73" t="s">
        <v>23</v>
      </c>
      <c r="D73">
        <v>1.025976</v>
      </c>
      <c r="E73" t="s">
        <v>24</v>
      </c>
      <c r="F73">
        <v>1.267717</v>
      </c>
      <c r="G73" t="s">
        <v>25</v>
      </c>
      <c r="H73">
        <v>0.91616900000000001</v>
      </c>
      <c r="I73" t="s">
        <v>26</v>
      </c>
      <c r="J73">
        <v>1.578E-3</v>
      </c>
      <c r="K73" t="s">
        <v>27</v>
      </c>
      <c r="L73">
        <v>2.7126999999999998E-2</v>
      </c>
      <c r="M73" t="s">
        <v>28</v>
      </c>
      <c r="N73">
        <v>1.9602000000000001E-2</v>
      </c>
      <c r="O73" t="s">
        <v>29</v>
      </c>
      <c r="P73">
        <v>1.5089999999999999E-2</v>
      </c>
      <c r="Q73" t="s">
        <v>30</v>
      </c>
      <c r="R73">
        <v>-1.2697099999999999</v>
      </c>
      <c r="S73" t="s">
        <v>31</v>
      </c>
      <c r="T73">
        <v>0.59869000000000006</v>
      </c>
      <c r="U73" t="s">
        <v>32</v>
      </c>
      <c r="V73">
        <v>7.1640999999999996E-2</v>
      </c>
      <c r="W73" t="s">
        <v>33</v>
      </c>
      <c r="X73">
        <v>0.15904799999999999</v>
      </c>
      <c r="Y73" t="s">
        <v>34</v>
      </c>
      <c r="Z73">
        <v>0.104183</v>
      </c>
      <c r="AA73" t="s">
        <v>35</v>
      </c>
      <c r="AB73">
        <v>0.17985599999999999</v>
      </c>
      <c r="AC73" t="s">
        <v>36</v>
      </c>
      <c r="AD73">
        <v>0.290738</v>
      </c>
      <c r="AE73" t="s">
        <v>37</v>
      </c>
      <c r="AF73">
        <v>0.26155299999999998</v>
      </c>
      <c r="AG73" t="s">
        <v>38</v>
      </c>
      <c r="AH73">
        <v>0.899617</v>
      </c>
      <c r="AI73" t="s">
        <v>39</v>
      </c>
      <c r="AJ73">
        <v>0.72443900000000006</v>
      </c>
      <c r="AK73" t="s">
        <v>40</v>
      </c>
      <c r="AL73">
        <v>0.78449100000000005</v>
      </c>
      <c r="AM73" t="s">
        <v>41</v>
      </c>
      <c r="AN73">
        <v>9.5071700000000003</v>
      </c>
      <c r="AO73" t="s">
        <v>42</v>
      </c>
      <c r="AP73">
        <v>6.1660820000000003</v>
      </c>
    </row>
    <row r="74" spans="1:42" x14ac:dyDescent="0.3">
      <c r="A74" t="s">
        <v>22</v>
      </c>
      <c r="B74">
        <v>0.74</v>
      </c>
      <c r="C74" t="s">
        <v>23</v>
      </c>
      <c r="D74">
        <v>1.0266</v>
      </c>
      <c r="E74" t="s">
        <v>24</v>
      </c>
      <c r="F74">
        <v>1.2656449999999999</v>
      </c>
      <c r="G74" t="s">
        <v>25</v>
      </c>
      <c r="H74">
        <v>0.91616900000000001</v>
      </c>
      <c r="I74" t="s">
        <v>26</v>
      </c>
      <c r="J74">
        <v>1.5590000000000001E-3</v>
      </c>
      <c r="K74" t="s">
        <v>27</v>
      </c>
      <c r="L74">
        <v>2.7081999999999998E-2</v>
      </c>
      <c r="M74" t="s">
        <v>28</v>
      </c>
      <c r="N74">
        <v>1.9602000000000001E-2</v>
      </c>
      <c r="O74" t="s">
        <v>29</v>
      </c>
      <c r="P74">
        <v>1.1776999999999999E-2</v>
      </c>
      <c r="Q74" t="s">
        <v>30</v>
      </c>
      <c r="R74">
        <v>-1.2586999999999999</v>
      </c>
      <c r="S74" t="s">
        <v>31</v>
      </c>
      <c r="T74">
        <v>0.59869000000000006</v>
      </c>
      <c r="U74" t="s">
        <v>32</v>
      </c>
      <c r="V74">
        <v>7.1262000000000006E-2</v>
      </c>
      <c r="W74" t="s">
        <v>33</v>
      </c>
      <c r="X74">
        <v>0.158996</v>
      </c>
      <c r="Y74" t="s">
        <v>34</v>
      </c>
      <c r="Z74">
        <v>0.104183</v>
      </c>
      <c r="AA74" t="s">
        <v>35</v>
      </c>
      <c r="AB74">
        <v>0.17890600000000001</v>
      </c>
      <c r="AC74" t="s">
        <v>36</v>
      </c>
      <c r="AD74">
        <v>0.29041299999999998</v>
      </c>
      <c r="AE74" t="s">
        <v>37</v>
      </c>
      <c r="AF74">
        <v>0.26155299999999998</v>
      </c>
      <c r="AG74" t="s">
        <v>38</v>
      </c>
      <c r="AH74">
        <v>0.90062600000000004</v>
      </c>
      <c r="AI74" t="s">
        <v>39</v>
      </c>
      <c r="AJ74">
        <v>0.72517299999999996</v>
      </c>
      <c r="AK74" t="s">
        <v>40</v>
      </c>
      <c r="AL74">
        <v>0.78449100000000005</v>
      </c>
      <c r="AM74" t="s">
        <v>41</v>
      </c>
      <c r="AN74">
        <v>9.6374049999999993</v>
      </c>
      <c r="AO74" t="s">
        <v>42</v>
      </c>
      <c r="AP74">
        <v>6.2365430000000002</v>
      </c>
    </row>
    <row r="75" spans="1:42" x14ac:dyDescent="0.3">
      <c r="A75" t="s">
        <v>22</v>
      </c>
      <c r="B75">
        <v>0.75</v>
      </c>
      <c r="C75" t="s">
        <v>23</v>
      </c>
      <c r="D75">
        <v>1.027207</v>
      </c>
      <c r="E75" t="s">
        <v>24</v>
      </c>
      <c r="F75">
        <v>1.2635940000000001</v>
      </c>
      <c r="G75" t="s">
        <v>25</v>
      </c>
      <c r="H75">
        <v>0.91616900000000001</v>
      </c>
      <c r="I75" t="s">
        <v>26</v>
      </c>
      <c r="J75">
        <v>1.5399999999999999E-3</v>
      </c>
      <c r="K75" t="s">
        <v>27</v>
      </c>
      <c r="L75">
        <v>2.7038E-2</v>
      </c>
      <c r="M75" t="s">
        <v>28</v>
      </c>
      <c r="N75">
        <v>1.9602000000000001E-2</v>
      </c>
      <c r="O75" t="s">
        <v>29</v>
      </c>
      <c r="P75">
        <v>8.5500000000000003E-3</v>
      </c>
      <c r="Q75" t="s">
        <v>30</v>
      </c>
      <c r="R75">
        <v>-1.2477959999999999</v>
      </c>
      <c r="S75" t="s">
        <v>31</v>
      </c>
      <c r="T75">
        <v>0.59869000000000006</v>
      </c>
      <c r="U75" t="s">
        <v>32</v>
      </c>
      <c r="V75">
        <v>7.0886000000000005E-2</v>
      </c>
      <c r="W75" t="s">
        <v>33</v>
      </c>
      <c r="X75">
        <v>0.158947</v>
      </c>
      <c r="Y75" t="s">
        <v>34</v>
      </c>
      <c r="Z75">
        <v>0.104183</v>
      </c>
      <c r="AA75" t="s">
        <v>35</v>
      </c>
      <c r="AB75">
        <v>0.17796000000000001</v>
      </c>
      <c r="AC75" t="s">
        <v>36</v>
      </c>
      <c r="AD75">
        <v>0.29009099999999999</v>
      </c>
      <c r="AE75" t="s">
        <v>37</v>
      </c>
      <c r="AF75">
        <v>0.26155299999999998</v>
      </c>
      <c r="AG75" t="s">
        <v>38</v>
      </c>
      <c r="AH75">
        <v>0.90162399999999998</v>
      </c>
      <c r="AI75" t="s">
        <v>39</v>
      </c>
      <c r="AJ75">
        <v>0.72589599999999999</v>
      </c>
      <c r="AK75" t="s">
        <v>40</v>
      </c>
      <c r="AL75">
        <v>0.78449100000000005</v>
      </c>
      <c r="AM75" t="s">
        <v>41</v>
      </c>
      <c r="AN75">
        <v>9.7676400000000001</v>
      </c>
      <c r="AO75" t="s">
        <v>42</v>
      </c>
      <c r="AP75">
        <v>6.306845</v>
      </c>
    </row>
    <row r="76" spans="1:42" x14ac:dyDescent="0.3">
      <c r="A76" t="s">
        <v>22</v>
      </c>
      <c r="B76">
        <v>0.76</v>
      </c>
      <c r="C76" t="s">
        <v>23</v>
      </c>
      <c r="D76">
        <v>1.0277970000000001</v>
      </c>
      <c r="E76" t="s">
        <v>24</v>
      </c>
      <c r="F76">
        <v>1.2615609999999999</v>
      </c>
      <c r="G76" t="s">
        <v>25</v>
      </c>
      <c r="H76">
        <v>0.91616900000000001</v>
      </c>
      <c r="I76" t="s">
        <v>26</v>
      </c>
      <c r="J76">
        <v>1.5219999999999999E-3</v>
      </c>
      <c r="K76" t="s">
        <v>27</v>
      </c>
      <c r="L76">
        <v>2.6995000000000002E-2</v>
      </c>
      <c r="M76" t="s">
        <v>28</v>
      </c>
      <c r="N76">
        <v>1.9602000000000001E-2</v>
      </c>
      <c r="O76" t="s">
        <v>29</v>
      </c>
      <c r="P76">
        <v>5.4099999999999999E-3</v>
      </c>
      <c r="Q76" t="s">
        <v>30</v>
      </c>
      <c r="R76">
        <v>-1.2369950000000001</v>
      </c>
      <c r="S76" t="s">
        <v>31</v>
      </c>
      <c r="T76">
        <v>0.59869000000000006</v>
      </c>
      <c r="U76" t="s">
        <v>32</v>
      </c>
      <c r="V76">
        <v>7.0512000000000005E-2</v>
      </c>
      <c r="W76" t="s">
        <v>33</v>
      </c>
      <c r="X76">
        <v>0.15889900000000001</v>
      </c>
      <c r="Y76" t="s">
        <v>34</v>
      </c>
      <c r="Z76">
        <v>0.104183</v>
      </c>
      <c r="AA76" t="s">
        <v>35</v>
      </c>
      <c r="AB76">
        <v>0.17702100000000001</v>
      </c>
      <c r="AC76" t="s">
        <v>36</v>
      </c>
      <c r="AD76">
        <v>0.289775</v>
      </c>
      <c r="AE76" t="s">
        <v>37</v>
      </c>
      <c r="AF76">
        <v>0.26155299999999998</v>
      </c>
      <c r="AG76" t="s">
        <v>38</v>
      </c>
      <c r="AH76">
        <v>0.90260899999999999</v>
      </c>
      <c r="AI76" t="s">
        <v>39</v>
      </c>
      <c r="AJ76">
        <v>0.72660599999999997</v>
      </c>
      <c r="AK76" t="s">
        <v>40</v>
      </c>
      <c r="AL76">
        <v>0.78449100000000005</v>
      </c>
      <c r="AM76" t="s">
        <v>41</v>
      </c>
      <c r="AN76">
        <v>9.8978760000000001</v>
      </c>
      <c r="AO76" t="s">
        <v>42</v>
      </c>
      <c r="AP76">
        <v>6.3769910000000003</v>
      </c>
    </row>
    <row r="77" spans="1:42" x14ac:dyDescent="0.3">
      <c r="A77" t="s">
        <v>22</v>
      </c>
      <c r="B77">
        <v>0.77</v>
      </c>
      <c r="C77" t="s">
        <v>23</v>
      </c>
      <c r="D77">
        <v>1.028373</v>
      </c>
      <c r="E77" t="s">
        <v>24</v>
      </c>
      <c r="F77">
        <v>1.259549</v>
      </c>
      <c r="G77" t="s">
        <v>25</v>
      </c>
      <c r="H77">
        <v>0.91616900000000001</v>
      </c>
      <c r="I77" t="s">
        <v>26</v>
      </c>
      <c r="J77">
        <v>1.5039999999999999E-3</v>
      </c>
      <c r="K77" t="s">
        <v>27</v>
      </c>
      <c r="L77">
        <v>2.6952E-2</v>
      </c>
      <c r="M77" t="s">
        <v>28</v>
      </c>
      <c r="N77">
        <v>1.9602000000000001E-2</v>
      </c>
      <c r="O77" t="s">
        <v>29</v>
      </c>
      <c r="P77">
        <v>2.3540000000000002E-3</v>
      </c>
      <c r="Q77" t="s">
        <v>30</v>
      </c>
      <c r="R77">
        <v>-1.226297</v>
      </c>
      <c r="S77" t="s">
        <v>31</v>
      </c>
      <c r="T77">
        <v>0.59869000000000006</v>
      </c>
      <c r="U77" t="s">
        <v>32</v>
      </c>
      <c r="V77">
        <v>7.0139999999999994E-2</v>
      </c>
      <c r="W77" t="s">
        <v>33</v>
      </c>
      <c r="X77">
        <v>0.158854</v>
      </c>
      <c r="Y77" t="s">
        <v>34</v>
      </c>
      <c r="Z77">
        <v>0.104183</v>
      </c>
      <c r="AA77" t="s">
        <v>35</v>
      </c>
      <c r="AB77">
        <v>0.17608799999999999</v>
      </c>
      <c r="AC77" t="s">
        <v>36</v>
      </c>
      <c r="AD77">
        <v>0.289462</v>
      </c>
      <c r="AE77" t="s">
        <v>37</v>
      </c>
      <c r="AF77">
        <v>0.26155299999999998</v>
      </c>
      <c r="AG77" t="s">
        <v>38</v>
      </c>
      <c r="AH77">
        <v>0.903582</v>
      </c>
      <c r="AI77" t="s">
        <v>39</v>
      </c>
      <c r="AJ77">
        <v>0.72730600000000001</v>
      </c>
      <c r="AK77" t="s">
        <v>40</v>
      </c>
      <c r="AL77">
        <v>0.78449100000000005</v>
      </c>
      <c r="AM77" t="s">
        <v>41</v>
      </c>
      <c r="AN77">
        <v>10.028111000000001</v>
      </c>
      <c r="AO77" t="s">
        <v>42</v>
      </c>
      <c r="AP77">
        <v>6.4469849999999997</v>
      </c>
    </row>
    <row r="78" spans="1:42" x14ac:dyDescent="0.3">
      <c r="A78" t="s">
        <v>22</v>
      </c>
      <c r="B78">
        <v>0.78</v>
      </c>
      <c r="C78" t="s">
        <v>23</v>
      </c>
      <c r="D78">
        <v>1.028931</v>
      </c>
      <c r="E78" t="s">
        <v>24</v>
      </c>
      <c r="F78">
        <v>1.257555</v>
      </c>
      <c r="G78" t="s">
        <v>25</v>
      </c>
      <c r="H78">
        <v>0.91616900000000001</v>
      </c>
      <c r="I78" t="s">
        <v>26</v>
      </c>
      <c r="J78">
        <v>1.4859999999999999E-3</v>
      </c>
      <c r="K78" t="s">
        <v>27</v>
      </c>
      <c r="L78">
        <v>2.6908999999999999E-2</v>
      </c>
      <c r="M78" t="s">
        <v>28</v>
      </c>
      <c r="N78">
        <v>1.9602000000000001E-2</v>
      </c>
      <c r="O78" t="s">
        <v>29</v>
      </c>
      <c r="P78">
        <v>-6.1499999999999999E-4</v>
      </c>
      <c r="Q78" t="s">
        <v>30</v>
      </c>
      <c r="R78">
        <v>-1.2157</v>
      </c>
      <c r="S78" t="s">
        <v>31</v>
      </c>
      <c r="T78">
        <v>0.59869000000000006</v>
      </c>
      <c r="U78" t="s">
        <v>32</v>
      </c>
      <c r="V78">
        <v>6.9771E-2</v>
      </c>
      <c r="W78" t="s">
        <v>33</v>
      </c>
      <c r="X78">
        <v>0.15881000000000001</v>
      </c>
      <c r="Y78" t="s">
        <v>34</v>
      </c>
      <c r="Z78">
        <v>0.104183</v>
      </c>
      <c r="AA78" t="s">
        <v>35</v>
      </c>
      <c r="AB78">
        <v>0.17516000000000001</v>
      </c>
      <c r="AC78" t="s">
        <v>36</v>
      </c>
      <c r="AD78">
        <v>0.28915400000000002</v>
      </c>
      <c r="AE78" t="s">
        <v>37</v>
      </c>
      <c r="AF78">
        <v>0.26155299999999998</v>
      </c>
      <c r="AG78" t="s">
        <v>38</v>
      </c>
      <c r="AH78">
        <v>0.90454400000000001</v>
      </c>
      <c r="AI78" t="s">
        <v>39</v>
      </c>
      <c r="AJ78">
        <v>0.72799400000000003</v>
      </c>
      <c r="AK78" t="s">
        <v>40</v>
      </c>
      <c r="AL78">
        <v>0.78449100000000005</v>
      </c>
      <c r="AM78" t="s">
        <v>41</v>
      </c>
      <c r="AN78">
        <v>10.158346</v>
      </c>
      <c r="AO78" t="s">
        <v>42</v>
      </c>
      <c r="AP78">
        <v>6.516832</v>
      </c>
    </row>
    <row r="79" spans="1:42" x14ac:dyDescent="0.3">
      <c r="A79" t="s">
        <v>22</v>
      </c>
      <c r="B79">
        <v>0.79</v>
      </c>
      <c r="C79" t="s">
        <v>23</v>
      </c>
      <c r="D79">
        <v>1.029474</v>
      </c>
      <c r="E79" t="s">
        <v>24</v>
      </c>
      <c r="F79">
        <v>1.2555799999999999</v>
      </c>
      <c r="G79" t="s">
        <v>25</v>
      </c>
      <c r="H79">
        <v>0.91616900000000001</v>
      </c>
      <c r="I79" t="s">
        <v>26</v>
      </c>
      <c r="J79">
        <v>1.469E-3</v>
      </c>
      <c r="K79" t="s">
        <v>27</v>
      </c>
      <c r="L79">
        <v>2.6866999999999999E-2</v>
      </c>
      <c r="M79" t="s">
        <v>28</v>
      </c>
      <c r="N79">
        <v>1.9602000000000001E-2</v>
      </c>
      <c r="O79" t="s">
        <v>29</v>
      </c>
      <c r="P79">
        <v>-3.5010000000000002E-3</v>
      </c>
      <c r="Q79" t="s">
        <v>30</v>
      </c>
      <c r="R79">
        <v>-1.2052039999999999</v>
      </c>
      <c r="S79" t="s">
        <v>31</v>
      </c>
      <c r="T79">
        <v>0.59869000000000006</v>
      </c>
      <c r="U79" t="s">
        <v>32</v>
      </c>
      <c r="V79">
        <v>6.9403999999999993E-2</v>
      </c>
      <c r="W79" t="s">
        <v>33</v>
      </c>
      <c r="X79">
        <v>0.15876899999999999</v>
      </c>
      <c r="Y79" t="s">
        <v>34</v>
      </c>
      <c r="Z79">
        <v>0.104183</v>
      </c>
      <c r="AA79" t="s">
        <v>35</v>
      </c>
      <c r="AB79">
        <v>0.174239</v>
      </c>
      <c r="AC79" t="s">
        <v>36</v>
      </c>
      <c r="AD79">
        <v>0.28885100000000002</v>
      </c>
      <c r="AE79" t="s">
        <v>37</v>
      </c>
      <c r="AF79">
        <v>0.26155299999999998</v>
      </c>
      <c r="AG79" t="s">
        <v>38</v>
      </c>
      <c r="AH79">
        <v>0.90549400000000002</v>
      </c>
      <c r="AI79" t="s">
        <v>39</v>
      </c>
      <c r="AJ79">
        <v>0.72867099999999996</v>
      </c>
      <c r="AK79" t="s">
        <v>40</v>
      </c>
      <c r="AL79">
        <v>0.78449100000000005</v>
      </c>
      <c r="AM79" t="s">
        <v>41</v>
      </c>
      <c r="AN79">
        <v>10.288581000000001</v>
      </c>
      <c r="AO79" t="s">
        <v>42</v>
      </c>
      <c r="AP79">
        <v>6.586538</v>
      </c>
    </row>
    <row r="80" spans="1:42" x14ac:dyDescent="0.3">
      <c r="A80" t="s">
        <v>22</v>
      </c>
      <c r="B80">
        <v>0.8</v>
      </c>
      <c r="C80" t="s">
        <v>23</v>
      </c>
      <c r="D80">
        <v>1.0300020000000001</v>
      </c>
      <c r="E80" t="s">
        <v>24</v>
      </c>
      <c r="F80">
        <v>1.2536229999999999</v>
      </c>
      <c r="G80" t="s">
        <v>25</v>
      </c>
      <c r="H80">
        <v>0.91616900000000001</v>
      </c>
      <c r="I80" t="s">
        <v>26</v>
      </c>
      <c r="J80">
        <v>1.4519999999999999E-3</v>
      </c>
      <c r="K80" t="s">
        <v>27</v>
      </c>
      <c r="L80">
        <v>2.6825000000000002E-2</v>
      </c>
      <c r="M80" t="s">
        <v>28</v>
      </c>
      <c r="N80">
        <v>1.9602000000000001E-2</v>
      </c>
      <c r="O80" t="s">
        <v>29</v>
      </c>
      <c r="P80">
        <v>-6.3090000000000004E-3</v>
      </c>
      <c r="Q80" t="s">
        <v>30</v>
      </c>
      <c r="R80">
        <v>-1.194807</v>
      </c>
      <c r="S80" t="s">
        <v>31</v>
      </c>
      <c r="T80">
        <v>0.59869000000000006</v>
      </c>
      <c r="U80" t="s">
        <v>32</v>
      </c>
      <c r="V80">
        <v>6.9039000000000003E-2</v>
      </c>
      <c r="W80" t="s">
        <v>33</v>
      </c>
      <c r="X80">
        <v>0.15872900000000001</v>
      </c>
      <c r="Y80" t="s">
        <v>34</v>
      </c>
      <c r="Z80">
        <v>0.104183</v>
      </c>
      <c r="AA80" t="s">
        <v>35</v>
      </c>
      <c r="AB80">
        <v>0.17332400000000001</v>
      </c>
      <c r="AC80" t="s">
        <v>36</v>
      </c>
      <c r="AD80">
        <v>0.28855199999999998</v>
      </c>
      <c r="AE80" t="s">
        <v>37</v>
      </c>
      <c r="AF80">
        <v>0.26155299999999998</v>
      </c>
      <c r="AG80" t="s">
        <v>38</v>
      </c>
      <c r="AH80">
        <v>0.90643200000000002</v>
      </c>
      <c r="AI80" t="s">
        <v>39</v>
      </c>
      <c r="AJ80">
        <v>0.72933599999999998</v>
      </c>
      <c r="AK80" t="s">
        <v>40</v>
      </c>
      <c r="AL80">
        <v>0.78449100000000005</v>
      </c>
      <c r="AM80" t="s">
        <v>41</v>
      </c>
      <c r="AN80">
        <v>10.418817000000001</v>
      </c>
      <c r="AO80" t="s">
        <v>42</v>
      </c>
      <c r="AP80">
        <v>6.6561060000000003</v>
      </c>
    </row>
    <row r="81" spans="1:42" x14ac:dyDescent="0.3">
      <c r="A81" t="s">
        <v>22</v>
      </c>
      <c r="B81">
        <v>0.81</v>
      </c>
      <c r="C81" t="s">
        <v>23</v>
      </c>
      <c r="D81">
        <v>1.0305150000000001</v>
      </c>
      <c r="E81" t="s">
        <v>24</v>
      </c>
      <c r="F81">
        <v>1.2516860000000001</v>
      </c>
      <c r="G81" t="s">
        <v>25</v>
      </c>
      <c r="H81">
        <v>0.91616900000000001</v>
      </c>
      <c r="I81" t="s">
        <v>26</v>
      </c>
      <c r="J81">
        <v>1.436E-3</v>
      </c>
      <c r="K81" t="s">
        <v>27</v>
      </c>
      <c r="L81">
        <v>2.6783000000000001E-2</v>
      </c>
      <c r="M81" t="s">
        <v>28</v>
      </c>
      <c r="N81">
        <v>1.9602000000000001E-2</v>
      </c>
      <c r="O81" t="s">
        <v>29</v>
      </c>
      <c r="P81">
        <v>-9.0340000000000004E-3</v>
      </c>
      <c r="Q81" t="s">
        <v>30</v>
      </c>
      <c r="R81">
        <v>-1.1845079999999999</v>
      </c>
      <c r="S81" t="s">
        <v>31</v>
      </c>
      <c r="T81">
        <v>0.59869000000000006</v>
      </c>
      <c r="U81" t="s">
        <v>32</v>
      </c>
      <c r="V81">
        <v>6.8677000000000002E-2</v>
      </c>
      <c r="W81" t="s">
        <v>33</v>
      </c>
      <c r="X81">
        <v>0.158691</v>
      </c>
      <c r="Y81" t="s">
        <v>34</v>
      </c>
      <c r="Z81">
        <v>0.104183</v>
      </c>
      <c r="AA81" t="s">
        <v>35</v>
      </c>
      <c r="AB81">
        <v>0.17241400000000001</v>
      </c>
      <c r="AC81" t="s">
        <v>36</v>
      </c>
      <c r="AD81">
        <v>0.28825699999999999</v>
      </c>
      <c r="AE81" t="s">
        <v>37</v>
      </c>
      <c r="AF81">
        <v>0.26155299999999998</v>
      </c>
      <c r="AG81" t="s">
        <v>38</v>
      </c>
      <c r="AH81">
        <v>0.90736000000000006</v>
      </c>
      <c r="AI81" t="s">
        <v>39</v>
      </c>
      <c r="AJ81">
        <v>0.72999199999999997</v>
      </c>
      <c r="AK81" t="s">
        <v>40</v>
      </c>
      <c r="AL81">
        <v>0.78449100000000005</v>
      </c>
      <c r="AM81" t="s">
        <v>41</v>
      </c>
      <c r="AN81">
        <v>10.549051</v>
      </c>
      <c r="AO81" t="s">
        <v>42</v>
      </c>
      <c r="AP81">
        <v>6.7255399999999996</v>
      </c>
    </row>
    <row r="82" spans="1:42" x14ac:dyDescent="0.3">
      <c r="A82" t="s">
        <v>22</v>
      </c>
      <c r="B82">
        <v>0.82</v>
      </c>
      <c r="C82" t="s">
        <v>23</v>
      </c>
      <c r="D82">
        <v>1.031013</v>
      </c>
      <c r="E82" t="s">
        <v>24</v>
      </c>
      <c r="F82">
        <v>1.2497659999999999</v>
      </c>
      <c r="G82" t="s">
        <v>25</v>
      </c>
      <c r="H82">
        <v>0.91616900000000001</v>
      </c>
      <c r="I82" t="s">
        <v>26</v>
      </c>
      <c r="J82">
        <v>1.42E-3</v>
      </c>
      <c r="K82" t="s">
        <v>27</v>
      </c>
      <c r="L82">
        <v>2.6741999999999998E-2</v>
      </c>
      <c r="M82" t="s">
        <v>28</v>
      </c>
      <c r="N82">
        <v>1.9602000000000001E-2</v>
      </c>
      <c r="O82" t="s">
        <v>29</v>
      </c>
      <c r="P82">
        <v>-1.1682E-2</v>
      </c>
      <c r="Q82" t="s">
        <v>30</v>
      </c>
      <c r="R82">
        <v>-1.1743049999999999</v>
      </c>
      <c r="S82" t="s">
        <v>31</v>
      </c>
      <c r="T82">
        <v>0.59869000000000006</v>
      </c>
      <c r="U82" t="s">
        <v>32</v>
      </c>
      <c r="V82">
        <v>6.8317000000000003E-2</v>
      </c>
      <c r="W82" t="s">
        <v>33</v>
      </c>
      <c r="X82">
        <v>0.15865499999999999</v>
      </c>
      <c r="Y82" t="s">
        <v>34</v>
      </c>
      <c r="Z82">
        <v>0.104183</v>
      </c>
      <c r="AA82" t="s">
        <v>35</v>
      </c>
      <c r="AB82">
        <v>0.171511</v>
      </c>
      <c r="AC82" t="s">
        <v>36</v>
      </c>
      <c r="AD82">
        <v>0.28796699999999997</v>
      </c>
      <c r="AE82" t="s">
        <v>37</v>
      </c>
      <c r="AF82">
        <v>0.26155299999999998</v>
      </c>
      <c r="AG82" t="s">
        <v>38</v>
      </c>
      <c r="AH82">
        <v>0.90827599999999997</v>
      </c>
      <c r="AI82" t="s">
        <v>39</v>
      </c>
      <c r="AJ82">
        <v>0.73063599999999995</v>
      </c>
      <c r="AK82" t="s">
        <v>40</v>
      </c>
      <c r="AL82">
        <v>0.78449100000000005</v>
      </c>
      <c r="AM82" t="s">
        <v>41</v>
      </c>
      <c r="AN82">
        <v>10.679287</v>
      </c>
      <c r="AO82" t="s">
        <v>42</v>
      </c>
      <c r="AP82">
        <v>6.7948449999999996</v>
      </c>
    </row>
    <row r="83" spans="1:42" x14ac:dyDescent="0.3">
      <c r="A83" t="s">
        <v>22</v>
      </c>
      <c r="B83">
        <v>0.83</v>
      </c>
      <c r="C83" t="s">
        <v>23</v>
      </c>
      <c r="D83">
        <v>1.0314970000000001</v>
      </c>
      <c r="E83" t="s">
        <v>24</v>
      </c>
      <c r="F83">
        <v>1.2478640000000001</v>
      </c>
      <c r="G83" t="s">
        <v>25</v>
      </c>
      <c r="H83">
        <v>0.91616900000000001</v>
      </c>
      <c r="I83" t="s">
        <v>26</v>
      </c>
      <c r="J83">
        <v>1.4040000000000001E-3</v>
      </c>
      <c r="K83" t="s">
        <v>27</v>
      </c>
      <c r="L83">
        <v>2.6702E-2</v>
      </c>
      <c r="M83" t="s">
        <v>28</v>
      </c>
      <c r="N83">
        <v>1.9602000000000001E-2</v>
      </c>
      <c r="O83" t="s">
        <v>29</v>
      </c>
      <c r="P83">
        <v>-1.4253E-2</v>
      </c>
      <c r="Q83" t="s">
        <v>30</v>
      </c>
      <c r="R83">
        <v>-1.164199</v>
      </c>
      <c r="S83" t="s">
        <v>31</v>
      </c>
      <c r="T83">
        <v>0.59869000000000006</v>
      </c>
      <c r="U83" t="s">
        <v>32</v>
      </c>
      <c r="V83">
        <v>6.7959000000000006E-2</v>
      </c>
      <c r="W83" t="s">
        <v>33</v>
      </c>
      <c r="X83">
        <v>0.15862100000000001</v>
      </c>
      <c r="Y83" t="s">
        <v>34</v>
      </c>
      <c r="Z83">
        <v>0.104183</v>
      </c>
      <c r="AA83" t="s">
        <v>35</v>
      </c>
      <c r="AB83">
        <v>0.17061299999999999</v>
      </c>
      <c r="AC83" t="s">
        <v>36</v>
      </c>
      <c r="AD83">
        <v>0.28767999999999999</v>
      </c>
      <c r="AE83" t="s">
        <v>37</v>
      </c>
      <c r="AF83">
        <v>0.26155299999999998</v>
      </c>
      <c r="AG83" t="s">
        <v>38</v>
      </c>
      <c r="AH83">
        <v>0.90918100000000002</v>
      </c>
      <c r="AI83" t="s">
        <v>39</v>
      </c>
      <c r="AJ83">
        <v>0.731271</v>
      </c>
      <c r="AK83" t="s">
        <v>40</v>
      </c>
      <c r="AL83">
        <v>0.78449100000000005</v>
      </c>
      <c r="AM83" t="s">
        <v>41</v>
      </c>
      <c r="AN83">
        <v>10.809521999999999</v>
      </c>
      <c r="AO83" t="s">
        <v>42</v>
      </c>
      <c r="AP83">
        <v>6.8640239999999997</v>
      </c>
    </row>
    <row r="84" spans="1:42" x14ac:dyDescent="0.3">
      <c r="A84" t="s">
        <v>22</v>
      </c>
      <c r="B84">
        <v>0.83999900000000005</v>
      </c>
      <c r="C84" t="s">
        <v>23</v>
      </c>
      <c r="D84">
        <v>1.0319670000000001</v>
      </c>
      <c r="E84" t="s">
        <v>24</v>
      </c>
      <c r="F84">
        <v>1.245981</v>
      </c>
      <c r="G84" t="s">
        <v>25</v>
      </c>
      <c r="H84">
        <v>0.91616900000000001</v>
      </c>
      <c r="I84" t="s">
        <v>26</v>
      </c>
      <c r="J84">
        <v>1.3879999999999999E-3</v>
      </c>
      <c r="K84" t="s">
        <v>27</v>
      </c>
      <c r="L84">
        <v>2.6661000000000001E-2</v>
      </c>
      <c r="M84" t="s">
        <v>28</v>
      </c>
      <c r="N84">
        <v>1.9602000000000001E-2</v>
      </c>
      <c r="O84" t="s">
        <v>29</v>
      </c>
      <c r="P84">
        <v>-1.6747999999999999E-2</v>
      </c>
      <c r="Q84" t="s">
        <v>30</v>
      </c>
      <c r="R84">
        <v>-1.154188</v>
      </c>
      <c r="S84" t="s">
        <v>31</v>
      </c>
      <c r="T84">
        <v>0.59869000000000006</v>
      </c>
      <c r="U84" t="s">
        <v>32</v>
      </c>
      <c r="V84">
        <v>6.7603999999999997E-2</v>
      </c>
      <c r="W84" t="s">
        <v>33</v>
      </c>
      <c r="X84">
        <v>0.15858800000000001</v>
      </c>
      <c r="Y84" t="s">
        <v>34</v>
      </c>
      <c r="Z84">
        <v>0.104183</v>
      </c>
      <c r="AA84" t="s">
        <v>35</v>
      </c>
      <c r="AB84">
        <v>0.16972100000000001</v>
      </c>
      <c r="AC84" t="s">
        <v>36</v>
      </c>
      <c r="AD84">
        <v>0.28739700000000001</v>
      </c>
      <c r="AE84" t="s">
        <v>37</v>
      </c>
      <c r="AF84">
        <v>0.26155299999999998</v>
      </c>
      <c r="AG84" t="s">
        <v>38</v>
      </c>
      <c r="AH84">
        <v>0.91007499999999997</v>
      </c>
      <c r="AI84" t="s">
        <v>39</v>
      </c>
      <c r="AJ84">
        <v>0.73189599999999999</v>
      </c>
      <c r="AK84" t="s">
        <v>40</v>
      </c>
      <c r="AL84">
        <v>0.78449100000000005</v>
      </c>
      <c r="AM84" t="s">
        <v>41</v>
      </c>
      <c r="AN84">
        <v>10.939757</v>
      </c>
      <c r="AO84" t="s">
        <v>42</v>
      </c>
      <c r="AP84">
        <v>6.9330809999999996</v>
      </c>
    </row>
    <row r="85" spans="1:42" x14ac:dyDescent="0.3">
      <c r="A85" t="s">
        <v>22</v>
      </c>
      <c r="B85">
        <v>0.84999899999999995</v>
      </c>
      <c r="C85" t="s">
        <v>23</v>
      </c>
      <c r="D85">
        <v>1.032422</v>
      </c>
      <c r="E85" t="s">
        <v>24</v>
      </c>
      <c r="F85">
        <v>1.2441150000000001</v>
      </c>
      <c r="G85" t="s">
        <v>25</v>
      </c>
      <c r="H85">
        <v>0.91616900000000001</v>
      </c>
      <c r="I85" t="s">
        <v>26</v>
      </c>
      <c r="J85">
        <v>1.372E-3</v>
      </c>
      <c r="K85" t="s">
        <v>27</v>
      </c>
      <c r="L85">
        <v>2.6620999999999999E-2</v>
      </c>
      <c r="M85" t="s">
        <v>28</v>
      </c>
      <c r="N85">
        <v>1.9602000000000001E-2</v>
      </c>
      <c r="O85" t="s">
        <v>29</v>
      </c>
      <c r="P85">
        <v>-1.9168999999999999E-2</v>
      </c>
      <c r="Q85" t="s">
        <v>30</v>
      </c>
      <c r="R85">
        <v>-1.144271</v>
      </c>
      <c r="S85" t="s">
        <v>31</v>
      </c>
      <c r="T85">
        <v>0.59869000000000006</v>
      </c>
      <c r="U85" t="s">
        <v>32</v>
      </c>
      <c r="V85">
        <v>6.7251000000000005E-2</v>
      </c>
      <c r="W85" t="s">
        <v>33</v>
      </c>
      <c r="X85">
        <v>0.158558</v>
      </c>
      <c r="Y85" t="s">
        <v>34</v>
      </c>
      <c r="Z85">
        <v>0.104183</v>
      </c>
      <c r="AA85" t="s">
        <v>35</v>
      </c>
      <c r="AB85">
        <v>0.16883500000000001</v>
      </c>
      <c r="AC85" t="s">
        <v>36</v>
      </c>
      <c r="AD85">
        <v>0.28711900000000001</v>
      </c>
      <c r="AE85" t="s">
        <v>37</v>
      </c>
      <c r="AF85">
        <v>0.26155299999999998</v>
      </c>
      <c r="AG85" t="s">
        <v>38</v>
      </c>
      <c r="AH85">
        <v>0.91095800000000005</v>
      </c>
      <c r="AI85" t="s">
        <v>39</v>
      </c>
      <c r="AJ85">
        <v>0.73250999999999999</v>
      </c>
      <c r="AK85" t="s">
        <v>40</v>
      </c>
      <c r="AL85">
        <v>0.78449100000000005</v>
      </c>
      <c r="AM85" t="s">
        <v>41</v>
      </c>
      <c r="AN85">
        <v>11.069991999999999</v>
      </c>
      <c r="AO85" t="s">
        <v>42</v>
      </c>
      <c r="AP85">
        <v>7.0020220000000002</v>
      </c>
    </row>
    <row r="86" spans="1:42" x14ac:dyDescent="0.3">
      <c r="A86" t="s">
        <v>22</v>
      </c>
      <c r="B86">
        <v>0.85999899999999996</v>
      </c>
      <c r="C86" t="s">
        <v>23</v>
      </c>
      <c r="D86">
        <v>1.032864</v>
      </c>
      <c r="E86" t="s">
        <v>24</v>
      </c>
      <c r="F86">
        <v>1.2422660000000001</v>
      </c>
      <c r="G86" t="s">
        <v>25</v>
      </c>
      <c r="H86">
        <v>0.91616900000000001</v>
      </c>
      <c r="I86" t="s">
        <v>26</v>
      </c>
      <c r="J86">
        <v>1.3569999999999999E-3</v>
      </c>
      <c r="K86" t="s">
        <v>27</v>
      </c>
      <c r="L86">
        <v>2.6582000000000001E-2</v>
      </c>
      <c r="M86" t="s">
        <v>28</v>
      </c>
      <c r="N86">
        <v>1.9602000000000001E-2</v>
      </c>
      <c r="O86" t="s">
        <v>29</v>
      </c>
      <c r="P86">
        <v>-2.1516E-2</v>
      </c>
      <c r="Q86" t="s">
        <v>30</v>
      </c>
      <c r="R86">
        <v>-1.1344460000000001</v>
      </c>
      <c r="S86" t="s">
        <v>31</v>
      </c>
      <c r="T86">
        <v>0.59869000000000006</v>
      </c>
      <c r="U86" t="s">
        <v>32</v>
      </c>
      <c r="V86">
        <v>6.6901000000000002E-2</v>
      </c>
      <c r="W86" t="s">
        <v>33</v>
      </c>
      <c r="X86">
        <v>0.158529</v>
      </c>
      <c r="Y86" t="s">
        <v>34</v>
      </c>
      <c r="Z86">
        <v>0.104183</v>
      </c>
      <c r="AA86" t="s">
        <v>35</v>
      </c>
      <c r="AB86">
        <v>0.16795599999999999</v>
      </c>
      <c r="AC86" t="s">
        <v>36</v>
      </c>
      <c r="AD86">
        <v>0.28684399999999999</v>
      </c>
      <c r="AE86" t="s">
        <v>37</v>
      </c>
      <c r="AF86">
        <v>0.26155299999999998</v>
      </c>
      <c r="AG86" t="s">
        <v>38</v>
      </c>
      <c r="AH86">
        <v>0.91183000000000003</v>
      </c>
      <c r="AI86" t="s">
        <v>39</v>
      </c>
      <c r="AJ86">
        <v>0.73311400000000004</v>
      </c>
      <c r="AK86" t="s">
        <v>40</v>
      </c>
      <c r="AL86">
        <v>0.78449100000000005</v>
      </c>
      <c r="AM86" t="s">
        <v>41</v>
      </c>
      <c r="AN86">
        <v>11.200227999999999</v>
      </c>
      <c r="AO86" t="s">
        <v>42</v>
      </c>
      <c r="AP86">
        <v>7.0708460000000004</v>
      </c>
    </row>
    <row r="87" spans="1:42" x14ac:dyDescent="0.3">
      <c r="A87" t="s">
        <v>22</v>
      </c>
      <c r="B87">
        <v>0.86999899999999997</v>
      </c>
      <c r="C87" t="s">
        <v>23</v>
      </c>
      <c r="D87">
        <v>1.0332920000000001</v>
      </c>
      <c r="E87" t="s">
        <v>24</v>
      </c>
      <c r="F87">
        <v>1.240435</v>
      </c>
      <c r="G87" t="s">
        <v>25</v>
      </c>
      <c r="H87">
        <v>0.91616900000000001</v>
      </c>
      <c r="I87" t="s">
        <v>26</v>
      </c>
      <c r="J87">
        <v>1.343E-3</v>
      </c>
      <c r="K87" t="s">
        <v>27</v>
      </c>
      <c r="L87">
        <v>2.6542E-2</v>
      </c>
      <c r="M87" t="s">
        <v>28</v>
      </c>
      <c r="N87">
        <v>1.9602000000000001E-2</v>
      </c>
      <c r="O87" t="s">
        <v>29</v>
      </c>
      <c r="P87">
        <v>-2.3791E-2</v>
      </c>
      <c r="Q87" t="s">
        <v>30</v>
      </c>
      <c r="R87">
        <v>-1.1247130000000001</v>
      </c>
      <c r="S87" t="s">
        <v>31</v>
      </c>
      <c r="T87">
        <v>0.59869000000000006</v>
      </c>
      <c r="U87" t="s">
        <v>32</v>
      </c>
      <c r="V87">
        <v>6.6553000000000001E-2</v>
      </c>
      <c r="W87" t="s">
        <v>33</v>
      </c>
      <c r="X87">
        <v>0.158502</v>
      </c>
      <c r="Y87" t="s">
        <v>34</v>
      </c>
      <c r="Z87">
        <v>0.104183</v>
      </c>
      <c r="AA87" t="s">
        <v>35</v>
      </c>
      <c r="AB87">
        <v>0.16708200000000001</v>
      </c>
      <c r="AC87" t="s">
        <v>36</v>
      </c>
      <c r="AD87">
        <v>0.28657300000000002</v>
      </c>
      <c r="AE87" t="s">
        <v>37</v>
      </c>
      <c r="AF87">
        <v>0.26155299999999998</v>
      </c>
      <c r="AG87" t="s">
        <v>38</v>
      </c>
      <c r="AH87">
        <v>0.91269299999999998</v>
      </c>
      <c r="AI87" t="s">
        <v>39</v>
      </c>
      <c r="AJ87">
        <v>0.73370999999999997</v>
      </c>
      <c r="AK87" t="s">
        <v>40</v>
      </c>
      <c r="AL87">
        <v>0.78449100000000005</v>
      </c>
      <c r="AM87" t="s">
        <v>41</v>
      </c>
      <c r="AN87">
        <v>11.330462000000001</v>
      </c>
      <c r="AO87" t="s">
        <v>42</v>
      </c>
      <c r="AP87">
        <v>7.1395619999999997</v>
      </c>
    </row>
    <row r="88" spans="1:42" x14ac:dyDescent="0.3">
      <c r="A88" t="s">
        <v>22</v>
      </c>
      <c r="B88">
        <v>0.87999899999999998</v>
      </c>
      <c r="C88" t="s">
        <v>23</v>
      </c>
      <c r="D88">
        <v>1.0337069999999999</v>
      </c>
      <c r="E88" t="s">
        <v>24</v>
      </c>
      <c r="F88">
        <v>1.238621</v>
      </c>
      <c r="G88" t="s">
        <v>25</v>
      </c>
      <c r="H88">
        <v>0.91616900000000001</v>
      </c>
      <c r="I88" t="s">
        <v>26</v>
      </c>
      <c r="J88">
        <v>1.328E-3</v>
      </c>
      <c r="K88" t="s">
        <v>27</v>
      </c>
      <c r="L88">
        <v>2.6504E-2</v>
      </c>
      <c r="M88" t="s">
        <v>28</v>
      </c>
      <c r="N88">
        <v>1.9602000000000001E-2</v>
      </c>
      <c r="O88" t="s">
        <v>29</v>
      </c>
      <c r="P88">
        <v>-2.5998E-2</v>
      </c>
      <c r="Q88" t="s">
        <v>30</v>
      </c>
      <c r="R88">
        <v>-1.1150709999999999</v>
      </c>
      <c r="S88" t="s">
        <v>31</v>
      </c>
      <c r="T88">
        <v>0.59869000000000006</v>
      </c>
      <c r="U88" t="s">
        <v>32</v>
      </c>
      <c r="V88">
        <v>6.6207000000000002E-2</v>
      </c>
      <c r="W88" t="s">
        <v>33</v>
      </c>
      <c r="X88">
        <v>0.15847700000000001</v>
      </c>
      <c r="Y88" t="s">
        <v>34</v>
      </c>
      <c r="Z88">
        <v>0.104183</v>
      </c>
      <c r="AA88" t="s">
        <v>35</v>
      </c>
      <c r="AB88">
        <v>0.166214</v>
      </c>
      <c r="AC88" t="s">
        <v>36</v>
      </c>
      <c r="AD88">
        <v>0.286306</v>
      </c>
      <c r="AE88" t="s">
        <v>37</v>
      </c>
      <c r="AF88">
        <v>0.26155299999999998</v>
      </c>
      <c r="AG88" t="s">
        <v>38</v>
      </c>
      <c r="AH88">
        <v>0.91354400000000002</v>
      </c>
      <c r="AI88" t="s">
        <v>39</v>
      </c>
      <c r="AJ88">
        <v>0.73429599999999995</v>
      </c>
      <c r="AK88" t="s">
        <v>40</v>
      </c>
      <c r="AL88">
        <v>0.78449100000000005</v>
      </c>
      <c r="AM88" t="s">
        <v>41</v>
      </c>
      <c r="AN88">
        <v>11.460698000000001</v>
      </c>
      <c r="AO88" t="s">
        <v>42</v>
      </c>
      <c r="AP88">
        <v>7.2081689999999998</v>
      </c>
    </row>
    <row r="89" spans="1:42" x14ac:dyDescent="0.3">
      <c r="A89" t="s">
        <v>22</v>
      </c>
      <c r="B89">
        <v>0.88999899999999998</v>
      </c>
      <c r="C89" t="s">
        <v>23</v>
      </c>
      <c r="D89">
        <v>1.0341089999999999</v>
      </c>
      <c r="E89" t="s">
        <v>24</v>
      </c>
      <c r="F89">
        <v>1.236823</v>
      </c>
      <c r="G89" t="s">
        <v>25</v>
      </c>
      <c r="H89">
        <v>0.91616900000000001</v>
      </c>
      <c r="I89" t="s">
        <v>26</v>
      </c>
      <c r="J89">
        <v>1.3140000000000001E-3</v>
      </c>
      <c r="K89" t="s">
        <v>27</v>
      </c>
      <c r="L89">
        <v>2.6464999999999999E-2</v>
      </c>
      <c r="M89" t="s">
        <v>28</v>
      </c>
      <c r="N89">
        <v>1.9602000000000001E-2</v>
      </c>
      <c r="O89" t="s">
        <v>29</v>
      </c>
      <c r="P89">
        <v>-2.8132000000000001E-2</v>
      </c>
      <c r="Q89" t="s">
        <v>30</v>
      </c>
      <c r="R89">
        <v>-1.105518</v>
      </c>
      <c r="S89" t="s">
        <v>31</v>
      </c>
      <c r="T89">
        <v>0.59869000000000006</v>
      </c>
      <c r="U89" t="s">
        <v>32</v>
      </c>
      <c r="V89">
        <v>6.5864000000000006E-2</v>
      </c>
      <c r="W89" t="s">
        <v>33</v>
      </c>
      <c r="X89">
        <v>0.15845300000000001</v>
      </c>
      <c r="Y89" t="s">
        <v>34</v>
      </c>
      <c r="Z89">
        <v>0.104183</v>
      </c>
      <c r="AA89" t="s">
        <v>35</v>
      </c>
      <c r="AB89">
        <v>0.165352</v>
      </c>
      <c r="AC89" t="s">
        <v>36</v>
      </c>
      <c r="AD89">
        <v>0.28604200000000002</v>
      </c>
      <c r="AE89" t="s">
        <v>37</v>
      </c>
      <c r="AF89">
        <v>0.26155299999999998</v>
      </c>
      <c r="AG89" t="s">
        <v>38</v>
      </c>
      <c r="AH89">
        <v>0.914385</v>
      </c>
      <c r="AI89" t="s">
        <v>39</v>
      </c>
      <c r="AJ89">
        <v>0.734873</v>
      </c>
      <c r="AK89" t="s">
        <v>40</v>
      </c>
      <c r="AL89">
        <v>0.78449100000000005</v>
      </c>
      <c r="AM89" t="s">
        <v>41</v>
      </c>
      <c r="AN89">
        <v>11.590933</v>
      </c>
      <c r="AO89" t="s">
        <v>42</v>
      </c>
      <c r="AP89">
        <v>7.2766719999999996</v>
      </c>
    </row>
    <row r="90" spans="1:42" x14ac:dyDescent="0.3">
      <c r="A90" t="s">
        <v>22</v>
      </c>
      <c r="B90">
        <v>0.89999899999999999</v>
      </c>
      <c r="C90" t="s">
        <v>23</v>
      </c>
      <c r="D90">
        <v>1.0344979999999999</v>
      </c>
      <c r="E90" t="s">
        <v>24</v>
      </c>
      <c r="F90">
        <v>1.2350429999999999</v>
      </c>
      <c r="G90" t="s">
        <v>25</v>
      </c>
      <c r="H90">
        <v>0.91616900000000001</v>
      </c>
      <c r="I90" t="s">
        <v>26</v>
      </c>
      <c r="J90">
        <v>1.2999999999999999E-3</v>
      </c>
      <c r="K90" t="s">
        <v>27</v>
      </c>
      <c r="L90">
        <v>2.6426999999999999E-2</v>
      </c>
      <c r="M90" t="s">
        <v>28</v>
      </c>
      <c r="N90">
        <v>1.9602000000000001E-2</v>
      </c>
      <c r="O90" t="s">
        <v>29</v>
      </c>
      <c r="P90">
        <v>-3.0200999999999999E-2</v>
      </c>
      <c r="Q90" t="s">
        <v>30</v>
      </c>
      <c r="R90">
        <v>-1.096055</v>
      </c>
      <c r="S90" t="s">
        <v>31</v>
      </c>
      <c r="T90">
        <v>0.59869000000000006</v>
      </c>
      <c r="U90" t="s">
        <v>32</v>
      </c>
      <c r="V90">
        <v>6.5521999999999997E-2</v>
      </c>
      <c r="W90" t="s">
        <v>33</v>
      </c>
      <c r="X90">
        <v>0.15843099999999999</v>
      </c>
      <c r="Y90" t="s">
        <v>34</v>
      </c>
      <c r="Z90">
        <v>0.104183</v>
      </c>
      <c r="AA90" t="s">
        <v>35</v>
      </c>
      <c r="AB90">
        <v>0.164495</v>
      </c>
      <c r="AC90" t="s">
        <v>36</v>
      </c>
      <c r="AD90">
        <v>0.28578300000000001</v>
      </c>
      <c r="AE90" t="s">
        <v>37</v>
      </c>
      <c r="AF90">
        <v>0.26155299999999998</v>
      </c>
      <c r="AG90" t="s">
        <v>38</v>
      </c>
      <c r="AH90">
        <v>0.91521699999999995</v>
      </c>
      <c r="AI90" t="s">
        <v>39</v>
      </c>
      <c r="AJ90">
        <v>0.73543999999999998</v>
      </c>
      <c r="AK90" t="s">
        <v>40</v>
      </c>
      <c r="AL90">
        <v>0.78449100000000005</v>
      </c>
      <c r="AM90" t="s">
        <v>41</v>
      </c>
      <c r="AN90">
        <v>11.721169</v>
      </c>
      <c r="AO90" t="s">
        <v>42</v>
      </c>
      <c r="AP90">
        <v>7.3450749999999996</v>
      </c>
    </row>
    <row r="91" spans="1:42" x14ac:dyDescent="0.3">
      <c r="A91" t="s">
        <v>22</v>
      </c>
      <c r="B91">
        <v>0.909999</v>
      </c>
      <c r="C91" t="s">
        <v>23</v>
      </c>
      <c r="D91">
        <v>1.034875</v>
      </c>
      <c r="E91" t="s">
        <v>24</v>
      </c>
      <c r="F91">
        <v>1.233279</v>
      </c>
      <c r="G91" t="s">
        <v>25</v>
      </c>
      <c r="H91">
        <v>0.91616900000000001</v>
      </c>
      <c r="I91" t="s">
        <v>26</v>
      </c>
      <c r="J91">
        <v>1.286E-3</v>
      </c>
      <c r="K91" t="s">
        <v>27</v>
      </c>
      <c r="L91">
        <v>2.6388999999999999E-2</v>
      </c>
      <c r="M91" t="s">
        <v>28</v>
      </c>
      <c r="N91">
        <v>1.9602000000000001E-2</v>
      </c>
      <c r="O91" t="s">
        <v>29</v>
      </c>
      <c r="P91">
        <v>-3.2203000000000002E-2</v>
      </c>
      <c r="Q91" t="s">
        <v>30</v>
      </c>
      <c r="R91">
        <v>-1.086679</v>
      </c>
      <c r="S91" t="s">
        <v>31</v>
      </c>
      <c r="T91">
        <v>0.59869000000000006</v>
      </c>
      <c r="U91" t="s">
        <v>32</v>
      </c>
      <c r="V91">
        <v>6.5184000000000006E-2</v>
      </c>
      <c r="W91" t="s">
        <v>33</v>
      </c>
      <c r="X91">
        <v>0.158411</v>
      </c>
      <c r="Y91" t="s">
        <v>34</v>
      </c>
      <c r="Z91">
        <v>0.104183</v>
      </c>
      <c r="AA91" t="s">
        <v>35</v>
      </c>
      <c r="AB91">
        <v>0.16364500000000001</v>
      </c>
      <c r="AC91" t="s">
        <v>36</v>
      </c>
      <c r="AD91">
        <v>0.28552699999999998</v>
      </c>
      <c r="AE91" t="s">
        <v>37</v>
      </c>
      <c r="AF91">
        <v>0.26155299999999998</v>
      </c>
      <c r="AG91" t="s">
        <v>38</v>
      </c>
      <c r="AH91">
        <v>0.91603699999999999</v>
      </c>
      <c r="AI91" t="s">
        <v>39</v>
      </c>
      <c r="AJ91">
        <v>0.73599999999999999</v>
      </c>
      <c r="AK91" t="s">
        <v>40</v>
      </c>
      <c r="AL91">
        <v>0.78449100000000005</v>
      </c>
      <c r="AM91" t="s">
        <v>41</v>
      </c>
      <c r="AN91">
        <v>11.851402999999999</v>
      </c>
      <c r="AO91" t="s">
        <v>42</v>
      </c>
      <c r="AP91">
        <v>7.4133810000000002</v>
      </c>
    </row>
    <row r="92" spans="1:42" x14ac:dyDescent="0.3">
      <c r="A92" t="s">
        <v>22</v>
      </c>
      <c r="B92">
        <v>0.91999900000000001</v>
      </c>
      <c r="C92" t="s">
        <v>23</v>
      </c>
      <c r="D92">
        <v>1.035239</v>
      </c>
      <c r="E92" t="s">
        <v>24</v>
      </c>
      <c r="F92">
        <v>1.2315309999999999</v>
      </c>
      <c r="G92" t="s">
        <v>25</v>
      </c>
      <c r="H92">
        <v>0.91616900000000001</v>
      </c>
      <c r="I92" t="s">
        <v>26</v>
      </c>
      <c r="J92">
        <v>1.2719999999999999E-3</v>
      </c>
      <c r="K92" t="s">
        <v>27</v>
      </c>
      <c r="L92">
        <v>2.6352E-2</v>
      </c>
      <c r="M92" t="s">
        <v>28</v>
      </c>
      <c r="N92">
        <v>1.9602000000000001E-2</v>
      </c>
      <c r="O92" t="s">
        <v>29</v>
      </c>
      <c r="P92">
        <v>-3.4138000000000002E-2</v>
      </c>
      <c r="Q92" t="s">
        <v>30</v>
      </c>
      <c r="R92">
        <v>-1.0773900000000001</v>
      </c>
      <c r="S92" t="s">
        <v>31</v>
      </c>
      <c r="T92">
        <v>0.59869000000000006</v>
      </c>
      <c r="U92" t="s">
        <v>32</v>
      </c>
      <c r="V92">
        <v>6.4847000000000002E-2</v>
      </c>
      <c r="W92" t="s">
        <v>33</v>
      </c>
      <c r="X92">
        <v>0.15839300000000001</v>
      </c>
      <c r="Y92" t="s">
        <v>34</v>
      </c>
      <c r="Z92">
        <v>0.104183</v>
      </c>
      <c r="AA92" t="s">
        <v>35</v>
      </c>
      <c r="AB92">
        <v>0.1628</v>
      </c>
      <c r="AC92" t="s">
        <v>36</v>
      </c>
      <c r="AD92">
        <v>0.28527400000000003</v>
      </c>
      <c r="AE92" t="s">
        <v>37</v>
      </c>
      <c r="AF92">
        <v>0.26155299999999998</v>
      </c>
      <c r="AG92" t="s">
        <v>38</v>
      </c>
      <c r="AH92">
        <v>0.916848</v>
      </c>
      <c r="AI92" t="s">
        <v>39</v>
      </c>
      <c r="AJ92">
        <v>0.73654900000000001</v>
      </c>
      <c r="AK92" t="s">
        <v>40</v>
      </c>
      <c r="AL92">
        <v>0.78449100000000005</v>
      </c>
      <c r="AM92" t="s">
        <v>41</v>
      </c>
      <c r="AN92">
        <v>11.981638999999999</v>
      </c>
      <c r="AO92" t="s">
        <v>42</v>
      </c>
      <c r="AP92">
        <v>7.481592</v>
      </c>
    </row>
    <row r="93" spans="1:42" x14ac:dyDescent="0.3">
      <c r="A93" t="s">
        <v>22</v>
      </c>
      <c r="B93">
        <v>0.92999900000000002</v>
      </c>
      <c r="C93" t="s">
        <v>23</v>
      </c>
      <c r="D93">
        <v>1.0355909999999999</v>
      </c>
      <c r="E93" t="s">
        <v>24</v>
      </c>
      <c r="F93">
        <v>1.2297990000000001</v>
      </c>
      <c r="G93" t="s">
        <v>25</v>
      </c>
      <c r="H93">
        <v>0.91616900000000001</v>
      </c>
      <c r="I93" t="s">
        <v>26</v>
      </c>
      <c r="J93">
        <v>1.2589999999999999E-3</v>
      </c>
      <c r="K93" t="s">
        <v>27</v>
      </c>
      <c r="L93">
        <v>2.6315000000000002E-2</v>
      </c>
      <c r="M93" t="s">
        <v>28</v>
      </c>
      <c r="N93">
        <v>1.9602000000000001E-2</v>
      </c>
      <c r="O93" t="s">
        <v>29</v>
      </c>
      <c r="P93">
        <v>-3.601E-2</v>
      </c>
      <c r="Q93" t="s">
        <v>30</v>
      </c>
      <c r="R93">
        <v>-1.0681860000000001</v>
      </c>
      <c r="S93" t="s">
        <v>31</v>
      </c>
      <c r="T93">
        <v>0.59869000000000006</v>
      </c>
      <c r="U93" t="s">
        <v>32</v>
      </c>
      <c r="V93">
        <v>6.4513000000000001E-2</v>
      </c>
      <c r="W93" t="s">
        <v>33</v>
      </c>
      <c r="X93">
        <v>0.15837599999999999</v>
      </c>
      <c r="Y93" t="s">
        <v>34</v>
      </c>
      <c r="Z93">
        <v>0.104183</v>
      </c>
      <c r="AA93" t="s">
        <v>35</v>
      </c>
      <c r="AB93">
        <v>0.16196099999999999</v>
      </c>
      <c r="AC93" t="s">
        <v>36</v>
      </c>
      <c r="AD93">
        <v>0.28502499999999997</v>
      </c>
      <c r="AE93" t="s">
        <v>37</v>
      </c>
      <c r="AF93">
        <v>0.26155299999999998</v>
      </c>
      <c r="AG93" t="s">
        <v>38</v>
      </c>
      <c r="AH93">
        <v>0.91764999999999997</v>
      </c>
      <c r="AI93" t="s">
        <v>39</v>
      </c>
      <c r="AJ93">
        <v>0.737093</v>
      </c>
      <c r="AK93" t="s">
        <v>40</v>
      </c>
      <c r="AL93">
        <v>0.78449100000000005</v>
      </c>
      <c r="AM93" t="s">
        <v>41</v>
      </c>
      <c r="AN93">
        <v>12.111874</v>
      </c>
      <c r="AO93" t="s">
        <v>42</v>
      </c>
      <c r="AP93">
        <v>7.5497110000000003</v>
      </c>
    </row>
    <row r="94" spans="1:42" x14ac:dyDescent="0.3">
      <c r="A94" t="s">
        <v>22</v>
      </c>
      <c r="B94">
        <v>0.93999900000000003</v>
      </c>
      <c r="C94" t="s">
        <v>23</v>
      </c>
      <c r="D94">
        <v>1.0359309999999999</v>
      </c>
      <c r="E94" t="s">
        <v>24</v>
      </c>
      <c r="F94">
        <v>1.228083</v>
      </c>
      <c r="G94" t="s">
        <v>25</v>
      </c>
      <c r="H94">
        <v>0.91616900000000001</v>
      </c>
      <c r="I94" t="s">
        <v>26</v>
      </c>
      <c r="J94">
        <v>1.2459999999999999E-3</v>
      </c>
      <c r="K94" t="s">
        <v>27</v>
      </c>
      <c r="L94">
        <v>2.6277999999999999E-2</v>
      </c>
      <c r="M94" t="s">
        <v>28</v>
      </c>
      <c r="N94">
        <v>1.9602000000000001E-2</v>
      </c>
      <c r="O94" t="s">
        <v>29</v>
      </c>
      <c r="P94">
        <v>-3.7818999999999998E-2</v>
      </c>
      <c r="Q94" t="s">
        <v>30</v>
      </c>
      <c r="R94">
        <v>-1.059067</v>
      </c>
      <c r="S94" t="s">
        <v>31</v>
      </c>
      <c r="T94">
        <v>0.59869000000000006</v>
      </c>
      <c r="U94" t="s">
        <v>32</v>
      </c>
      <c r="V94">
        <v>6.4181000000000002E-2</v>
      </c>
      <c r="W94" t="s">
        <v>33</v>
      </c>
      <c r="X94">
        <v>0.158361</v>
      </c>
      <c r="Y94" t="s">
        <v>34</v>
      </c>
      <c r="Z94">
        <v>0.104183</v>
      </c>
      <c r="AA94" t="s">
        <v>35</v>
      </c>
      <c r="AB94">
        <v>0.16112799999999999</v>
      </c>
      <c r="AC94" t="s">
        <v>36</v>
      </c>
      <c r="AD94">
        <v>0.284779</v>
      </c>
      <c r="AE94" t="s">
        <v>37</v>
      </c>
      <c r="AF94">
        <v>0.26155299999999998</v>
      </c>
      <c r="AG94" t="s">
        <v>38</v>
      </c>
      <c r="AH94">
        <v>0.91844199999999998</v>
      </c>
      <c r="AI94" t="s">
        <v>39</v>
      </c>
      <c r="AJ94">
        <v>0.73762499999999998</v>
      </c>
      <c r="AK94" t="s">
        <v>40</v>
      </c>
      <c r="AL94">
        <v>0.78449100000000005</v>
      </c>
      <c r="AM94" t="s">
        <v>41</v>
      </c>
      <c r="AN94">
        <v>12.242108999999999</v>
      </c>
      <c r="AO94" t="s">
        <v>42</v>
      </c>
      <c r="AP94">
        <v>7.6177429999999999</v>
      </c>
    </row>
    <row r="95" spans="1:42" x14ac:dyDescent="0.3">
      <c r="A95" t="s">
        <v>22</v>
      </c>
      <c r="B95">
        <v>0.94999900000000004</v>
      </c>
      <c r="C95" t="s">
        <v>23</v>
      </c>
      <c r="D95">
        <v>1.03626</v>
      </c>
      <c r="E95" t="s">
        <v>24</v>
      </c>
      <c r="F95">
        <v>1.226383</v>
      </c>
      <c r="G95" t="s">
        <v>25</v>
      </c>
      <c r="H95">
        <v>0.91616900000000001</v>
      </c>
      <c r="I95" t="s">
        <v>26</v>
      </c>
      <c r="J95">
        <v>1.2329999999999999E-3</v>
      </c>
      <c r="K95" t="s">
        <v>27</v>
      </c>
      <c r="L95">
        <v>2.6242000000000001E-2</v>
      </c>
      <c r="M95" t="s">
        <v>28</v>
      </c>
      <c r="N95">
        <v>1.9602000000000001E-2</v>
      </c>
      <c r="O95" t="s">
        <v>29</v>
      </c>
      <c r="P95">
        <v>-3.9564000000000002E-2</v>
      </c>
      <c r="Q95" t="s">
        <v>30</v>
      </c>
      <c r="R95">
        <v>-1.0500320000000001</v>
      </c>
      <c r="S95" t="s">
        <v>31</v>
      </c>
      <c r="T95">
        <v>0.59869000000000006</v>
      </c>
      <c r="U95" t="s">
        <v>32</v>
      </c>
      <c r="V95">
        <v>6.3852000000000006E-2</v>
      </c>
      <c r="W95" t="s">
        <v>33</v>
      </c>
      <c r="X95">
        <v>0.15834699999999999</v>
      </c>
      <c r="Y95" t="s">
        <v>34</v>
      </c>
      <c r="Z95">
        <v>0.104183</v>
      </c>
      <c r="AA95" t="s">
        <v>35</v>
      </c>
      <c r="AB95">
        <v>0.160301</v>
      </c>
      <c r="AC95" t="s">
        <v>36</v>
      </c>
      <c r="AD95">
        <v>0.28453699999999998</v>
      </c>
      <c r="AE95" t="s">
        <v>37</v>
      </c>
      <c r="AF95">
        <v>0.26155299999999998</v>
      </c>
      <c r="AG95" t="s">
        <v>38</v>
      </c>
      <c r="AH95">
        <v>0.91922300000000001</v>
      </c>
      <c r="AI95" t="s">
        <v>39</v>
      </c>
      <c r="AJ95">
        <v>0.738151</v>
      </c>
      <c r="AK95" t="s">
        <v>40</v>
      </c>
      <c r="AL95">
        <v>0.78449100000000005</v>
      </c>
      <c r="AM95" t="s">
        <v>41</v>
      </c>
      <c r="AN95">
        <v>12.372344</v>
      </c>
      <c r="AO95" t="s">
        <v>42</v>
      </c>
      <c r="AP95">
        <v>7.6856869999999997</v>
      </c>
    </row>
    <row r="96" spans="1:42" x14ac:dyDescent="0.3">
      <c r="A96" t="s">
        <v>22</v>
      </c>
      <c r="B96">
        <v>0.95999900000000005</v>
      </c>
      <c r="C96" t="s">
        <v>23</v>
      </c>
      <c r="D96">
        <v>1.0365770000000001</v>
      </c>
      <c r="E96" t="s">
        <v>24</v>
      </c>
      <c r="F96">
        <v>1.224699</v>
      </c>
      <c r="G96" t="s">
        <v>25</v>
      </c>
      <c r="H96">
        <v>0.91616900000000001</v>
      </c>
      <c r="I96" t="s">
        <v>26</v>
      </c>
      <c r="J96">
        <v>1.2199999999999999E-3</v>
      </c>
      <c r="K96" t="s">
        <v>27</v>
      </c>
      <c r="L96">
        <v>2.6206E-2</v>
      </c>
      <c r="M96" t="s">
        <v>28</v>
      </c>
      <c r="N96">
        <v>1.9602000000000001E-2</v>
      </c>
      <c r="O96" t="s">
        <v>29</v>
      </c>
      <c r="P96">
        <v>-4.1250000000000002E-2</v>
      </c>
      <c r="Q96" t="s">
        <v>30</v>
      </c>
      <c r="R96">
        <v>-1.04108</v>
      </c>
      <c r="S96" t="s">
        <v>31</v>
      </c>
      <c r="T96">
        <v>0.59869000000000006</v>
      </c>
      <c r="U96" t="s">
        <v>32</v>
      </c>
      <c r="V96">
        <v>6.3523999999999997E-2</v>
      </c>
      <c r="W96" t="s">
        <v>33</v>
      </c>
      <c r="X96">
        <v>0.158335</v>
      </c>
      <c r="Y96" t="s">
        <v>34</v>
      </c>
      <c r="Z96">
        <v>0.104183</v>
      </c>
      <c r="AA96" t="s">
        <v>35</v>
      </c>
      <c r="AB96">
        <v>0.15947900000000001</v>
      </c>
      <c r="AC96" t="s">
        <v>36</v>
      </c>
      <c r="AD96">
        <v>0.284298</v>
      </c>
      <c r="AE96" t="s">
        <v>37</v>
      </c>
      <c r="AF96">
        <v>0.26155299999999998</v>
      </c>
      <c r="AG96" t="s">
        <v>38</v>
      </c>
      <c r="AH96">
        <v>0.91999600000000004</v>
      </c>
      <c r="AI96" t="s">
        <v>39</v>
      </c>
      <c r="AJ96">
        <v>0.73866799999999999</v>
      </c>
      <c r="AK96" t="s">
        <v>40</v>
      </c>
      <c r="AL96">
        <v>0.78449100000000005</v>
      </c>
      <c r="AM96" t="s">
        <v>41</v>
      </c>
      <c r="AN96">
        <v>12.50258</v>
      </c>
      <c r="AO96" t="s">
        <v>42</v>
      </c>
      <c r="AP96">
        <v>7.7535499999999997</v>
      </c>
    </row>
    <row r="97" spans="1:42" x14ac:dyDescent="0.3">
      <c r="A97" t="s">
        <v>22</v>
      </c>
      <c r="B97">
        <v>0.96999899999999994</v>
      </c>
      <c r="C97" t="s">
        <v>23</v>
      </c>
      <c r="D97">
        <v>1.036883</v>
      </c>
      <c r="E97" t="s">
        <v>24</v>
      </c>
      <c r="F97">
        <v>1.2230300000000001</v>
      </c>
      <c r="G97" t="s">
        <v>25</v>
      </c>
      <c r="H97">
        <v>0.91616900000000001</v>
      </c>
      <c r="I97" t="s">
        <v>26</v>
      </c>
      <c r="J97">
        <v>1.207E-3</v>
      </c>
      <c r="K97" t="s">
        <v>27</v>
      </c>
      <c r="L97">
        <v>2.6169999999999999E-2</v>
      </c>
      <c r="M97" t="s">
        <v>28</v>
      </c>
      <c r="N97">
        <v>1.9602000000000001E-2</v>
      </c>
      <c r="O97" t="s">
        <v>29</v>
      </c>
      <c r="P97">
        <v>-4.2875000000000003E-2</v>
      </c>
      <c r="Q97" t="s">
        <v>30</v>
      </c>
      <c r="R97">
        <v>-1.0322100000000001</v>
      </c>
      <c r="S97" t="s">
        <v>31</v>
      </c>
      <c r="T97">
        <v>0.59869000000000006</v>
      </c>
      <c r="U97" t="s">
        <v>32</v>
      </c>
      <c r="V97">
        <v>6.3199000000000005E-2</v>
      </c>
      <c r="W97" t="s">
        <v>33</v>
      </c>
      <c r="X97">
        <v>0.15832499999999999</v>
      </c>
      <c r="Y97" t="s">
        <v>34</v>
      </c>
      <c r="Z97">
        <v>0.104183</v>
      </c>
      <c r="AA97" t="s">
        <v>35</v>
      </c>
      <c r="AB97">
        <v>0.158663</v>
      </c>
      <c r="AC97" t="s">
        <v>36</v>
      </c>
      <c r="AD97">
        <v>0.28406199999999998</v>
      </c>
      <c r="AE97" t="s">
        <v>37</v>
      </c>
      <c r="AF97">
        <v>0.26155299999999998</v>
      </c>
      <c r="AG97" t="s">
        <v>38</v>
      </c>
      <c r="AH97">
        <v>0.92076000000000002</v>
      </c>
      <c r="AI97" t="s">
        <v>39</v>
      </c>
      <c r="AJ97">
        <v>0.739178</v>
      </c>
      <c r="AK97" t="s">
        <v>40</v>
      </c>
      <c r="AL97">
        <v>0.78449100000000005</v>
      </c>
      <c r="AM97" t="s">
        <v>41</v>
      </c>
      <c r="AN97">
        <v>12.632814</v>
      </c>
      <c r="AO97" t="s">
        <v>42</v>
      </c>
      <c r="AP97">
        <v>7.821332</v>
      </c>
    </row>
    <row r="98" spans="1:42" x14ac:dyDescent="0.3">
      <c r="A98" t="s">
        <v>22</v>
      </c>
      <c r="B98">
        <v>0.97999899999999995</v>
      </c>
      <c r="C98" t="s">
        <v>23</v>
      </c>
      <c r="D98">
        <v>1.037177</v>
      </c>
      <c r="E98" t="s">
        <v>24</v>
      </c>
      <c r="F98">
        <v>1.221376</v>
      </c>
      <c r="G98" t="s">
        <v>25</v>
      </c>
      <c r="H98">
        <v>0.91616900000000001</v>
      </c>
      <c r="I98" t="s">
        <v>26</v>
      </c>
      <c r="J98">
        <v>1.1950000000000001E-3</v>
      </c>
      <c r="K98" t="s">
        <v>27</v>
      </c>
      <c r="L98">
        <v>2.6134000000000001E-2</v>
      </c>
      <c r="M98" t="s">
        <v>28</v>
      </c>
      <c r="N98">
        <v>1.9602000000000001E-2</v>
      </c>
      <c r="O98" t="s">
        <v>29</v>
      </c>
      <c r="P98">
        <v>-4.4442000000000002E-2</v>
      </c>
      <c r="Q98" t="s">
        <v>30</v>
      </c>
      <c r="R98">
        <v>-1.0234209999999999</v>
      </c>
      <c r="S98" t="s">
        <v>31</v>
      </c>
      <c r="T98">
        <v>0.59869000000000006</v>
      </c>
      <c r="U98" t="s">
        <v>32</v>
      </c>
      <c r="V98">
        <v>6.2877000000000002E-2</v>
      </c>
      <c r="W98" t="s">
        <v>33</v>
      </c>
      <c r="X98">
        <v>0.15831600000000001</v>
      </c>
      <c r="Y98" t="s">
        <v>34</v>
      </c>
      <c r="Z98">
        <v>0.104183</v>
      </c>
      <c r="AA98" t="s">
        <v>35</v>
      </c>
      <c r="AB98">
        <v>0.15785299999999999</v>
      </c>
      <c r="AC98" t="s">
        <v>36</v>
      </c>
      <c r="AD98">
        <v>0.28383000000000003</v>
      </c>
      <c r="AE98" t="s">
        <v>37</v>
      </c>
      <c r="AF98">
        <v>0.26155299999999998</v>
      </c>
      <c r="AG98" t="s">
        <v>38</v>
      </c>
      <c r="AH98">
        <v>0.92151400000000006</v>
      </c>
      <c r="AI98" t="s">
        <v>39</v>
      </c>
      <c r="AJ98">
        <v>0.73968</v>
      </c>
      <c r="AK98" t="s">
        <v>40</v>
      </c>
      <c r="AL98">
        <v>0.78449100000000005</v>
      </c>
      <c r="AM98" t="s">
        <v>41</v>
      </c>
      <c r="AN98">
        <v>12.76305</v>
      </c>
      <c r="AO98" t="s">
        <v>42</v>
      </c>
      <c r="AP98">
        <v>7.8890359999999999</v>
      </c>
    </row>
    <row r="99" spans="1:42" x14ac:dyDescent="0.3">
      <c r="A99" t="s">
        <v>22</v>
      </c>
      <c r="B99">
        <v>0.98999899999999996</v>
      </c>
      <c r="C99" t="s">
        <v>23</v>
      </c>
      <c r="D99">
        <v>1.037461</v>
      </c>
      <c r="E99" t="s">
        <v>24</v>
      </c>
      <c r="F99">
        <v>1.219738</v>
      </c>
      <c r="G99" t="s">
        <v>25</v>
      </c>
      <c r="H99">
        <v>0.91616900000000001</v>
      </c>
      <c r="I99" t="s">
        <v>26</v>
      </c>
      <c r="J99">
        <v>1.183E-3</v>
      </c>
      <c r="K99" t="s">
        <v>27</v>
      </c>
      <c r="L99">
        <v>2.6099000000000001E-2</v>
      </c>
      <c r="M99" t="s">
        <v>28</v>
      </c>
      <c r="N99">
        <v>1.9602000000000001E-2</v>
      </c>
      <c r="O99" t="s">
        <v>29</v>
      </c>
      <c r="P99">
        <v>-4.5950999999999999E-2</v>
      </c>
      <c r="Q99" t="s">
        <v>30</v>
      </c>
      <c r="R99">
        <v>-1.0147120000000001</v>
      </c>
      <c r="S99" t="s">
        <v>31</v>
      </c>
      <c r="T99">
        <v>0.59869000000000006</v>
      </c>
      <c r="U99" t="s">
        <v>32</v>
      </c>
      <c r="V99">
        <v>6.2556E-2</v>
      </c>
      <c r="W99" t="s">
        <v>33</v>
      </c>
      <c r="X99">
        <v>0.15830900000000001</v>
      </c>
      <c r="Y99" t="s">
        <v>34</v>
      </c>
      <c r="Z99">
        <v>0.104183</v>
      </c>
      <c r="AA99" t="s">
        <v>35</v>
      </c>
      <c r="AB99">
        <v>0.15704799999999999</v>
      </c>
      <c r="AC99" t="s">
        <v>36</v>
      </c>
      <c r="AD99">
        <v>0.28360000000000002</v>
      </c>
      <c r="AE99" t="s">
        <v>37</v>
      </c>
      <c r="AF99">
        <v>0.26155299999999998</v>
      </c>
      <c r="AG99" t="s">
        <v>38</v>
      </c>
      <c r="AH99">
        <v>0.92225900000000005</v>
      </c>
      <c r="AI99" t="s">
        <v>39</v>
      </c>
      <c r="AJ99">
        <v>0.740174</v>
      </c>
      <c r="AK99" t="s">
        <v>40</v>
      </c>
      <c r="AL99">
        <v>0.78449100000000005</v>
      </c>
      <c r="AM99" t="s">
        <v>41</v>
      </c>
      <c r="AN99">
        <v>12.893285000000001</v>
      </c>
      <c r="AO99" t="s">
        <v>42</v>
      </c>
      <c r="AP99">
        <v>7.9566660000000002</v>
      </c>
    </row>
    <row r="100" spans="1:42" x14ac:dyDescent="0.3">
      <c r="A100" t="s">
        <v>22</v>
      </c>
      <c r="B100">
        <v>0.99999899999999997</v>
      </c>
      <c r="C100" t="s">
        <v>23</v>
      </c>
      <c r="D100">
        <v>1.0377350000000001</v>
      </c>
      <c r="E100" t="s">
        <v>24</v>
      </c>
      <c r="F100">
        <v>1.2181139999999999</v>
      </c>
      <c r="G100" t="s">
        <v>25</v>
      </c>
      <c r="H100">
        <v>0.91616900000000001</v>
      </c>
      <c r="I100" t="s">
        <v>26</v>
      </c>
      <c r="J100">
        <v>1.1709999999999999E-3</v>
      </c>
      <c r="K100" t="s">
        <v>27</v>
      </c>
      <c r="L100">
        <v>2.6065000000000001E-2</v>
      </c>
      <c r="M100" t="s">
        <v>28</v>
      </c>
      <c r="N100">
        <v>1.9602000000000001E-2</v>
      </c>
      <c r="O100" t="s">
        <v>29</v>
      </c>
      <c r="P100">
        <v>-4.7405000000000003E-2</v>
      </c>
      <c r="Q100" t="s">
        <v>30</v>
      </c>
      <c r="R100">
        <v>-1.0060819999999999</v>
      </c>
      <c r="S100" t="s">
        <v>31</v>
      </c>
      <c r="T100">
        <v>0.59869000000000006</v>
      </c>
      <c r="U100" t="s">
        <v>32</v>
      </c>
      <c r="V100">
        <v>6.2238000000000002E-2</v>
      </c>
      <c r="W100" t="s">
        <v>33</v>
      </c>
      <c r="X100">
        <v>0.158303</v>
      </c>
      <c r="Y100" t="s">
        <v>34</v>
      </c>
      <c r="Z100">
        <v>0.104183</v>
      </c>
      <c r="AA100" t="s">
        <v>35</v>
      </c>
      <c r="AB100">
        <v>0.15625</v>
      </c>
      <c r="AC100" t="s">
        <v>36</v>
      </c>
      <c r="AD100">
        <v>0.28337499999999999</v>
      </c>
      <c r="AE100" t="s">
        <v>37</v>
      </c>
      <c r="AF100">
        <v>0.26155299999999998</v>
      </c>
      <c r="AG100" t="s">
        <v>38</v>
      </c>
      <c r="AH100">
        <v>0.92299500000000001</v>
      </c>
      <c r="AI100" t="s">
        <v>39</v>
      </c>
      <c r="AJ100">
        <v>0.74065999999999999</v>
      </c>
      <c r="AK100" t="s">
        <v>40</v>
      </c>
      <c r="AL100">
        <v>0.78449100000000005</v>
      </c>
      <c r="AM100" t="s">
        <v>41</v>
      </c>
      <c r="AN100">
        <v>13.02352</v>
      </c>
      <c r="AO100" t="s">
        <v>42</v>
      </c>
      <c r="AP100">
        <v>8.0242210000000007</v>
      </c>
    </row>
    <row r="101" spans="1:42" x14ac:dyDescent="0.3">
      <c r="A101" t="s">
        <v>22</v>
      </c>
      <c r="B101">
        <v>1.0099990000000001</v>
      </c>
      <c r="C101" t="s">
        <v>23</v>
      </c>
      <c r="D101">
        <v>1.037998</v>
      </c>
      <c r="E101" t="s">
        <v>24</v>
      </c>
      <c r="F101">
        <v>1.2165049999999999</v>
      </c>
      <c r="G101" t="s">
        <v>25</v>
      </c>
      <c r="H101">
        <v>0.91616900000000001</v>
      </c>
      <c r="I101" t="s">
        <v>26</v>
      </c>
      <c r="J101">
        <v>1.1590000000000001E-3</v>
      </c>
      <c r="K101" t="s">
        <v>27</v>
      </c>
      <c r="L101">
        <v>2.6030000000000001E-2</v>
      </c>
      <c r="M101" t="s">
        <v>28</v>
      </c>
      <c r="N101">
        <v>1.9602000000000001E-2</v>
      </c>
      <c r="O101" t="s">
        <v>29</v>
      </c>
      <c r="P101">
        <v>-4.8804E-2</v>
      </c>
      <c r="Q101" t="s">
        <v>30</v>
      </c>
      <c r="R101">
        <v>-0.99753099999999995</v>
      </c>
      <c r="S101" t="s">
        <v>31</v>
      </c>
      <c r="T101">
        <v>0.59869000000000006</v>
      </c>
      <c r="U101" t="s">
        <v>32</v>
      </c>
      <c r="V101">
        <v>6.1921999999999998E-2</v>
      </c>
      <c r="W101" t="s">
        <v>33</v>
      </c>
      <c r="X101">
        <v>0.158299</v>
      </c>
      <c r="Y101" t="s">
        <v>34</v>
      </c>
      <c r="Z101">
        <v>0.104183</v>
      </c>
      <c r="AA101" t="s">
        <v>35</v>
      </c>
      <c r="AB101">
        <v>0.15545700000000001</v>
      </c>
      <c r="AC101" t="s">
        <v>36</v>
      </c>
      <c r="AD101">
        <v>0.28315099999999999</v>
      </c>
      <c r="AE101" t="s">
        <v>37</v>
      </c>
      <c r="AF101">
        <v>0.26155299999999998</v>
      </c>
      <c r="AG101" t="s">
        <v>38</v>
      </c>
      <c r="AH101">
        <v>0.92372200000000004</v>
      </c>
      <c r="AI101" t="s">
        <v>39</v>
      </c>
      <c r="AJ101">
        <v>0.74114000000000002</v>
      </c>
      <c r="AK101" t="s">
        <v>40</v>
      </c>
      <c r="AL101">
        <v>0.78449100000000005</v>
      </c>
      <c r="AM101" t="s">
        <v>41</v>
      </c>
      <c r="AN101">
        <v>13.153755</v>
      </c>
      <c r="AO101" t="s">
        <v>42</v>
      </c>
      <c r="AP101">
        <v>8.0917089999999998</v>
      </c>
    </row>
    <row r="102" spans="1:42" x14ac:dyDescent="0.3">
      <c r="A102" t="s">
        <v>22</v>
      </c>
      <c r="B102">
        <v>1.0199990000000001</v>
      </c>
      <c r="C102" t="s">
        <v>23</v>
      </c>
      <c r="D102">
        <v>1.038251</v>
      </c>
      <c r="E102" t="s">
        <v>24</v>
      </c>
      <c r="F102">
        <v>1.2149110000000001</v>
      </c>
      <c r="G102" t="s">
        <v>25</v>
      </c>
      <c r="H102">
        <v>0.91616900000000001</v>
      </c>
      <c r="I102" t="s">
        <v>26</v>
      </c>
      <c r="J102">
        <v>1.1479999999999999E-3</v>
      </c>
      <c r="K102" t="s">
        <v>27</v>
      </c>
      <c r="L102">
        <v>2.5995999999999998E-2</v>
      </c>
      <c r="M102" t="s">
        <v>28</v>
      </c>
      <c r="N102">
        <v>1.9602000000000001E-2</v>
      </c>
      <c r="O102" t="s">
        <v>29</v>
      </c>
      <c r="P102">
        <v>-5.0146999999999997E-2</v>
      </c>
      <c r="Q102" t="s">
        <v>30</v>
      </c>
      <c r="R102">
        <v>-0.98905799999999999</v>
      </c>
      <c r="S102" t="s">
        <v>31</v>
      </c>
      <c r="T102">
        <v>0.59869000000000006</v>
      </c>
      <c r="U102" t="s">
        <v>32</v>
      </c>
      <c r="V102">
        <v>6.1608000000000003E-2</v>
      </c>
      <c r="W102" t="s">
        <v>33</v>
      </c>
      <c r="X102">
        <v>0.15829599999999999</v>
      </c>
      <c r="Y102" t="s">
        <v>34</v>
      </c>
      <c r="Z102">
        <v>0.104183</v>
      </c>
      <c r="AA102" t="s">
        <v>35</v>
      </c>
      <c r="AB102">
        <v>0.154669</v>
      </c>
      <c r="AC102" t="s">
        <v>36</v>
      </c>
      <c r="AD102">
        <v>0.28293099999999999</v>
      </c>
      <c r="AE102" t="s">
        <v>37</v>
      </c>
      <c r="AF102">
        <v>0.26155299999999998</v>
      </c>
      <c r="AG102" t="s">
        <v>38</v>
      </c>
      <c r="AH102">
        <v>0.92444000000000004</v>
      </c>
      <c r="AI102" t="s">
        <v>39</v>
      </c>
      <c r="AJ102">
        <v>0.74161299999999997</v>
      </c>
      <c r="AK102" t="s">
        <v>40</v>
      </c>
      <c r="AL102">
        <v>0.78449100000000005</v>
      </c>
      <c r="AM102" t="s">
        <v>41</v>
      </c>
      <c r="AN102">
        <v>13.283991</v>
      </c>
      <c r="AO102" t="s">
        <v>42</v>
      </c>
      <c r="AP102">
        <v>8.1591269999999998</v>
      </c>
    </row>
    <row r="103" spans="1:42" x14ac:dyDescent="0.3">
      <c r="A103" t="s">
        <v>22</v>
      </c>
      <c r="B103">
        <v>1.0299990000000001</v>
      </c>
      <c r="C103" t="s">
        <v>23</v>
      </c>
      <c r="D103">
        <v>1.038494</v>
      </c>
      <c r="E103" t="s">
        <v>24</v>
      </c>
      <c r="F103">
        <v>1.2133309999999999</v>
      </c>
      <c r="G103" t="s">
        <v>25</v>
      </c>
      <c r="H103">
        <v>0.91616900000000001</v>
      </c>
      <c r="I103" t="s">
        <v>26</v>
      </c>
      <c r="J103">
        <v>1.1360000000000001E-3</v>
      </c>
      <c r="K103" t="s">
        <v>27</v>
      </c>
      <c r="L103">
        <v>2.5961999999999999E-2</v>
      </c>
      <c r="M103" t="s">
        <v>28</v>
      </c>
      <c r="N103">
        <v>1.9602000000000001E-2</v>
      </c>
      <c r="O103" t="s">
        <v>29</v>
      </c>
      <c r="P103">
        <v>-5.1437999999999998E-2</v>
      </c>
      <c r="Q103" t="s">
        <v>30</v>
      </c>
      <c r="R103">
        <v>-0.98065999999999998</v>
      </c>
      <c r="S103" t="s">
        <v>31</v>
      </c>
      <c r="T103">
        <v>0.59869000000000006</v>
      </c>
      <c r="U103" t="s">
        <v>32</v>
      </c>
      <c r="V103">
        <v>6.1296999999999997E-2</v>
      </c>
      <c r="W103" t="s">
        <v>33</v>
      </c>
      <c r="X103">
        <v>0.15829499999999999</v>
      </c>
      <c r="Y103" t="s">
        <v>34</v>
      </c>
      <c r="Z103">
        <v>0.104183</v>
      </c>
      <c r="AA103" t="s">
        <v>35</v>
      </c>
      <c r="AB103">
        <v>0.153887</v>
      </c>
      <c r="AC103" t="s">
        <v>36</v>
      </c>
      <c r="AD103">
        <v>0.28271400000000002</v>
      </c>
      <c r="AE103" t="s">
        <v>37</v>
      </c>
      <c r="AF103">
        <v>0.26155299999999998</v>
      </c>
      <c r="AG103" t="s">
        <v>38</v>
      </c>
      <c r="AH103">
        <v>0.92515000000000003</v>
      </c>
      <c r="AI103" t="s">
        <v>39</v>
      </c>
      <c r="AJ103">
        <v>0.74207699999999999</v>
      </c>
      <c r="AK103" t="s">
        <v>40</v>
      </c>
      <c r="AL103">
        <v>0.78449100000000005</v>
      </c>
      <c r="AM103" t="s">
        <v>41</v>
      </c>
      <c r="AN103">
        <v>13.414225999999999</v>
      </c>
      <c r="AO103" t="s">
        <v>42</v>
      </c>
      <c r="AP103">
        <v>8.2264789999999994</v>
      </c>
    </row>
    <row r="104" spans="1:42" x14ac:dyDescent="0.3">
      <c r="A104" t="s">
        <v>22</v>
      </c>
      <c r="B104">
        <v>1.0399989999999999</v>
      </c>
      <c r="C104" t="s">
        <v>23</v>
      </c>
      <c r="D104">
        <v>1.038726</v>
      </c>
      <c r="E104" t="s">
        <v>24</v>
      </c>
      <c r="F104">
        <v>1.211765</v>
      </c>
      <c r="G104" t="s">
        <v>25</v>
      </c>
      <c r="H104">
        <v>0.91616900000000001</v>
      </c>
      <c r="I104" t="s">
        <v>26</v>
      </c>
      <c r="J104">
        <v>1.1249999999999999E-3</v>
      </c>
      <c r="K104" t="s">
        <v>27</v>
      </c>
      <c r="L104">
        <v>2.5929000000000001E-2</v>
      </c>
      <c r="M104" t="s">
        <v>28</v>
      </c>
      <c r="N104">
        <v>1.9602000000000001E-2</v>
      </c>
      <c r="O104" t="s">
        <v>29</v>
      </c>
      <c r="P104">
        <v>-5.2675E-2</v>
      </c>
      <c r="Q104" t="s">
        <v>30</v>
      </c>
      <c r="R104">
        <v>-0.97233899999999995</v>
      </c>
      <c r="S104" t="s">
        <v>31</v>
      </c>
      <c r="T104">
        <v>0.59869000000000006</v>
      </c>
      <c r="U104" t="s">
        <v>32</v>
      </c>
      <c r="V104">
        <v>6.0988000000000001E-2</v>
      </c>
      <c r="W104" t="s">
        <v>33</v>
      </c>
      <c r="X104">
        <v>0.15829499999999999</v>
      </c>
      <c r="Y104" t="s">
        <v>34</v>
      </c>
      <c r="Z104">
        <v>0.104183</v>
      </c>
      <c r="AA104" t="s">
        <v>35</v>
      </c>
      <c r="AB104">
        <v>0.15311</v>
      </c>
      <c r="AC104" t="s">
        <v>36</v>
      </c>
      <c r="AD104">
        <v>0.28249999999999997</v>
      </c>
      <c r="AE104" t="s">
        <v>37</v>
      </c>
      <c r="AF104">
        <v>0.26155299999999998</v>
      </c>
      <c r="AG104" t="s">
        <v>38</v>
      </c>
      <c r="AH104">
        <v>0.92585200000000001</v>
      </c>
      <c r="AI104" t="s">
        <v>39</v>
      </c>
      <c r="AJ104">
        <v>0.74253599999999997</v>
      </c>
      <c r="AK104" t="s">
        <v>40</v>
      </c>
      <c r="AL104">
        <v>0.78449100000000005</v>
      </c>
      <c r="AM104" t="s">
        <v>41</v>
      </c>
      <c r="AN104">
        <v>13.544461</v>
      </c>
      <c r="AO104" t="s">
        <v>42</v>
      </c>
      <c r="AP104">
        <v>8.2937689999999993</v>
      </c>
    </row>
    <row r="105" spans="1:42" x14ac:dyDescent="0.3">
      <c r="A105" t="s">
        <v>22</v>
      </c>
      <c r="B105">
        <v>1.0499989999999999</v>
      </c>
      <c r="C105" t="s">
        <v>23</v>
      </c>
      <c r="D105">
        <v>1.03895</v>
      </c>
      <c r="E105" t="s">
        <v>24</v>
      </c>
      <c r="F105">
        <v>1.210213</v>
      </c>
      <c r="G105" t="s">
        <v>25</v>
      </c>
      <c r="H105">
        <v>0.91616900000000001</v>
      </c>
      <c r="I105" t="s">
        <v>26</v>
      </c>
      <c r="J105">
        <v>1.114E-3</v>
      </c>
      <c r="K105" t="s">
        <v>27</v>
      </c>
      <c r="L105">
        <v>2.5895000000000001E-2</v>
      </c>
      <c r="M105" t="s">
        <v>28</v>
      </c>
      <c r="N105">
        <v>1.9602000000000001E-2</v>
      </c>
      <c r="O105" t="s">
        <v>29</v>
      </c>
      <c r="P105">
        <v>-5.3863000000000001E-2</v>
      </c>
      <c r="Q105" t="s">
        <v>30</v>
      </c>
      <c r="R105">
        <v>-0.96409199999999995</v>
      </c>
      <c r="S105" t="s">
        <v>31</v>
      </c>
      <c r="T105">
        <v>0.59869000000000006</v>
      </c>
      <c r="U105" t="s">
        <v>32</v>
      </c>
      <c r="V105">
        <v>6.0680999999999999E-2</v>
      </c>
      <c r="W105" t="s">
        <v>33</v>
      </c>
      <c r="X105">
        <v>0.15829699999999999</v>
      </c>
      <c r="Y105" t="s">
        <v>34</v>
      </c>
      <c r="Z105">
        <v>0.104183</v>
      </c>
      <c r="AA105" t="s">
        <v>35</v>
      </c>
      <c r="AB105">
        <v>0.152339</v>
      </c>
      <c r="AC105" t="s">
        <v>36</v>
      </c>
      <c r="AD105">
        <v>0.28228799999999998</v>
      </c>
      <c r="AE105" t="s">
        <v>37</v>
      </c>
      <c r="AF105">
        <v>0.26155299999999998</v>
      </c>
      <c r="AG105" t="s">
        <v>38</v>
      </c>
      <c r="AH105">
        <v>0.92654400000000003</v>
      </c>
      <c r="AI105" t="s">
        <v>39</v>
      </c>
      <c r="AJ105">
        <v>0.74298900000000001</v>
      </c>
      <c r="AK105" t="s">
        <v>40</v>
      </c>
      <c r="AL105">
        <v>0.78449100000000005</v>
      </c>
      <c r="AM105" t="s">
        <v>41</v>
      </c>
      <c r="AN105">
        <v>13.674696000000001</v>
      </c>
      <c r="AO105" t="s">
        <v>42</v>
      </c>
      <c r="AP105">
        <v>8.3609960000000001</v>
      </c>
    </row>
    <row r="106" spans="1:42" x14ac:dyDescent="0.3">
      <c r="A106" t="s">
        <v>22</v>
      </c>
      <c r="B106">
        <v>1.0599989999999999</v>
      </c>
      <c r="C106" t="s">
        <v>23</v>
      </c>
      <c r="D106">
        <v>1.039164</v>
      </c>
      <c r="E106" t="s">
        <v>24</v>
      </c>
      <c r="F106">
        <v>1.2086760000000001</v>
      </c>
      <c r="G106" t="s">
        <v>25</v>
      </c>
      <c r="H106">
        <v>0.91616900000000001</v>
      </c>
      <c r="I106" t="s">
        <v>26</v>
      </c>
      <c r="J106">
        <v>1.103E-3</v>
      </c>
      <c r="K106" t="s">
        <v>27</v>
      </c>
      <c r="L106">
        <v>2.5863000000000001E-2</v>
      </c>
      <c r="M106" t="s">
        <v>28</v>
      </c>
      <c r="N106">
        <v>1.9602000000000001E-2</v>
      </c>
      <c r="O106" t="s">
        <v>29</v>
      </c>
      <c r="P106">
        <v>-5.4998999999999999E-2</v>
      </c>
      <c r="Q106" t="s">
        <v>30</v>
      </c>
      <c r="R106">
        <v>-0.95591899999999996</v>
      </c>
      <c r="S106" t="s">
        <v>31</v>
      </c>
      <c r="T106">
        <v>0.59869000000000006</v>
      </c>
      <c r="U106" t="s">
        <v>32</v>
      </c>
      <c r="V106">
        <v>6.0375999999999999E-2</v>
      </c>
      <c r="W106" t="s">
        <v>33</v>
      </c>
      <c r="X106">
        <v>0.1583</v>
      </c>
      <c r="Y106" t="s">
        <v>34</v>
      </c>
      <c r="Z106">
        <v>0.104183</v>
      </c>
      <c r="AA106" t="s">
        <v>35</v>
      </c>
      <c r="AB106">
        <v>0.15157399999999999</v>
      </c>
      <c r="AC106" t="s">
        <v>36</v>
      </c>
      <c r="AD106">
        <v>0.28208</v>
      </c>
      <c r="AE106" t="s">
        <v>37</v>
      </c>
      <c r="AF106">
        <v>0.26155299999999998</v>
      </c>
      <c r="AG106" t="s">
        <v>38</v>
      </c>
      <c r="AH106">
        <v>0.92722899999999997</v>
      </c>
      <c r="AI106" t="s">
        <v>39</v>
      </c>
      <c r="AJ106">
        <v>0.74343199999999998</v>
      </c>
      <c r="AK106" t="s">
        <v>40</v>
      </c>
      <c r="AL106">
        <v>0.78449100000000005</v>
      </c>
      <c r="AM106" t="s">
        <v>41</v>
      </c>
      <c r="AN106">
        <v>13.804932000000001</v>
      </c>
      <c r="AO106" t="s">
        <v>42</v>
      </c>
      <c r="AP106">
        <v>8.4281640000000007</v>
      </c>
    </row>
    <row r="107" spans="1:42" x14ac:dyDescent="0.3">
      <c r="A107" t="s">
        <v>22</v>
      </c>
      <c r="B107">
        <v>1.0699989999999999</v>
      </c>
      <c r="C107" t="s">
        <v>23</v>
      </c>
      <c r="D107">
        <v>1.039369</v>
      </c>
      <c r="E107" t="s">
        <v>24</v>
      </c>
      <c r="F107">
        <v>1.207152</v>
      </c>
      <c r="G107" t="s">
        <v>25</v>
      </c>
      <c r="H107">
        <v>0.91616900000000001</v>
      </c>
      <c r="I107" t="s">
        <v>26</v>
      </c>
      <c r="J107">
        <v>1.093E-3</v>
      </c>
      <c r="K107" t="s">
        <v>27</v>
      </c>
      <c r="L107">
        <v>2.5829999999999999E-2</v>
      </c>
      <c r="M107" t="s">
        <v>28</v>
      </c>
      <c r="N107">
        <v>1.9602000000000001E-2</v>
      </c>
      <c r="O107" t="s">
        <v>29</v>
      </c>
      <c r="P107">
        <v>-5.6089E-2</v>
      </c>
      <c r="Q107" t="s">
        <v>30</v>
      </c>
      <c r="R107">
        <v>-0.94782</v>
      </c>
      <c r="S107" t="s">
        <v>31</v>
      </c>
      <c r="T107">
        <v>0.59869000000000006</v>
      </c>
      <c r="U107" t="s">
        <v>32</v>
      </c>
      <c r="V107">
        <v>6.0073000000000001E-2</v>
      </c>
      <c r="W107" t="s">
        <v>33</v>
      </c>
      <c r="X107">
        <v>0.158305</v>
      </c>
      <c r="Y107" t="s">
        <v>34</v>
      </c>
      <c r="Z107">
        <v>0.104183</v>
      </c>
      <c r="AA107" t="s">
        <v>35</v>
      </c>
      <c r="AB107">
        <v>0.150814</v>
      </c>
      <c r="AC107" t="s">
        <v>36</v>
      </c>
      <c r="AD107">
        <v>0.28187499999999999</v>
      </c>
      <c r="AE107" t="s">
        <v>37</v>
      </c>
      <c r="AF107">
        <v>0.26155299999999998</v>
      </c>
      <c r="AG107" t="s">
        <v>38</v>
      </c>
      <c r="AH107">
        <v>0.92790600000000001</v>
      </c>
      <c r="AI107" t="s">
        <v>39</v>
      </c>
      <c r="AJ107">
        <v>0.74387000000000003</v>
      </c>
      <c r="AK107" t="s">
        <v>40</v>
      </c>
      <c r="AL107">
        <v>0.78449100000000005</v>
      </c>
      <c r="AM107" t="s">
        <v>41</v>
      </c>
      <c r="AN107">
        <v>13.935166000000001</v>
      </c>
      <c r="AO107" t="s">
        <v>42</v>
      </c>
      <c r="AP107">
        <v>8.4952749999999995</v>
      </c>
    </row>
    <row r="108" spans="1:42" x14ac:dyDescent="0.3">
      <c r="A108" t="s">
        <v>22</v>
      </c>
      <c r="B108">
        <v>1.0799989999999999</v>
      </c>
      <c r="C108" t="s">
        <v>23</v>
      </c>
      <c r="D108">
        <v>1.0395639999999999</v>
      </c>
      <c r="E108" t="s">
        <v>24</v>
      </c>
      <c r="F108">
        <v>1.2056420000000001</v>
      </c>
      <c r="G108" t="s">
        <v>25</v>
      </c>
      <c r="H108">
        <v>0.91616900000000001</v>
      </c>
      <c r="I108" t="s">
        <v>26</v>
      </c>
      <c r="J108">
        <v>1.0820000000000001E-3</v>
      </c>
      <c r="K108" t="s">
        <v>27</v>
      </c>
      <c r="L108">
        <v>2.5798000000000001E-2</v>
      </c>
      <c r="M108" t="s">
        <v>28</v>
      </c>
      <c r="N108">
        <v>1.9602000000000001E-2</v>
      </c>
      <c r="O108" t="s">
        <v>29</v>
      </c>
      <c r="P108">
        <v>-5.7127999999999998E-2</v>
      </c>
      <c r="Q108" t="s">
        <v>30</v>
      </c>
      <c r="R108">
        <v>-0.93979299999999999</v>
      </c>
      <c r="S108" t="s">
        <v>31</v>
      </c>
      <c r="T108">
        <v>0.59869000000000006</v>
      </c>
      <c r="U108" t="s">
        <v>32</v>
      </c>
      <c r="V108">
        <v>5.9771999999999999E-2</v>
      </c>
      <c r="W108" t="s">
        <v>33</v>
      </c>
      <c r="X108">
        <v>0.15831100000000001</v>
      </c>
      <c r="Y108" t="s">
        <v>34</v>
      </c>
      <c r="Z108">
        <v>0.104183</v>
      </c>
      <c r="AA108" t="s">
        <v>35</v>
      </c>
      <c r="AB108">
        <v>0.150059</v>
      </c>
      <c r="AC108" t="s">
        <v>36</v>
      </c>
      <c r="AD108">
        <v>0.28167199999999998</v>
      </c>
      <c r="AE108" t="s">
        <v>37</v>
      </c>
      <c r="AF108">
        <v>0.26155299999999998</v>
      </c>
      <c r="AG108" t="s">
        <v>38</v>
      </c>
      <c r="AH108">
        <v>0.92857400000000001</v>
      </c>
      <c r="AI108" t="s">
        <v>39</v>
      </c>
      <c r="AJ108">
        <v>0.74430300000000005</v>
      </c>
      <c r="AK108" t="s">
        <v>40</v>
      </c>
      <c r="AL108">
        <v>0.78449100000000005</v>
      </c>
      <c r="AM108" t="s">
        <v>41</v>
      </c>
      <c r="AN108">
        <v>14.065402000000001</v>
      </c>
      <c r="AO108" t="s">
        <v>42</v>
      </c>
      <c r="AP108">
        <v>8.5623299999999993</v>
      </c>
    </row>
    <row r="109" spans="1:42" x14ac:dyDescent="0.3">
      <c r="A109" t="s">
        <v>22</v>
      </c>
      <c r="B109">
        <v>1.0899989999999999</v>
      </c>
      <c r="C109" t="s">
        <v>23</v>
      </c>
      <c r="D109">
        <v>1.0397510000000001</v>
      </c>
      <c r="E109" t="s">
        <v>24</v>
      </c>
      <c r="F109">
        <v>1.204145</v>
      </c>
      <c r="G109" t="s">
        <v>25</v>
      </c>
      <c r="H109">
        <v>0.91616900000000001</v>
      </c>
      <c r="I109" t="s">
        <v>26</v>
      </c>
      <c r="J109">
        <v>1.072E-3</v>
      </c>
      <c r="K109" t="s">
        <v>27</v>
      </c>
      <c r="L109">
        <v>2.5766000000000001E-2</v>
      </c>
      <c r="M109" t="s">
        <v>28</v>
      </c>
      <c r="N109">
        <v>1.9602000000000001E-2</v>
      </c>
      <c r="O109" t="s">
        <v>29</v>
      </c>
      <c r="P109">
        <v>-5.8119999999999998E-2</v>
      </c>
      <c r="Q109" t="s">
        <v>30</v>
      </c>
      <c r="R109">
        <v>-0.93183800000000006</v>
      </c>
      <c r="S109" t="s">
        <v>31</v>
      </c>
      <c r="T109">
        <v>0.59869000000000006</v>
      </c>
      <c r="U109" t="s">
        <v>32</v>
      </c>
      <c r="V109">
        <v>5.9473999999999999E-2</v>
      </c>
      <c r="W109" t="s">
        <v>33</v>
      </c>
      <c r="X109">
        <v>0.15831799999999999</v>
      </c>
      <c r="Y109" t="s">
        <v>34</v>
      </c>
      <c r="Z109">
        <v>0.104183</v>
      </c>
      <c r="AA109" t="s">
        <v>35</v>
      </c>
      <c r="AB109">
        <v>0.14931</v>
      </c>
      <c r="AC109" t="s">
        <v>36</v>
      </c>
      <c r="AD109">
        <v>0.28147100000000003</v>
      </c>
      <c r="AE109" t="s">
        <v>37</v>
      </c>
      <c r="AF109">
        <v>0.26155299999999998</v>
      </c>
      <c r="AG109" t="s">
        <v>38</v>
      </c>
      <c r="AH109">
        <v>0.929234</v>
      </c>
      <c r="AI109" t="s">
        <v>39</v>
      </c>
      <c r="AJ109">
        <v>0.74472899999999997</v>
      </c>
      <c r="AK109" t="s">
        <v>40</v>
      </c>
      <c r="AL109">
        <v>0.78449100000000005</v>
      </c>
      <c r="AM109" t="s">
        <v>41</v>
      </c>
      <c r="AN109">
        <v>14.195637</v>
      </c>
      <c r="AO109" t="s">
        <v>42</v>
      </c>
      <c r="AP109">
        <v>8.6293319999999998</v>
      </c>
    </row>
    <row r="110" spans="1:42" x14ac:dyDescent="0.3">
      <c r="A110" t="s">
        <v>22</v>
      </c>
      <c r="B110">
        <v>1.0999989999999999</v>
      </c>
      <c r="C110" t="s">
        <v>23</v>
      </c>
      <c r="D110">
        <v>1.0399290000000001</v>
      </c>
      <c r="E110" t="s">
        <v>24</v>
      </c>
      <c r="F110">
        <v>1.202661</v>
      </c>
      <c r="G110" t="s">
        <v>25</v>
      </c>
      <c r="H110">
        <v>0.91616900000000001</v>
      </c>
      <c r="I110" t="s">
        <v>26</v>
      </c>
      <c r="J110">
        <v>1.062E-3</v>
      </c>
      <c r="K110" t="s">
        <v>27</v>
      </c>
      <c r="L110">
        <v>2.5734E-2</v>
      </c>
      <c r="M110" t="s">
        <v>28</v>
      </c>
      <c r="N110">
        <v>1.9602000000000001E-2</v>
      </c>
      <c r="O110" t="s">
        <v>29</v>
      </c>
      <c r="P110">
        <v>-5.9066E-2</v>
      </c>
      <c r="Q110" t="s">
        <v>30</v>
      </c>
      <c r="R110">
        <v>-0.92395300000000002</v>
      </c>
      <c r="S110" t="s">
        <v>31</v>
      </c>
      <c r="T110">
        <v>0.59869000000000006</v>
      </c>
      <c r="U110" t="s">
        <v>32</v>
      </c>
      <c r="V110">
        <v>5.9178000000000001E-2</v>
      </c>
      <c r="W110" t="s">
        <v>33</v>
      </c>
      <c r="X110">
        <v>0.158327</v>
      </c>
      <c r="Y110" t="s">
        <v>34</v>
      </c>
      <c r="Z110">
        <v>0.104183</v>
      </c>
      <c r="AA110" t="s">
        <v>35</v>
      </c>
      <c r="AB110">
        <v>0.148567</v>
      </c>
      <c r="AC110" t="s">
        <v>36</v>
      </c>
      <c r="AD110">
        <v>0.28127400000000002</v>
      </c>
      <c r="AE110" t="s">
        <v>37</v>
      </c>
      <c r="AF110">
        <v>0.26155299999999998</v>
      </c>
      <c r="AG110" t="s">
        <v>38</v>
      </c>
      <c r="AH110">
        <v>0.92988700000000002</v>
      </c>
      <c r="AI110" t="s">
        <v>39</v>
      </c>
      <c r="AJ110">
        <v>0.74514800000000003</v>
      </c>
      <c r="AK110" t="s">
        <v>40</v>
      </c>
      <c r="AL110">
        <v>0.78449100000000005</v>
      </c>
      <c r="AM110" t="s">
        <v>41</v>
      </c>
      <c r="AN110">
        <v>14.325872</v>
      </c>
      <c r="AO110" t="s">
        <v>42</v>
      </c>
      <c r="AP110">
        <v>8.6962820000000001</v>
      </c>
    </row>
    <row r="111" spans="1:42" x14ac:dyDescent="0.3">
      <c r="A111" t="s">
        <v>22</v>
      </c>
      <c r="B111">
        <v>1.109999</v>
      </c>
      <c r="C111" t="s">
        <v>23</v>
      </c>
      <c r="D111">
        <v>1.040098</v>
      </c>
      <c r="E111" t="s">
        <v>24</v>
      </c>
      <c r="F111">
        <v>1.2011909999999999</v>
      </c>
      <c r="G111" t="s">
        <v>25</v>
      </c>
      <c r="H111">
        <v>0.91616900000000001</v>
      </c>
      <c r="I111" t="s">
        <v>26</v>
      </c>
      <c r="J111">
        <v>1.052E-3</v>
      </c>
      <c r="K111" t="s">
        <v>27</v>
      </c>
      <c r="L111">
        <v>2.5701999999999999E-2</v>
      </c>
      <c r="M111" t="s">
        <v>28</v>
      </c>
      <c r="N111">
        <v>1.9602000000000001E-2</v>
      </c>
      <c r="O111" t="s">
        <v>29</v>
      </c>
      <c r="P111">
        <v>-5.9965999999999998E-2</v>
      </c>
      <c r="Q111" t="s">
        <v>30</v>
      </c>
      <c r="R111">
        <v>-0.91613900000000004</v>
      </c>
      <c r="S111" t="s">
        <v>31</v>
      </c>
      <c r="T111">
        <v>0.59869000000000006</v>
      </c>
      <c r="U111" t="s">
        <v>32</v>
      </c>
      <c r="V111">
        <v>5.8883999999999999E-2</v>
      </c>
      <c r="W111" t="s">
        <v>33</v>
      </c>
      <c r="X111">
        <v>0.15833700000000001</v>
      </c>
      <c r="Y111" t="s">
        <v>34</v>
      </c>
      <c r="Z111">
        <v>0.104183</v>
      </c>
      <c r="AA111" t="s">
        <v>35</v>
      </c>
      <c r="AB111">
        <v>0.14782799999999999</v>
      </c>
      <c r="AC111" t="s">
        <v>36</v>
      </c>
      <c r="AD111">
        <v>0.28107900000000002</v>
      </c>
      <c r="AE111" t="s">
        <v>37</v>
      </c>
      <c r="AF111">
        <v>0.26155299999999998</v>
      </c>
      <c r="AG111" t="s">
        <v>38</v>
      </c>
      <c r="AH111">
        <v>0.93053200000000003</v>
      </c>
      <c r="AI111" t="s">
        <v>39</v>
      </c>
      <c r="AJ111">
        <v>0.74556199999999995</v>
      </c>
      <c r="AK111" t="s">
        <v>40</v>
      </c>
      <c r="AL111">
        <v>0.78449100000000005</v>
      </c>
      <c r="AM111" t="s">
        <v>41</v>
      </c>
      <c r="AN111">
        <v>14.456106999999999</v>
      </c>
      <c r="AO111" t="s">
        <v>42</v>
      </c>
      <c r="AP111">
        <v>8.7631829999999997</v>
      </c>
    </row>
    <row r="112" spans="1:42" x14ac:dyDescent="0.3">
      <c r="A112" t="s">
        <v>22</v>
      </c>
      <c r="B112">
        <v>1.119999</v>
      </c>
      <c r="C112" t="s">
        <v>23</v>
      </c>
      <c r="D112">
        <v>1.04026</v>
      </c>
      <c r="E112" t="s">
        <v>24</v>
      </c>
      <c r="F112">
        <v>1.1997329999999999</v>
      </c>
      <c r="G112" t="s">
        <v>25</v>
      </c>
      <c r="H112">
        <v>0.91616900000000001</v>
      </c>
      <c r="I112" t="s">
        <v>26</v>
      </c>
      <c r="J112">
        <v>1.042E-3</v>
      </c>
      <c r="K112" t="s">
        <v>27</v>
      </c>
      <c r="L112">
        <v>2.5670999999999999E-2</v>
      </c>
      <c r="M112" t="s">
        <v>28</v>
      </c>
      <c r="N112">
        <v>1.9602000000000001E-2</v>
      </c>
      <c r="O112" t="s">
        <v>29</v>
      </c>
      <c r="P112">
        <v>-6.0824000000000003E-2</v>
      </c>
      <c r="Q112" t="s">
        <v>30</v>
      </c>
      <c r="R112">
        <v>-0.90839300000000001</v>
      </c>
      <c r="S112" t="s">
        <v>31</v>
      </c>
      <c r="T112">
        <v>0.59869000000000006</v>
      </c>
      <c r="U112" t="s">
        <v>32</v>
      </c>
      <c r="V112">
        <v>5.8591999999999998E-2</v>
      </c>
      <c r="W112" t="s">
        <v>33</v>
      </c>
      <c r="X112">
        <v>0.15834899999999999</v>
      </c>
      <c r="Y112" t="s">
        <v>34</v>
      </c>
      <c r="Z112">
        <v>0.104183</v>
      </c>
      <c r="AA112" t="s">
        <v>35</v>
      </c>
      <c r="AB112">
        <v>0.147095</v>
      </c>
      <c r="AC112" t="s">
        <v>36</v>
      </c>
      <c r="AD112">
        <v>0.280887</v>
      </c>
      <c r="AE112" t="s">
        <v>37</v>
      </c>
      <c r="AF112">
        <v>0.26155299999999998</v>
      </c>
      <c r="AG112" t="s">
        <v>38</v>
      </c>
      <c r="AH112">
        <v>0.93116900000000002</v>
      </c>
      <c r="AI112" t="s">
        <v>39</v>
      </c>
      <c r="AJ112">
        <v>0.74596899999999999</v>
      </c>
      <c r="AK112" t="s">
        <v>40</v>
      </c>
      <c r="AL112">
        <v>0.78449100000000005</v>
      </c>
      <c r="AM112" t="s">
        <v>41</v>
      </c>
      <c r="AN112">
        <v>14.586342999999999</v>
      </c>
      <c r="AO112" t="s">
        <v>42</v>
      </c>
      <c r="AP112">
        <v>8.8300350000000005</v>
      </c>
    </row>
    <row r="113" spans="1:42" x14ac:dyDescent="0.3">
      <c r="A113" t="s">
        <v>22</v>
      </c>
      <c r="B113">
        <v>1.129999</v>
      </c>
      <c r="C113" t="s">
        <v>23</v>
      </c>
      <c r="D113">
        <v>1.040413</v>
      </c>
      <c r="E113" t="s">
        <v>24</v>
      </c>
      <c r="F113">
        <v>1.1982889999999999</v>
      </c>
      <c r="G113" t="s">
        <v>25</v>
      </c>
      <c r="H113">
        <v>0.91616900000000001</v>
      </c>
      <c r="I113" t="s">
        <v>26</v>
      </c>
      <c r="J113">
        <v>1.0319999999999999E-3</v>
      </c>
      <c r="K113" t="s">
        <v>27</v>
      </c>
      <c r="L113">
        <v>2.564E-2</v>
      </c>
      <c r="M113" t="s">
        <v>28</v>
      </c>
      <c r="N113">
        <v>1.9602000000000001E-2</v>
      </c>
      <c r="O113" t="s">
        <v>29</v>
      </c>
      <c r="P113">
        <v>-6.1636000000000003E-2</v>
      </c>
      <c r="Q113" t="s">
        <v>30</v>
      </c>
      <c r="R113">
        <v>-0.90071699999999999</v>
      </c>
      <c r="S113" t="s">
        <v>31</v>
      </c>
      <c r="T113">
        <v>0.59869000000000006</v>
      </c>
      <c r="U113" t="s">
        <v>32</v>
      </c>
      <c r="V113">
        <v>5.8302E-2</v>
      </c>
      <c r="W113" t="s">
        <v>33</v>
      </c>
      <c r="X113">
        <v>0.158362</v>
      </c>
      <c r="Y113" t="s">
        <v>34</v>
      </c>
      <c r="Z113">
        <v>0.104183</v>
      </c>
      <c r="AA113" t="s">
        <v>35</v>
      </c>
      <c r="AB113">
        <v>0.146367</v>
      </c>
      <c r="AC113" t="s">
        <v>36</v>
      </c>
      <c r="AD113">
        <v>0.28069699999999997</v>
      </c>
      <c r="AE113" t="s">
        <v>37</v>
      </c>
      <c r="AF113">
        <v>0.26155299999999998</v>
      </c>
      <c r="AG113" t="s">
        <v>38</v>
      </c>
      <c r="AH113">
        <v>0.93179800000000002</v>
      </c>
      <c r="AI113" t="s">
        <v>39</v>
      </c>
      <c r="AJ113">
        <v>0.74636999999999998</v>
      </c>
      <c r="AK113" t="s">
        <v>40</v>
      </c>
      <c r="AL113">
        <v>0.78449100000000005</v>
      </c>
      <c r="AM113" t="s">
        <v>41</v>
      </c>
      <c r="AN113">
        <v>14.716578</v>
      </c>
      <c r="AO113" t="s">
        <v>42</v>
      </c>
      <c r="AP113">
        <v>8.8968410000000002</v>
      </c>
    </row>
    <row r="114" spans="1:42" x14ac:dyDescent="0.3">
      <c r="A114" t="s">
        <v>22</v>
      </c>
      <c r="B114">
        <v>1.139999</v>
      </c>
      <c r="C114" t="s">
        <v>23</v>
      </c>
      <c r="D114">
        <v>1.040557</v>
      </c>
      <c r="E114" t="s">
        <v>24</v>
      </c>
      <c r="F114">
        <v>1.1968570000000001</v>
      </c>
      <c r="G114" t="s">
        <v>25</v>
      </c>
      <c r="H114">
        <v>0.91616900000000001</v>
      </c>
      <c r="I114" t="s">
        <v>26</v>
      </c>
      <c r="J114">
        <v>1.0219999999999999E-3</v>
      </c>
      <c r="K114" t="s">
        <v>27</v>
      </c>
      <c r="L114">
        <v>2.5610000000000001E-2</v>
      </c>
      <c r="M114" t="s">
        <v>28</v>
      </c>
      <c r="N114">
        <v>1.9602000000000001E-2</v>
      </c>
      <c r="O114" t="s">
        <v>29</v>
      </c>
      <c r="P114">
        <v>-6.2406000000000003E-2</v>
      </c>
      <c r="Q114" t="s">
        <v>30</v>
      </c>
      <c r="R114">
        <v>-0.89310699999999998</v>
      </c>
      <c r="S114" t="s">
        <v>31</v>
      </c>
      <c r="T114">
        <v>0.59869000000000006</v>
      </c>
      <c r="U114" t="s">
        <v>32</v>
      </c>
      <c r="V114">
        <v>5.8014000000000003E-2</v>
      </c>
      <c r="W114" t="s">
        <v>33</v>
      </c>
      <c r="X114">
        <v>0.15837599999999999</v>
      </c>
      <c r="Y114" t="s">
        <v>34</v>
      </c>
      <c r="Z114">
        <v>0.104183</v>
      </c>
      <c r="AA114" t="s">
        <v>35</v>
      </c>
      <c r="AB114">
        <v>0.145645</v>
      </c>
      <c r="AC114" t="s">
        <v>36</v>
      </c>
      <c r="AD114">
        <v>0.28050999999999998</v>
      </c>
      <c r="AE114" t="s">
        <v>37</v>
      </c>
      <c r="AF114">
        <v>0.26155299999999998</v>
      </c>
      <c r="AG114" t="s">
        <v>38</v>
      </c>
      <c r="AH114">
        <v>0.93242000000000003</v>
      </c>
      <c r="AI114" t="s">
        <v>39</v>
      </c>
      <c r="AJ114">
        <v>0.74676600000000004</v>
      </c>
      <c r="AK114" t="s">
        <v>40</v>
      </c>
      <c r="AL114">
        <v>0.78449100000000005</v>
      </c>
      <c r="AM114" t="s">
        <v>41</v>
      </c>
      <c r="AN114">
        <v>14.846812999999999</v>
      </c>
      <c r="AO114" t="s">
        <v>42</v>
      </c>
      <c r="AP114">
        <v>8.9636019999999998</v>
      </c>
    </row>
    <row r="115" spans="1:42" x14ac:dyDescent="0.3">
      <c r="A115" t="s">
        <v>22</v>
      </c>
      <c r="B115">
        <v>1.149999</v>
      </c>
      <c r="C115" t="s">
        <v>23</v>
      </c>
      <c r="D115">
        <v>1.040694</v>
      </c>
      <c r="E115" t="s">
        <v>24</v>
      </c>
      <c r="F115">
        <v>1.195438</v>
      </c>
      <c r="G115" t="s">
        <v>25</v>
      </c>
      <c r="H115">
        <v>0.91616900000000001</v>
      </c>
      <c r="I115" t="s">
        <v>26</v>
      </c>
      <c r="J115">
        <v>1.013E-3</v>
      </c>
      <c r="K115" t="s">
        <v>27</v>
      </c>
      <c r="L115">
        <v>2.5579000000000001E-2</v>
      </c>
      <c r="M115" t="s">
        <v>28</v>
      </c>
      <c r="N115">
        <v>1.9602000000000001E-2</v>
      </c>
      <c r="O115" t="s">
        <v>29</v>
      </c>
      <c r="P115">
        <v>-6.3133999999999996E-2</v>
      </c>
      <c r="Q115" t="s">
        <v>30</v>
      </c>
      <c r="R115">
        <v>-0.88556400000000002</v>
      </c>
      <c r="S115" t="s">
        <v>31</v>
      </c>
      <c r="T115">
        <v>0.59869000000000006</v>
      </c>
      <c r="U115" t="s">
        <v>32</v>
      </c>
      <c r="V115">
        <v>5.7728000000000002E-2</v>
      </c>
      <c r="W115" t="s">
        <v>33</v>
      </c>
      <c r="X115">
        <v>0.158391</v>
      </c>
      <c r="Y115" t="s">
        <v>34</v>
      </c>
      <c r="Z115">
        <v>0.104183</v>
      </c>
      <c r="AA115" t="s">
        <v>35</v>
      </c>
      <c r="AB115">
        <v>0.144927</v>
      </c>
      <c r="AC115" t="s">
        <v>36</v>
      </c>
      <c r="AD115">
        <v>0.28032499999999999</v>
      </c>
      <c r="AE115" t="s">
        <v>37</v>
      </c>
      <c r="AF115">
        <v>0.26155299999999998</v>
      </c>
      <c r="AG115" t="s">
        <v>38</v>
      </c>
      <c r="AH115">
        <v>0.93303499999999995</v>
      </c>
      <c r="AI115" t="s">
        <v>39</v>
      </c>
      <c r="AJ115">
        <v>0.74715600000000004</v>
      </c>
      <c r="AK115" t="s">
        <v>40</v>
      </c>
      <c r="AL115">
        <v>0.78449100000000005</v>
      </c>
      <c r="AM115" t="s">
        <v>41</v>
      </c>
      <c r="AN115">
        <v>14.977048</v>
      </c>
      <c r="AO115" t="s">
        <v>42</v>
      </c>
      <c r="AP115">
        <v>9.0303190000000004</v>
      </c>
    </row>
    <row r="116" spans="1:42" x14ac:dyDescent="0.3">
      <c r="A116" t="s">
        <v>22</v>
      </c>
      <c r="B116">
        <v>1.159999</v>
      </c>
      <c r="C116" t="s">
        <v>23</v>
      </c>
      <c r="D116">
        <v>1.0408230000000001</v>
      </c>
      <c r="E116" t="s">
        <v>24</v>
      </c>
      <c r="F116">
        <v>1.1940310000000001</v>
      </c>
      <c r="G116" t="s">
        <v>25</v>
      </c>
      <c r="H116">
        <v>0.91616900000000001</v>
      </c>
      <c r="I116" t="s">
        <v>26</v>
      </c>
      <c r="J116">
        <v>1.0039999999999999E-3</v>
      </c>
      <c r="K116" t="s">
        <v>27</v>
      </c>
      <c r="L116">
        <v>2.5548999999999999E-2</v>
      </c>
      <c r="M116" t="s">
        <v>28</v>
      </c>
      <c r="N116">
        <v>1.9602000000000001E-2</v>
      </c>
      <c r="O116" t="s">
        <v>29</v>
      </c>
      <c r="P116">
        <v>-6.3821000000000003E-2</v>
      </c>
      <c r="Q116" t="s">
        <v>30</v>
      </c>
      <c r="R116">
        <v>-0.87808799999999998</v>
      </c>
      <c r="S116" t="s">
        <v>31</v>
      </c>
      <c r="T116">
        <v>0.59869000000000006</v>
      </c>
      <c r="U116" t="s">
        <v>32</v>
      </c>
      <c r="V116">
        <v>5.7445000000000003E-2</v>
      </c>
      <c r="W116" t="s">
        <v>33</v>
      </c>
      <c r="X116">
        <v>0.15840799999999999</v>
      </c>
      <c r="Y116" t="s">
        <v>34</v>
      </c>
      <c r="Z116">
        <v>0.104183</v>
      </c>
      <c r="AA116" t="s">
        <v>35</v>
      </c>
      <c r="AB116">
        <v>0.14421500000000001</v>
      </c>
      <c r="AC116" t="s">
        <v>36</v>
      </c>
      <c r="AD116">
        <v>0.280142</v>
      </c>
      <c r="AE116" t="s">
        <v>37</v>
      </c>
      <c r="AF116">
        <v>0.26155299999999998</v>
      </c>
      <c r="AG116" t="s">
        <v>38</v>
      </c>
      <c r="AH116">
        <v>0.933643</v>
      </c>
      <c r="AI116" t="s">
        <v>39</v>
      </c>
      <c r="AJ116">
        <v>0.74754100000000001</v>
      </c>
      <c r="AK116" t="s">
        <v>40</v>
      </c>
      <c r="AL116">
        <v>0.78449100000000005</v>
      </c>
      <c r="AM116" t="s">
        <v>41</v>
      </c>
      <c r="AN116">
        <v>15.107284</v>
      </c>
      <c r="AO116" t="s">
        <v>42</v>
      </c>
      <c r="AP116">
        <v>9.0969949999999997</v>
      </c>
    </row>
    <row r="117" spans="1:42" x14ac:dyDescent="0.3">
      <c r="A117" t="s">
        <v>22</v>
      </c>
      <c r="B117">
        <v>1.169999</v>
      </c>
      <c r="C117" t="s">
        <v>23</v>
      </c>
      <c r="D117">
        <v>1.040945</v>
      </c>
      <c r="E117" t="s">
        <v>24</v>
      </c>
      <c r="F117">
        <v>1.1926369999999999</v>
      </c>
      <c r="G117" t="s">
        <v>25</v>
      </c>
      <c r="H117">
        <v>0.91616900000000001</v>
      </c>
      <c r="I117" t="s">
        <v>26</v>
      </c>
      <c r="J117">
        <v>9.9400000000000009E-4</v>
      </c>
      <c r="K117" t="s">
        <v>27</v>
      </c>
      <c r="L117">
        <v>2.5519E-2</v>
      </c>
      <c r="M117" t="s">
        <v>28</v>
      </c>
      <c r="N117">
        <v>1.9602000000000001E-2</v>
      </c>
      <c r="O117" t="s">
        <v>29</v>
      </c>
      <c r="P117">
        <v>-6.4467999999999998E-2</v>
      </c>
      <c r="Q117" t="s">
        <v>30</v>
      </c>
      <c r="R117">
        <v>-0.87067700000000003</v>
      </c>
      <c r="S117" t="s">
        <v>31</v>
      </c>
      <c r="T117">
        <v>0.59869000000000006</v>
      </c>
      <c r="U117" t="s">
        <v>32</v>
      </c>
      <c r="V117">
        <v>5.7162999999999999E-2</v>
      </c>
      <c r="W117" t="s">
        <v>33</v>
      </c>
      <c r="X117">
        <v>0.15842600000000001</v>
      </c>
      <c r="Y117" t="s">
        <v>34</v>
      </c>
      <c r="Z117">
        <v>0.104183</v>
      </c>
      <c r="AA117" t="s">
        <v>35</v>
      </c>
      <c r="AB117">
        <v>0.143508</v>
      </c>
      <c r="AC117" t="s">
        <v>36</v>
      </c>
      <c r="AD117">
        <v>0.27996199999999999</v>
      </c>
      <c r="AE117" t="s">
        <v>37</v>
      </c>
      <c r="AF117">
        <v>0.26155299999999998</v>
      </c>
      <c r="AG117" t="s">
        <v>38</v>
      </c>
      <c r="AH117">
        <v>0.93424300000000005</v>
      </c>
      <c r="AI117" t="s">
        <v>39</v>
      </c>
      <c r="AJ117">
        <v>0.747919</v>
      </c>
      <c r="AK117" t="s">
        <v>40</v>
      </c>
      <c r="AL117">
        <v>0.78449100000000005</v>
      </c>
      <c r="AM117" t="s">
        <v>41</v>
      </c>
      <c r="AN117">
        <v>15.237519000000001</v>
      </c>
      <c r="AO117" t="s">
        <v>42</v>
      </c>
      <c r="AP117">
        <v>9.1636310000000005</v>
      </c>
    </row>
    <row r="118" spans="1:42" x14ac:dyDescent="0.3">
      <c r="A118" t="s">
        <v>22</v>
      </c>
      <c r="B118">
        <v>1.179999</v>
      </c>
      <c r="C118" t="s">
        <v>23</v>
      </c>
      <c r="D118">
        <v>1.0410600000000001</v>
      </c>
      <c r="E118" t="s">
        <v>24</v>
      </c>
      <c r="F118">
        <v>1.191255</v>
      </c>
      <c r="G118" t="s">
        <v>25</v>
      </c>
      <c r="H118">
        <v>0.91616900000000001</v>
      </c>
      <c r="I118" t="s">
        <v>26</v>
      </c>
      <c r="J118">
        <v>9.8499999999999998E-4</v>
      </c>
      <c r="K118" t="s">
        <v>27</v>
      </c>
      <c r="L118">
        <v>2.5489999999999999E-2</v>
      </c>
      <c r="M118" t="s">
        <v>28</v>
      </c>
      <c r="N118">
        <v>1.9602000000000001E-2</v>
      </c>
      <c r="O118" t="s">
        <v>29</v>
      </c>
      <c r="P118">
        <v>-6.5074999999999994E-2</v>
      </c>
      <c r="Q118" t="s">
        <v>30</v>
      </c>
      <c r="R118">
        <v>-0.86333199999999999</v>
      </c>
      <c r="S118" t="s">
        <v>31</v>
      </c>
      <c r="T118">
        <v>0.59869000000000006</v>
      </c>
      <c r="U118" t="s">
        <v>32</v>
      </c>
      <c r="V118">
        <v>5.6883000000000003E-2</v>
      </c>
      <c r="W118" t="s">
        <v>33</v>
      </c>
      <c r="X118">
        <v>0.158445</v>
      </c>
      <c r="Y118" t="s">
        <v>34</v>
      </c>
      <c r="Z118">
        <v>0.104183</v>
      </c>
      <c r="AA118" t="s">
        <v>35</v>
      </c>
      <c r="AB118">
        <v>0.14280699999999999</v>
      </c>
      <c r="AC118" t="s">
        <v>36</v>
      </c>
      <c r="AD118">
        <v>0.27978500000000001</v>
      </c>
      <c r="AE118" t="s">
        <v>37</v>
      </c>
      <c r="AF118">
        <v>0.26155299999999998</v>
      </c>
      <c r="AG118" t="s">
        <v>38</v>
      </c>
      <c r="AH118">
        <v>0.934836</v>
      </c>
      <c r="AI118" t="s">
        <v>39</v>
      </c>
      <c r="AJ118">
        <v>0.74829299999999999</v>
      </c>
      <c r="AK118" t="s">
        <v>40</v>
      </c>
      <c r="AL118">
        <v>0.78449100000000005</v>
      </c>
      <c r="AM118" t="s">
        <v>41</v>
      </c>
      <c r="AN118">
        <v>15.367754</v>
      </c>
      <c r="AO118" t="s">
        <v>42</v>
      </c>
      <c r="AP118">
        <v>9.2302289999999996</v>
      </c>
    </row>
    <row r="119" spans="1:42" x14ac:dyDescent="0.3">
      <c r="A119" t="s">
        <v>22</v>
      </c>
      <c r="B119">
        <v>1.189999</v>
      </c>
      <c r="C119" t="s">
        <v>23</v>
      </c>
      <c r="D119">
        <v>1.041167</v>
      </c>
      <c r="E119" t="s">
        <v>24</v>
      </c>
      <c r="F119">
        <v>1.1898850000000001</v>
      </c>
      <c r="G119" t="s">
        <v>25</v>
      </c>
      <c r="H119">
        <v>0.91616900000000001</v>
      </c>
      <c r="I119" t="s">
        <v>26</v>
      </c>
      <c r="J119">
        <v>9.7599999999999998E-4</v>
      </c>
      <c r="K119" t="s">
        <v>27</v>
      </c>
      <c r="L119">
        <v>2.546E-2</v>
      </c>
      <c r="M119" t="s">
        <v>28</v>
      </c>
      <c r="N119">
        <v>1.9602000000000001E-2</v>
      </c>
      <c r="O119" t="s">
        <v>29</v>
      </c>
      <c r="P119">
        <v>-6.5643999999999994E-2</v>
      </c>
      <c r="Q119" t="s">
        <v>30</v>
      </c>
      <c r="R119">
        <v>-0.85604899999999995</v>
      </c>
      <c r="S119" t="s">
        <v>31</v>
      </c>
      <c r="T119">
        <v>0.59869000000000006</v>
      </c>
      <c r="U119" t="s">
        <v>32</v>
      </c>
      <c r="V119">
        <v>5.6605999999999997E-2</v>
      </c>
      <c r="W119" t="s">
        <v>33</v>
      </c>
      <c r="X119">
        <v>0.15846499999999999</v>
      </c>
      <c r="Y119" t="s">
        <v>34</v>
      </c>
      <c r="Z119">
        <v>0.104183</v>
      </c>
      <c r="AA119" t="s">
        <v>35</v>
      </c>
      <c r="AB119">
        <v>0.14210999999999999</v>
      </c>
      <c r="AC119" t="s">
        <v>36</v>
      </c>
      <c r="AD119">
        <v>0.27961000000000003</v>
      </c>
      <c r="AE119" t="s">
        <v>37</v>
      </c>
      <c r="AF119">
        <v>0.26155299999999998</v>
      </c>
      <c r="AG119" t="s">
        <v>38</v>
      </c>
      <c r="AH119">
        <v>0.93542199999999998</v>
      </c>
      <c r="AI119" t="s">
        <v>39</v>
      </c>
      <c r="AJ119">
        <v>0.74865999999999999</v>
      </c>
      <c r="AK119" t="s">
        <v>40</v>
      </c>
      <c r="AL119">
        <v>0.78449100000000005</v>
      </c>
      <c r="AM119" t="s">
        <v>41</v>
      </c>
      <c r="AN119">
        <v>15.49799</v>
      </c>
      <c r="AO119" t="s">
        <v>42</v>
      </c>
      <c r="AP119">
        <v>9.2967890000000004</v>
      </c>
    </row>
    <row r="120" spans="1:42" x14ac:dyDescent="0.3">
      <c r="A120" t="s">
        <v>22</v>
      </c>
      <c r="B120">
        <v>1.199999</v>
      </c>
      <c r="C120" t="s">
        <v>23</v>
      </c>
      <c r="D120">
        <v>1.041266</v>
      </c>
      <c r="E120" t="s">
        <v>24</v>
      </c>
      <c r="F120">
        <v>1.1885269999999999</v>
      </c>
      <c r="G120" t="s">
        <v>25</v>
      </c>
      <c r="H120">
        <v>0.91616900000000001</v>
      </c>
      <c r="I120" t="s">
        <v>26</v>
      </c>
      <c r="J120">
        <v>9.68E-4</v>
      </c>
      <c r="K120" t="s">
        <v>27</v>
      </c>
      <c r="L120">
        <v>2.5430999999999999E-2</v>
      </c>
      <c r="M120" t="s">
        <v>28</v>
      </c>
      <c r="N120">
        <v>1.9602000000000001E-2</v>
      </c>
      <c r="O120" t="s">
        <v>29</v>
      </c>
      <c r="P120">
        <v>-6.6174999999999998E-2</v>
      </c>
      <c r="Q120" t="s">
        <v>30</v>
      </c>
      <c r="R120">
        <v>-0.848831</v>
      </c>
      <c r="S120" t="s">
        <v>31</v>
      </c>
      <c r="T120">
        <v>0.59869000000000006</v>
      </c>
      <c r="U120" t="s">
        <v>32</v>
      </c>
      <c r="V120">
        <v>5.6329999999999998E-2</v>
      </c>
      <c r="W120" t="s">
        <v>33</v>
      </c>
      <c r="X120">
        <v>0.15848699999999999</v>
      </c>
      <c r="Y120" t="s">
        <v>34</v>
      </c>
      <c r="Z120">
        <v>0.104183</v>
      </c>
      <c r="AA120" t="s">
        <v>35</v>
      </c>
      <c r="AB120">
        <v>0.14141799999999999</v>
      </c>
      <c r="AC120" t="s">
        <v>36</v>
      </c>
      <c r="AD120">
        <v>0.27943600000000002</v>
      </c>
      <c r="AE120" t="s">
        <v>37</v>
      </c>
      <c r="AF120">
        <v>0.26155299999999998</v>
      </c>
      <c r="AG120" t="s">
        <v>38</v>
      </c>
      <c r="AH120">
        <v>0.936002</v>
      </c>
      <c r="AI120" t="s">
        <v>39</v>
      </c>
      <c r="AJ120">
        <v>0.74902500000000005</v>
      </c>
      <c r="AK120" t="s">
        <v>40</v>
      </c>
      <c r="AL120">
        <v>0.78449100000000005</v>
      </c>
      <c r="AM120" t="s">
        <v>41</v>
      </c>
      <c r="AN120">
        <v>15.628223999999999</v>
      </c>
      <c r="AO120" t="s">
        <v>42</v>
      </c>
      <c r="AP120">
        <v>9.3633140000000008</v>
      </c>
    </row>
    <row r="121" spans="1:42" x14ac:dyDescent="0.3">
      <c r="A121" t="s">
        <v>22</v>
      </c>
      <c r="B121">
        <v>1.209999</v>
      </c>
      <c r="C121" t="s">
        <v>23</v>
      </c>
      <c r="D121">
        <v>1.0413600000000001</v>
      </c>
      <c r="E121" t="s">
        <v>24</v>
      </c>
      <c r="F121">
        <v>1.1871799999999999</v>
      </c>
      <c r="G121" t="s">
        <v>25</v>
      </c>
      <c r="H121">
        <v>0.91616900000000001</v>
      </c>
      <c r="I121" t="s">
        <v>26</v>
      </c>
      <c r="J121">
        <v>9.59E-4</v>
      </c>
      <c r="K121" t="s">
        <v>27</v>
      </c>
      <c r="L121">
        <v>2.5402000000000001E-2</v>
      </c>
      <c r="M121" t="s">
        <v>28</v>
      </c>
      <c r="N121">
        <v>1.9602000000000001E-2</v>
      </c>
      <c r="O121" t="s">
        <v>29</v>
      </c>
      <c r="P121">
        <v>-6.6669999999999993E-2</v>
      </c>
      <c r="Q121" t="s">
        <v>30</v>
      </c>
      <c r="R121">
        <v>-0.84167400000000003</v>
      </c>
      <c r="S121" t="s">
        <v>31</v>
      </c>
      <c r="T121">
        <v>0.59869000000000006</v>
      </c>
      <c r="U121" t="s">
        <v>32</v>
      </c>
      <c r="V121">
        <v>5.6057000000000003E-2</v>
      </c>
      <c r="W121" t="s">
        <v>33</v>
      </c>
      <c r="X121">
        <v>0.15851000000000001</v>
      </c>
      <c r="Y121" t="s">
        <v>34</v>
      </c>
      <c r="Z121">
        <v>0.104183</v>
      </c>
      <c r="AA121" t="s">
        <v>35</v>
      </c>
      <c r="AB121">
        <v>0.140732</v>
      </c>
      <c r="AC121" t="s">
        <v>36</v>
      </c>
      <c r="AD121">
        <v>0.27926499999999999</v>
      </c>
      <c r="AE121" t="s">
        <v>37</v>
      </c>
      <c r="AF121">
        <v>0.26155299999999998</v>
      </c>
      <c r="AG121" t="s">
        <v>38</v>
      </c>
      <c r="AH121">
        <v>0.93657400000000002</v>
      </c>
      <c r="AI121" t="s">
        <v>39</v>
      </c>
      <c r="AJ121">
        <v>0.74938300000000002</v>
      </c>
      <c r="AK121" t="s">
        <v>40</v>
      </c>
      <c r="AL121">
        <v>0.78449100000000005</v>
      </c>
      <c r="AM121" t="s">
        <v>41</v>
      </c>
      <c r="AN121">
        <v>15.758459999999999</v>
      </c>
      <c r="AO121" t="s">
        <v>42</v>
      </c>
      <c r="AP121">
        <v>9.4298020000000005</v>
      </c>
    </row>
    <row r="122" spans="1:42" x14ac:dyDescent="0.3">
      <c r="A122" t="s">
        <v>22</v>
      </c>
      <c r="B122">
        <v>1.2199990000000001</v>
      </c>
      <c r="C122" t="s">
        <v>23</v>
      </c>
      <c r="D122">
        <v>1.041445</v>
      </c>
      <c r="E122" t="s">
        <v>24</v>
      </c>
      <c r="F122">
        <v>1.185845</v>
      </c>
      <c r="G122" t="s">
        <v>25</v>
      </c>
      <c r="H122">
        <v>0.91616900000000001</v>
      </c>
      <c r="I122" t="s">
        <v>26</v>
      </c>
      <c r="J122">
        <v>9.5E-4</v>
      </c>
      <c r="K122" t="s">
        <v>27</v>
      </c>
      <c r="L122">
        <v>2.5374000000000001E-2</v>
      </c>
      <c r="M122" t="s">
        <v>28</v>
      </c>
      <c r="N122">
        <v>1.9602000000000001E-2</v>
      </c>
      <c r="O122" t="s">
        <v>29</v>
      </c>
      <c r="P122">
        <v>-6.7126000000000005E-2</v>
      </c>
      <c r="Q122" t="s">
        <v>30</v>
      </c>
      <c r="R122">
        <v>-0.83457899999999996</v>
      </c>
      <c r="S122" t="s">
        <v>31</v>
      </c>
      <c r="T122">
        <v>0.59869000000000006</v>
      </c>
      <c r="U122" t="s">
        <v>32</v>
      </c>
      <c r="V122">
        <v>5.5785000000000001E-2</v>
      </c>
      <c r="W122" t="s">
        <v>33</v>
      </c>
      <c r="X122">
        <v>0.15853400000000001</v>
      </c>
      <c r="Y122" t="s">
        <v>34</v>
      </c>
      <c r="Z122">
        <v>0.104183</v>
      </c>
      <c r="AA122" t="s">
        <v>35</v>
      </c>
      <c r="AB122">
        <v>0.14005000000000001</v>
      </c>
      <c r="AC122" t="s">
        <v>36</v>
      </c>
      <c r="AD122">
        <v>0.27909699999999998</v>
      </c>
      <c r="AE122" t="s">
        <v>37</v>
      </c>
      <c r="AF122">
        <v>0.26155299999999998</v>
      </c>
      <c r="AG122" t="s">
        <v>38</v>
      </c>
      <c r="AH122">
        <v>0.93713999999999997</v>
      </c>
      <c r="AI122" t="s">
        <v>39</v>
      </c>
      <c r="AJ122">
        <v>0.74973599999999996</v>
      </c>
      <c r="AK122" t="s">
        <v>40</v>
      </c>
      <c r="AL122">
        <v>0.78449100000000005</v>
      </c>
      <c r="AM122" t="s">
        <v>41</v>
      </c>
      <c r="AN122">
        <v>15.888695</v>
      </c>
      <c r="AO122" t="s">
        <v>42</v>
      </c>
      <c r="AP122">
        <v>9.4962590000000002</v>
      </c>
    </row>
    <row r="123" spans="1:42" x14ac:dyDescent="0.3">
      <c r="A123" t="s">
        <v>22</v>
      </c>
      <c r="B123">
        <v>1.2299990000000001</v>
      </c>
      <c r="C123" t="s">
        <v>23</v>
      </c>
      <c r="D123">
        <v>1.041525</v>
      </c>
      <c r="E123" t="s">
        <v>24</v>
      </c>
      <c r="F123">
        <v>1.1845220000000001</v>
      </c>
      <c r="G123" t="s">
        <v>25</v>
      </c>
      <c r="H123">
        <v>0.91616900000000001</v>
      </c>
      <c r="I123" t="s">
        <v>26</v>
      </c>
      <c r="J123">
        <v>9.4200000000000002E-4</v>
      </c>
      <c r="K123" t="s">
        <v>27</v>
      </c>
      <c r="L123">
        <v>2.5344999999999999E-2</v>
      </c>
      <c r="M123" t="s">
        <v>28</v>
      </c>
      <c r="N123">
        <v>1.9602000000000001E-2</v>
      </c>
      <c r="O123" t="s">
        <v>29</v>
      </c>
      <c r="P123">
        <v>-6.7548999999999998E-2</v>
      </c>
      <c r="Q123" t="s">
        <v>30</v>
      </c>
      <c r="R123">
        <v>-0.827546</v>
      </c>
      <c r="S123" t="s">
        <v>31</v>
      </c>
      <c r="T123">
        <v>0.59869000000000006</v>
      </c>
      <c r="U123" t="s">
        <v>32</v>
      </c>
      <c r="V123">
        <v>5.5516000000000003E-2</v>
      </c>
      <c r="W123" t="s">
        <v>33</v>
      </c>
      <c r="X123">
        <v>0.15855900000000001</v>
      </c>
      <c r="Y123" t="s">
        <v>34</v>
      </c>
      <c r="Z123">
        <v>0.104183</v>
      </c>
      <c r="AA123" t="s">
        <v>35</v>
      </c>
      <c r="AB123">
        <v>0.139373</v>
      </c>
      <c r="AC123" t="s">
        <v>36</v>
      </c>
      <c r="AD123">
        <v>0.27893099999999998</v>
      </c>
      <c r="AE123" t="s">
        <v>37</v>
      </c>
      <c r="AF123">
        <v>0.26155299999999998</v>
      </c>
      <c r="AG123" t="s">
        <v>38</v>
      </c>
      <c r="AH123">
        <v>0.93769899999999995</v>
      </c>
      <c r="AI123" t="s">
        <v>39</v>
      </c>
      <c r="AJ123">
        <v>0.75008300000000006</v>
      </c>
      <c r="AK123" t="s">
        <v>40</v>
      </c>
      <c r="AL123">
        <v>0.78449100000000005</v>
      </c>
      <c r="AM123" t="s">
        <v>41</v>
      </c>
      <c r="AN123">
        <v>16.018930000000001</v>
      </c>
      <c r="AO123" t="s">
        <v>42</v>
      </c>
      <c r="AP123">
        <v>9.5626820000000006</v>
      </c>
    </row>
    <row r="124" spans="1:42" x14ac:dyDescent="0.3">
      <c r="A124" t="s">
        <v>22</v>
      </c>
      <c r="B124">
        <v>1.2399990000000001</v>
      </c>
      <c r="C124" t="s">
        <v>23</v>
      </c>
      <c r="D124">
        <v>1.041598</v>
      </c>
      <c r="E124" t="s">
        <v>24</v>
      </c>
      <c r="F124">
        <v>1.1832100000000001</v>
      </c>
      <c r="G124" t="s">
        <v>25</v>
      </c>
      <c r="H124">
        <v>0.91616900000000001</v>
      </c>
      <c r="I124" t="s">
        <v>26</v>
      </c>
      <c r="J124">
        <v>9.3400000000000004E-4</v>
      </c>
      <c r="K124" t="s">
        <v>27</v>
      </c>
      <c r="L124">
        <v>2.5316999999999999E-2</v>
      </c>
      <c r="M124" t="s">
        <v>28</v>
      </c>
      <c r="N124">
        <v>1.9602000000000001E-2</v>
      </c>
      <c r="O124" t="s">
        <v>29</v>
      </c>
      <c r="P124">
        <v>-6.7935999999999996E-2</v>
      </c>
      <c r="Q124" t="s">
        <v>30</v>
      </c>
      <c r="R124">
        <v>-0.82057199999999997</v>
      </c>
      <c r="S124" t="s">
        <v>31</v>
      </c>
      <c r="T124">
        <v>0.59869000000000006</v>
      </c>
      <c r="U124" t="s">
        <v>32</v>
      </c>
      <c r="V124">
        <v>5.5247999999999998E-2</v>
      </c>
      <c r="W124" t="s">
        <v>33</v>
      </c>
      <c r="X124">
        <v>0.158586</v>
      </c>
      <c r="Y124" t="s">
        <v>34</v>
      </c>
      <c r="Z124">
        <v>0.104183</v>
      </c>
      <c r="AA124" t="s">
        <v>35</v>
      </c>
      <c r="AB124">
        <v>0.13870199999999999</v>
      </c>
      <c r="AC124" t="s">
        <v>36</v>
      </c>
      <c r="AD124">
        <v>0.27876699999999999</v>
      </c>
      <c r="AE124" t="s">
        <v>37</v>
      </c>
      <c r="AF124">
        <v>0.26155299999999998</v>
      </c>
      <c r="AG124" t="s">
        <v>38</v>
      </c>
      <c r="AH124">
        <v>0.93825099999999995</v>
      </c>
      <c r="AI124" t="s">
        <v>39</v>
      </c>
      <c r="AJ124">
        <v>0.75042600000000004</v>
      </c>
      <c r="AK124" t="s">
        <v>40</v>
      </c>
      <c r="AL124">
        <v>0.78449100000000005</v>
      </c>
      <c r="AM124" t="s">
        <v>41</v>
      </c>
      <c r="AN124">
        <v>16.149166000000001</v>
      </c>
      <c r="AO124" t="s">
        <v>42</v>
      </c>
      <c r="AP124">
        <v>9.6290750000000003</v>
      </c>
    </row>
    <row r="125" spans="1:42" x14ac:dyDescent="0.3">
      <c r="A125" t="s">
        <v>22</v>
      </c>
      <c r="B125">
        <v>1.2499990000000001</v>
      </c>
      <c r="C125" t="s">
        <v>23</v>
      </c>
      <c r="D125">
        <v>1.0416650000000001</v>
      </c>
      <c r="E125" t="s">
        <v>24</v>
      </c>
      <c r="F125">
        <v>1.1819090000000001</v>
      </c>
      <c r="G125" t="s">
        <v>25</v>
      </c>
      <c r="H125">
        <v>0.91616900000000001</v>
      </c>
      <c r="I125" t="s">
        <v>26</v>
      </c>
      <c r="J125">
        <v>9.2500000000000004E-4</v>
      </c>
      <c r="K125" t="s">
        <v>27</v>
      </c>
      <c r="L125">
        <v>2.529E-2</v>
      </c>
      <c r="M125" t="s">
        <v>28</v>
      </c>
      <c r="N125">
        <v>1.9602000000000001E-2</v>
      </c>
      <c r="O125" t="s">
        <v>29</v>
      </c>
      <c r="P125">
        <v>-6.8291000000000004E-2</v>
      </c>
      <c r="Q125" t="s">
        <v>30</v>
      </c>
      <c r="R125">
        <v>-0.81366000000000005</v>
      </c>
      <c r="S125" t="s">
        <v>31</v>
      </c>
      <c r="T125">
        <v>0.59869000000000006</v>
      </c>
      <c r="U125" t="s">
        <v>32</v>
      </c>
      <c r="V125">
        <v>5.4982999999999997E-2</v>
      </c>
      <c r="W125" t="s">
        <v>33</v>
      </c>
      <c r="X125">
        <v>0.158613</v>
      </c>
      <c r="Y125" t="s">
        <v>34</v>
      </c>
      <c r="Z125">
        <v>0.104183</v>
      </c>
      <c r="AA125" t="s">
        <v>35</v>
      </c>
      <c r="AB125">
        <v>0.13803499999999999</v>
      </c>
      <c r="AC125" t="s">
        <v>36</v>
      </c>
      <c r="AD125">
        <v>0.27860400000000002</v>
      </c>
      <c r="AE125" t="s">
        <v>37</v>
      </c>
      <c r="AF125">
        <v>0.26155299999999998</v>
      </c>
      <c r="AG125" t="s">
        <v>38</v>
      </c>
      <c r="AH125">
        <v>0.93879699999999999</v>
      </c>
      <c r="AI125" t="s">
        <v>39</v>
      </c>
      <c r="AJ125">
        <v>0.75076500000000002</v>
      </c>
      <c r="AK125" t="s">
        <v>40</v>
      </c>
      <c r="AL125">
        <v>0.78449100000000005</v>
      </c>
      <c r="AM125" t="s">
        <v>41</v>
      </c>
      <c r="AN125">
        <v>16.279399999999999</v>
      </c>
      <c r="AO125" t="s">
        <v>42</v>
      </c>
      <c r="AP125">
        <v>9.6954390000000004</v>
      </c>
    </row>
    <row r="126" spans="1:42" x14ac:dyDescent="0.3">
      <c r="A126" t="s">
        <v>22</v>
      </c>
      <c r="B126">
        <v>1.2599990000000001</v>
      </c>
      <c r="C126" t="s">
        <v>23</v>
      </c>
      <c r="D126">
        <v>1.041725</v>
      </c>
      <c r="E126" t="s">
        <v>24</v>
      </c>
      <c r="F126">
        <v>1.1806190000000001</v>
      </c>
      <c r="G126" t="s">
        <v>25</v>
      </c>
      <c r="H126">
        <v>0.91616900000000001</v>
      </c>
      <c r="I126" t="s">
        <v>26</v>
      </c>
      <c r="J126">
        <v>9.1699999999999995E-4</v>
      </c>
      <c r="K126" t="s">
        <v>27</v>
      </c>
      <c r="L126">
        <v>2.5262E-2</v>
      </c>
      <c r="M126" t="s">
        <v>28</v>
      </c>
      <c r="N126">
        <v>1.9602000000000001E-2</v>
      </c>
      <c r="O126" t="s">
        <v>29</v>
      </c>
      <c r="P126">
        <v>-6.8611000000000005E-2</v>
      </c>
      <c r="Q126" t="s">
        <v>30</v>
      </c>
      <c r="R126">
        <v>-0.80680499999999999</v>
      </c>
      <c r="S126" t="s">
        <v>31</v>
      </c>
      <c r="T126">
        <v>0.59869000000000006</v>
      </c>
      <c r="U126" t="s">
        <v>32</v>
      </c>
      <c r="V126">
        <v>5.4718999999999997E-2</v>
      </c>
      <c r="W126" t="s">
        <v>33</v>
      </c>
      <c r="X126">
        <v>0.15864200000000001</v>
      </c>
      <c r="Y126" t="s">
        <v>34</v>
      </c>
      <c r="Z126">
        <v>0.104183</v>
      </c>
      <c r="AA126" t="s">
        <v>35</v>
      </c>
      <c r="AB126">
        <v>0.137373</v>
      </c>
      <c r="AC126" t="s">
        <v>36</v>
      </c>
      <c r="AD126">
        <v>0.27844400000000002</v>
      </c>
      <c r="AE126" t="s">
        <v>37</v>
      </c>
      <c r="AF126">
        <v>0.26155299999999998</v>
      </c>
      <c r="AG126" t="s">
        <v>38</v>
      </c>
      <c r="AH126">
        <v>0.93933699999999998</v>
      </c>
      <c r="AI126" t="s">
        <v>39</v>
      </c>
      <c r="AJ126">
        <v>0.75109899999999996</v>
      </c>
      <c r="AK126" t="s">
        <v>40</v>
      </c>
      <c r="AL126">
        <v>0.78449100000000005</v>
      </c>
      <c r="AM126" t="s">
        <v>41</v>
      </c>
      <c r="AN126">
        <v>16.409635999999999</v>
      </c>
      <c r="AO126" t="s">
        <v>42</v>
      </c>
      <c r="AP126">
        <v>9.7617740000000008</v>
      </c>
    </row>
    <row r="127" spans="1:42" x14ac:dyDescent="0.3">
      <c r="A127" t="s">
        <v>22</v>
      </c>
      <c r="B127">
        <v>1.2699990000000001</v>
      </c>
      <c r="C127" t="s">
        <v>23</v>
      </c>
      <c r="D127">
        <v>1.041779</v>
      </c>
      <c r="E127" t="s">
        <v>24</v>
      </c>
      <c r="F127">
        <v>1.179341</v>
      </c>
      <c r="G127" t="s">
        <v>25</v>
      </c>
      <c r="H127">
        <v>0.91616900000000001</v>
      </c>
      <c r="I127" t="s">
        <v>26</v>
      </c>
      <c r="J127">
        <v>9.0899999999999998E-4</v>
      </c>
      <c r="K127" t="s">
        <v>27</v>
      </c>
      <c r="L127">
        <v>2.5235E-2</v>
      </c>
      <c r="M127" t="s">
        <v>28</v>
      </c>
      <c r="N127">
        <v>1.9602000000000001E-2</v>
      </c>
      <c r="O127" t="s">
        <v>29</v>
      </c>
      <c r="P127">
        <v>-6.8899000000000002E-2</v>
      </c>
      <c r="Q127" t="s">
        <v>30</v>
      </c>
      <c r="R127">
        <v>-0.80001</v>
      </c>
      <c r="S127" t="s">
        <v>31</v>
      </c>
      <c r="T127">
        <v>0.59869000000000006</v>
      </c>
      <c r="U127" t="s">
        <v>32</v>
      </c>
      <c r="V127">
        <v>5.4456999999999998E-2</v>
      </c>
      <c r="W127" t="s">
        <v>33</v>
      </c>
      <c r="X127">
        <v>0.15867200000000001</v>
      </c>
      <c r="Y127" t="s">
        <v>34</v>
      </c>
      <c r="Z127">
        <v>0.104183</v>
      </c>
      <c r="AA127" t="s">
        <v>35</v>
      </c>
      <c r="AB127">
        <v>0.136716</v>
      </c>
      <c r="AC127" t="s">
        <v>36</v>
      </c>
      <c r="AD127">
        <v>0.27828599999999998</v>
      </c>
      <c r="AE127" t="s">
        <v>37</v>
      </c>
      <c r="AF127">
        <v>0.26155299999999998</v>
      </c>
      <c r="AG127" t="s">
        <v>38</v>
      </c>
      <c r="AH127">
        <v>0.93987100000000001</v>
      </c>
      <c r="AI127" t="s">
        <v>39</v>
      </c>
      <c r="AJ127">
        <v>0.75142799999999998</v>
      </c>
      <c r="AK127" t="s">
        <v>40</v>
      </c>
      <c r="AL127">
        <v>0.78449100000000005</v>
      </c>
      <c r="AM127" t="s">
        <v>41</v>
      </c>
      <c r="AN127">
        <v>16.539871000000002</v>
      </c>
      <c r="AO127" t="s">
        <v>42</v>
      </c>
      <c r="AP127">
        <v>9.8280840000000005</v>
      </c>
    </row>
    <row r="128" spans="1:42" x14ac:dyDescent="0.3">
      <c r="A128" t="s">
        <v>22</v>
      </c>
      <c r="B128">
        <v>1.2799990000000001</v>
      </c>
      <c r="C128" t="s">
        <v>23</v>
      </c>
      <c r="D128">
        <v>1.0418270000000001</v>
      </c>
      <c r="E128" t="s">
        <v>24</v>
      </c>
      <c r="F128">
        <v>1.1780729999999999</v>
      </c>
      <c r="G128" t="s">
        <v>25</v>
      </c>
      <c r="H128">
        <v>0.91616900000000001</v>
      </c>
      <c r="I128" t="s">
        <v>26</v>
      </c>
      <c r="J128">
        <v>9.01E-4</v>
      </c>
      <c r="K128" t="s">
        <v>27</v>
      </c>
      <c r="L128">
        <v>2.5207E-2</v>
      </c>
      <c r="M128" t="s">
        <v>28</v>
      </c>
      <c r="N128">
        <v>1.9602000000000001E-2</v>
      </c>
      <c r="O128" t="s">
        <v>29</v>
      </c>
      <c r="P128">
        <v>-6.9152000000000005E-2</v>
      </c>
      <c r="Q128" t="s">
        <v>30</v>
      </c>
      <c r="R128">
        <v>-0.79327199999999998</v>
      </c>
      <c r="S128" t="s">
        <v>31</v>
      </c>
      <c r="T128">
        <v>0.59869000000000006</v>
      </c>
      <c r="U128" t="s">
        <v>32</v>
      </c>
      <c r="V128">
        <v>5.4198000000000003E-2</v>
      </c>
      <c r="W128" t="s">
        <v>33</v>
      </c>
      <c r="X128">
        <v>0.15870300000000001</v>
      </c>
      <c r="Y128" t="s">
        <v>34</v>
      </c>
      <c r="Z128">
        <v>0.104183</v>
      </c>
      <c r="AA128" t="s">
        <v>35</v>
      </c>
      <c r="AB128">
        <v>0.13606399999999999</v>
      </c>
      <c r="AC128" t="s">
        <v>36</v>
      </c>
      <c r="AD128">
        <v>0.27812999999999999</v>
      </c>
      <c r="AE128" t="s">
        <v>37</v>
      </c>
      <c r="AF128">
        <v>0.26155299999999998</v>
      </c>
      <c r="AG128" t="s">
        <v>38</v>
      </c>
      <c r="AH128">
        <v>0.94039799999999996</v>
      </c>
      <c r="AI128" t="s">
        <v>39</v>
      </c>
      <c r="AJ128">
        <v>0.751753</v>
      </c>
      <c r="AK128" t="s">
        <v>40</v>
      </c>
      <c r="AL128">
        <v>0.78449100000000005</v>
      </c>
      <c r="AM128" t="s">
        <v>41</v>
      </c>
      <c r="AN128">
        <v>16.670107000000002</v>
      </c>
      <c r="AO128" t="s">
        <v>42</v>
      </c>
      <c r="AP128">
        <v>9.8943630000000002</v>
      </c>
    </row>
    <row r="129" spans="1:42" x14ac:dyDescent="0.3">
      <c r="A129" t="s">
        <v>22</v>
      </c>
      <c r="B129">
        <v>1.2899989999999999</v>
      </c>
      <c r="C129" t="s">
        <v>23</v>
      </c>
      <c r="D129">
        <v>1.0418689999999999</v>
      </c>
      <c r="E129" t="s">
        <v>24</v>
      </c>
      <c r="F129">
        <v>1.1768160000000001</v>
      </c>
      <c r="G129" t="s">
        <v>25</v>
      </c>
      <c r="H129">
        <v>0.91616900000000001</v>
      </c>
      <c r="I129" t="s">
        <v>26</v>
      </c>
      <c r="J129">
        <v>8.9400000000000005E-4</v>
      </c>
      <c r="K129" t="s">
        <v>27</v>
      </c>
      <c r="L129">
        <v>2.5180999999999999E-2</v>
      </c>
      <c r="M129" t="s">
        <v>28</v>
      </c>
      <c r="N129">
        <v>1.9602000000000001E-2</v>
      </c>
      <c r="O129" t="s">
        <v>29</v>
      </c>
      <c r="P129">
        <v>-6.9378999999999996E-2</v>
      </c>
      <c r="Q129" t="s">
        <v>30</v>
      </c>
      <c r="R129">
        <v>-0.78659199999999996</v>
      </c>
      <c r="S129" t="s">
        <v>31</v>
      </c>
      <c r="T129">
        <v>0.59869000000000006</v>
      </c>
      <c r="U129" t="s">
        <v>32</v>
      </c>
      <c r="V129">
        <v>5.3940000000000002E-2</v>
      </c>
      <c r="W129" t="s">
        <v>33</v>
      </c>
      <c r="X129">
        <v>0.15873499999999999</v>
      </c>
      <c r="Y129" t="s">
        <v>34</v>
      </c>
      <c r="Z129">
        <v>0.104183</v>
      </c>
      <c r="AA129" t="s">
        <v>35</v>
      </c>
      <c r="AB129">
        <v>0.13541600000000001</v>
      </c>
      <c r="AC129" t="s">
        <v>36</v>
      </c>
      <c r="AD129">
        <v>0.277976</v>
      </c>
      <c r="AE129" t="s">
        <v>37</v>
      </c>
      <c r="AF129">
        <v>0.26155299999999998</v>
      </c>
      <c r="AG129" t="s">
        <v>38</v>
      </c>
      <c r="AH129">
        <v>0.94091899999999995</v>
      </c>
      <c r="AI129" t="s">
        <v>39</v>
      </c>
      <c r="AJ129">
        <v>0.75207299999999999</v>
      </c>
      <c r="AK129" t="s">
        <v>40</v>
      </c>
      <c r="AL129">
        <v>0.78449100000000005</v>
      </c>
      <c r="AM129" t="s">
        <v>41</v>
      </c>
      <c r="AN129">
        <v>16.800341</v>
      </c>
      <c r="AO129" t="s">
        <v>42</v>
      </c>
      <c r="AP129">
        <v>9.9606220000000008</v>
      </c>
    </row>
    <row r="130" spans="1:42" x14ac:dyDescent="0.3">
      <c r="A130" t="s">
        <v>22</v>
      </c>
      <c r="B130">
        <v>1.2999989999999999</v>
      </c>
      <c r="C130" t="s">
        <v>23</v>
      </c>
      <c r="D130">
        <v>1.0419050000000001</v>
      </c>
      <c r="E130" t="s">
        <v>24</v>
      </c>
      <c r="F130">
        <v>1.17557</v>
      </c>
      <c r="G130" t="s">
        <v>25</v>
      </c>
      <c r="H130">
        <v>0.91616900000000001</v>
      </c>
      <c r="I130" t="s">
        <v>26</v>
      </c>
      <c r="J130">
        <v>8.8599999999999996E-4</v>
      </c>
      <c r="K130" t="s">
        <v>27</v>
      </c>
      <c r="L130">
        <v>2.5153999999999999E-2</v>
      </c>
      <c r="M130" t="s">
        <v>28</v>
      </c>
      <c r="N130">
        <v>1.9602000000000001E-2</v>
      </c>
      <c r="O130" t="s">
        <v>29</v>
      </c>
      <c r="P130">
        <v>-6.9570000000000007E-2</v>
      </c>
      <c r="Q130" t="s">
        <v>30</v>
      </c>
      <c r="R130">
        <v>-0.77996699999999997</v>
      </c>
      <c r="S130" t="s">
        <v>31</v>
      </c>
      <c r="T130">
        <v>0.59869000000000006</v>
      </c>
      <c r="U130" t="s">
        <v>32</v>
      </c>
      <c r="V130">
        <v>5.3684000000000003E-2</v>
      </c>
      <c r="W130" t="s">
        <v>33</v>
      </c>
      <c r="X130">
        <v>0.15876799999999999</v>
      </c>
      <c r="Y130" t="s">
        <v>34</v>
      </c>
      <c r="Z130">
        <v>0.104183</v>
      </c>
      <c r="AA130" t="s">
        <v>35</v>
      </c>
      <c r="AB130">
        <v>0.134773</v>
      </c>
      <c r="AC130" t="s">
        <v>36</v>
      </c>
      <c r="AD130">
        <v>0.27782400000000002</v>
      </c>
      <c r="AE130" t="s">
        <v>37</v>
      </c>
      <c r="AF130">
        <v>0.26155299999999998</v>
      </c>
      <c r="AG130" t="s">
        <v>38</v>
      </c>
      <c r="AH130">
        <v>0.94143399999999999</v>
      </c>
      <c r="AI130" t="s">
        <v>39</v>
      </c>
      <c r="AJ130">
        <v>0.75238899999999997</v>
      </c>
      <c r="AK130" t="s">
        <v>40</v>
      </c>
      <c r="AL130">
        <v>0.78449100000000005</v>
      </c>
      <c r="AM130" t="s">
        <v>41</v>
      </c>
      <c r="AN130">
        <v>16.930575999999999</v>
      </c>
      <c r="AO130" t="s">
        <v>42</v>
      </c>
      <c r="AP130">
        <v>10.026854</v>
      </c>
    </row>
    <row r="131" spans="1:42" x14ac:dyDescent="0.3">
      <c r="A131" t="s">
        <v>22</v>
      </c>
      <c r="B131">
        <v>1.3099989999999999</v>
      </c>
      <c r="C131" t="s">
        <v>23</v>
      </c>
      <c r="D131">
        <v>1.0419369999999999</v>
      </c>
      <c r="E131" t="s">
        <v>24</v>
      </c>
      <c r="F131">
        <v>1.174334</v>
      </c>
      <c r="G131" t="s">
        <v>25</v>
      </c>
      <c r="H131">
        <v>0.91616900000000001</v>
      </c>
      <c r="I131" t="s">
        <v>26</v>
      </c>
      <c r="J131">
        <v>8.7799999999999998E-4</v>
      </c>
      <c r="K131" t="s">
        <v>27</v>
      </c>
      <c r="L131">
        <v>2.5127E-2</v>
      </c>
      <c r="M131" t="s">
        <v>28</v>
      </c>
      <c r="N131">
        <v>1.9602000000000001E-2</v>
      </c>
      <c r="O131" t="s">
        <v>29</v>
      </c>
      <c r="P131">
        <v>-6.9736000000000006E-2</v>
      </c>
      <c r="Q131" t="s">
        <v>30</v>
      </c>
      <c r="R131">
        <v>-0.77339899999999995</v>
      </c>
      <c r="S131" t="s">
        <v>31</v>
      </c>
      <c r="T131">
        <v>0.59869000000000006</v>
      </c>
      <c r="U131" t="s">
        <v>32</v>
      </c>
      <c r="V131">
        <v>5.3428999999999997E-2</v>
      </c>
      <c r="W131" t="s">
        <v>33</v>
      </c>
      <c r="X131">
        <v>0.158802</v>
      </c>
      <c r="Y131" t="s">
        <v>34</v>
      </c>
      <c r="Z131">
        <v>0.104183</v>
      </c>
      <c r="AA131" t="s">
        <v>35</v>
      </c>
      <c r="AB131">
        <v>0.134135</v>
      </c>
      <c r="AC131" t="s">
        <v>36</v>
      </c>
      <c r="AD131">
        <v>0.27767399999999998</v>
      </c>
      <c r="AE131" t="s">
        <v>37</v>
      </c>
      <c r="AF131">
        <v>0.26155299999999998</v>
      </c>
      <c r="AG131" t="s">
        <v>38</v>
      </c>
      <c r="AH131">
        <v>0.941944</v>
      </c>
      <c r="AI131" t="s">
        <v>39</v>
      </c>
      <c r="AJ131">
        <v>0.75270099999999995</v>
      </c>
      <c r="AK131" t="s">
        <v>40</v>
      </c>
      <c r="AL131">
        <v>0.78449100000000005</v>
      </c>
      <c r="AM131" t="s">
        <v>41</v>
      </c>
      <c r="AN131">
        <v>17.060811999999999</v>
      </c>
      <c r="AO131" t="s">
        <v>42</v>
      </c>
      <c r="AP131">
        <v>10.093063000000001</v>
      </c>
    </row>
    <row r="132" spans="1:42" x14ac:dyDescent="0.3">
      <c r="A132" t="s">
        <v>22</v>
      </c>
      <c r="B132">
        <v>1.3199989999999999</v>
      </c>
      <c r="C132" t="s">
        <v>23</v>
      </c>
      <c r="D132">
        <v>1.0419620000000001</v>
      </c>
      <c r="E132" t="s">
        <v>24</v>
      </c>
      <c r="F132">
        <v>1.173108</v>
      </c>
      <c r="G132" t="s">
        <v>25</v>
      </c>
      <c r="H132">
        <v>0.91616900000000001</v>
      </c>
      <c r="I132" t="s">
        <v>26</v>
      </c>
      <c r="J132">
        <v>8.7100000000000003E-4</v>
      </c>
      <c r="K132" t="s">
        <v>27</v>
      </c>
      <c r="L132">
        <v>2.5100999999999998E-2</v>
      </c>
      <c r="M132" t="s">
        <v>28</v>
      </c>
      <c r="N132">
        <v>1.9602000000000001E-2</v>
      </c>
      <c r="O132" t="s">
        <v>29</v>
      </c>
      <c r="P132">
        <v>-6.9869000000000001E-2</v>
      </c>
      <c r="Q132" t="s">
        <v>30</v>
      </c>
      <c r="R132">
        <v>-0.76688599999999996</v>
      </c>
      <c r="S132" t="s">
        <v>31</v>
      </c>
      <c r="T132">
        <v>0.59869000000000006</v>
      </c>
      <c r="U132" t="s">
        <v>32</v>
      </c>
      <c r="V132">
        <v>5.3177000000000002E-2</v>
      </c>
      <c r="W132" t="s">
        <v>33</v>
      </c>
      <c r="X132">
        <v>0.15883700000000001</v>
      </c>
      <c r="Y132" t="s">
        <v>34</v>
      </c>
      <c r="Z132">
        <v>0.104183</v>
      </c>
      <c r="AA132" t="s">
        <v>35</v>
      </c>
      <c r="AB132">
        <v>0.13350200000000001</v>
      </c>
      <c r="AC132" t="s">
        <v>36</v>
      </c>
      <c r="AD132">
        <v>0.27752500000000002</v>
      </c>
      <c r="AE132" t="s">
        <v>37</v>
      </c>
      <c r="AF132">
        <v>0.26155299999999998</v>
      </c>
      <c r="AG132" t="s">
        <v>38</v>
      </c>
      <c r="AH132">
        <v>0.94244700000000003</v>
      </c>
      <c r="AI132" t="s">
        <v>39</v>
      </c>
      <c r="AJ132">
        <v>0.75300800000000001</v>
      </c>
      <c r="AK132" t="s">
        <v>40</v>
      </c>
      <c r="AL132">
        <v>0.78449100000000005</v>
      </c>
      <c r="AM132" t="s">
        <v>41</v>
      </c>
      <c r="AN132">
        <v>17.191047999999999</v>
      </c>
      <c r="AO132" t="s">
        <v>42</v>
      </c>
      <c r="AP132">
        <v>10.159249000000001</v>
      </c>
    </row>
    <row r="133" spans="1:42" x14ac:dyDescent="0.3">
      <c r="A133" t="s">
        <v>22</v>
      </c>
      <c r="B133">
        <v>1.3299989999999999</v>
      </c>
      <c r="C133" t="s">
        <v>23</v>
      </c>
      <c r="D133">
        <v>1.041982</v>
      </c>
      <c r="E133" t="s">
        <v>24</v>
      </c>
      <c r="F133">
        <v>1.1718930000000001</v>
      </c>
      <c r="G133" t="s">
        <v>25</v>
      </c>
      <c r="H133">
        <v>0.91616900000000001</v>
      </c>
      <c r="I133" t="s">
        <v>26</v>
      </c>
      <c r="J133">
        <v>8.6300000000000005E-4</v>
      </c>
      <c r="K133" t="s">
        <v>27</v>
      </c>
      <c r="L133">
        <v>2.5075E-2</v>
      </c>
      <c r="M133" t="s">
        <v>28</v>
      </c>
      <c r="N133">
        <v>1.9602000000000001E-2</v>
      </c>
      <c r="O133" t="s">
        <v>29</v>
      </c>
      <c r="P133">
        <v>-6.9974999999999996E-2</v>
      </c>
      <c r="Q133" t="s">
        <v>30</v>
      </c>
      <c r="R133">
        <v>-0.76042799999999999</v>
      </c>
      <c r="S133" t="s">
        <v>31</v>
      </c>
      <c r="T133">
        <v>0.59869000000000006</v>
      </c>
      <c r="U133" t="s">
        <v>32</v>
      </c>
      <c r="V133">
        <v>5.2927000000000002E-2</v>
      </c>
      <c r="W133" t="s">
        <v>33</v>
      </c>
      <c r="X133">
        <v>0.15887399999999999</v>
      </c>
      <c r="Y133" t="s">
        <v>34</v>
      </c>
      <c r="Z133">
        <v>0.104183</v>
      </c>
      <c r="AA133" t="s">
        <v>35</v>
      </c>
      <c r="AB133">
        <v>0.13287299999999999</v>
      </c>
      <c r="AC133" t="s">
        <v>36</v>
      </c>
      <c r="AD133">
        <v>0.27737899999999999</v>
      </c>
      <c r="AE133" t="s">
        <v>37</v>
      </c>
      <c r="AF133">
        <v>0.26155299999999998</v>
      </c>
      <c r="AG133" t="s">
        <v>38</v>
      </c>
      <c r="AH133">
        <v>0.942944</v>
      </c>
      <c r="AI133" t="s">
        <v>39</v>
      </c>
      <c r="AJ133">
        <v>0.75331099999999995</v>
      </c>
      <c r="AK133" t="s">
        <v>40</v>
      </c>
      <c r="AL133">
        <v>0.78449100000000005</v>
      </c>
      <c r="AM133" t="s">
        <v>41</v>
      </c>
      <c r="AN133">
        <v>17.321280999999999</v>
      </c>
      <c r="AO133" t="s">
        <v>42</v>
      </c>
      <c r="AP133">
        <v>10.225415</v>
      </c>
    </row>
    <row r="134" spans="1:42" x14ac:dyDescent="0.3">
      <c r="A134" t="s">
        <v>22</v>
      </c>
      <c r="B134">
        <v>1.3399989999999999</v>
      </c>
      <c r="C134" t="s">
        <v>23</v>
      </c>
      <c r="D134">
        <v>1.0419959999999999</v>
      </c>
      <c r="E134" t="s">
        <v>24</v>
      </c>
      <c r="F134">
        <v>1.170688</v>
      </c>
      <c r="G134" t="s">
        <v>25</v>
      </c>
      <c r="H134">
        <v>0.91616900000000001</v>
      </c>
      <c r="I134" t="s">
        <v>26</v>
      </c>
      <c r="J134">
        <v>8.5599999999999999E-4</v>
      </c>
      <c r="K134" t="s">
        <v>27</v>
      </c>
      <c r="L134">
        <v>2.5048999999999998E-2</v>
      </c>
      <c r="M134" t="s">
        <v>28</v>
      </c>
      <c r="N134">
        <v>1.9602000000000001E-2</v>
      </c>
      <c r="O134" t="s">
        <v>29</v>
      </c>
      <c r="P134">
        <v>-7.0052000000000003E-2</v>
      </c>
      <c r="Q134" t="s">
        <v>30</v>
      </c>
      <c r="R134">
        <v>-0.75402499999999995</v>
      </c>
      <c r="S134" t="s">
        <v>31</v>
      </c>
      <c r="T134">
        <v>0.59869000000000006</v>
      </c>
      <c r="U134" t="s">
        <v>32</v>
      </c>
      <c r="V134">
        <v>5.2678000000000003E-2</v>
      </c>
      <c r="W134" t="s">
        <v>33</v>
      </c>
      <c r="X134">
        <v>0.158911</v>
      </c>
      <c r="Y134" t="s">
        <v>34</v>
      </c>
      <c r="Z134">
        <v>0.104183</v>
      </c>
      <c r="AA134" t="s">
        <v>35</v>
      </c>
      <c r="AB134">
        <v>0.13224900000000001</v>
      </c>
      <c r="AC134" t="s">
        <v>36</v>
      </c>
      <c r="AD134">
        <v>0.27723500000000001</v>
      </c>
      <c r="AE134" t="s">
        <v>37</v>
      </c>
      <c r="AF134">
        <v>0.26155299999999998</v>
      </c>
      <c r="AG134" t="s">
        <v>38</v>
      </c>
      <c r="AH134">
        <v>0.94343600000000005</v>
      </c>
      <c r="AI134" t="s">
        <v>39</v>
      </c>
      <c r="AJ134">
        <v>0.75360899999999997</v>
      </c>
      <c r="AK134" t="s">
        <v>40</v>
      </c>
      <c r="AL134">
        <v>0.78449100000000005</v>
      </c>
      <c r="AM134" t="s">
        <v>41</v>
      </c>
      <c r="AN134">
        <v>17.451516999999999</v>
      </c>
      <c r="AO134" t="s">
        <v>42</v>
      </c>
      <c r="AP134">
        <v>10.291562000000001</v>
      </c>
    </row>
    <row r="135" spans="1:42" x14ac:dyDescent="0.3">
      <c r="A135" t="s">
        <v>22</v>
      </c>
      <c r="B135">
        <v>1.3499989999999999</v>
      </c>
      <c r="C135" t="s">
        <v>23</v>
      </c>
      <c r="D135">
        <v>1.042006</v>
      </c>
      <c r="E135" t="s">
        <v>24</v>
      </c>
      <c r="F135">
        <v>1.169494</v>
      </c>
      <c r="G135" t="s">
        <v>25</v>
      </c>
      <c r="H135">
        <v>0.91616900000000001</v>
      </c>
      <c r="I135" t="s">
        <v>26</v>
      </c>
      <c r="J135">
        <v>8.4900000000000004E-4</v>
      </c>
      <c r="K135" t="s">
        <v>27</v>
      </c>
      <c r="L135">
        <v>2.5024000000000001E-2</v>
      </c>
      <c r="M135" t="s">
        <v>28</v>
      </c>
      <c r="N135">
        <v>1.9602000000000001E-2</v>
      </c>
      <c r="O135" t="s">
        <v>29</v>
      </c>
      <c r="P135">
        <v>-7.0102999999999999E-2</v>
      </c>
      <c r="Q135" t="s">
        <v>30</v>
      </c>
      <c r="R135">
        <v>-0.74767399999999995</v>
      </c>
      <c r="S135" t="s">
        <v>31</v>
      </c>
      <c r="T135">
        <v>0.59869000000000006</v>
      </c>
      <c r="U135" t="s">
        <v>32</v>
      </c>
      <c r="V135">
        <v>5.2430999999999998E-2</v>
      </c>
      <c r="W135" t="s">
        <v>33</v>
      </c>
      <c r="X135">
        <v>0.15894900000000001</v>
      </c>
      <c r="Y135" t="s">
        <v>34</v>
      </c>
      <c r="Z135">
        <v>0.104183</v>
      </c>
      <c r="AA135" t="s">
        <v>35</v>
      </c>
      <c r="AB135">
        <v>0.131629</v>
      </c>
      <c r="AC135" t="s">
        <v>36</v>
      </c>
      <c r="AD135">
        <v>0.277092</v>
      </c>
      <c r="AE135" t="s">
        <v>37</v>
      </c>
      <c r="AF135">
        <v>0.26155299999999998</v>
      </c>
      <c r="AG135" t="s">
        <v>38</v>
      </c>
      <c r="AH135">
        <v>0.94392200000000004</v>
      </c>
      <c r="AI135" t="s">
        <v>39</v>
      </c>
      <c r="AJ135">
        <v>0.75390500000000005</v>
      </c>
      <c r="AK135" t="s">
        <v>40</v>
      </c>
      <c r="AL135">
        <v>0.78449100000000005</v>
      </c>
      <c r="AM135" t="s">
        <v>41</v>
      </c>
      <c r="AN135">
        <v>17.581752999999999</v>
      </c>
      <c r="AO135" t="s">
        <v>42</v>
      </c>
      <c r="AP135">
        <v>10.357689000000001</v>
      </c>
    </row>
    <row r="136" spans="1:42" x14ac:dyDescent="0.3">
      <c r="A136" t="s">
        <v>22</v>
      </c>
      <c r="B136">
        <v>1.359999</v>
      </c>
      <c r="C136" t="s">
        <v>23</v>
      </c>
      <c r="D136">
        <v>1.0420100000000001</v>
      </c>
      <c r="E136" t="s">
        <v>24</v>
      </c>
      <c r="F136">
        <v>1.168309</v>
      </c>
      <c r="G136" t="s">
        <v>25</v>
      </c>
      <c r="H136">
        <v>0.91616900000000001</v>
      </c>
      <c r="I136" t="s">
        <v>26</v>
      </c>
      <c r="J136">
        <v>8.4199999999999998E-4</v>
      </c>
      <c r="K136" t="s">
        <v>27</v>
      </c>
      <c r="L136">
        <v>2.4997999999999999E-2</v>
      </c>
      <c r="M136" t="s">
        <v>28</v>
      </c>
      <c r="N136">
        <v>1.9602000000000001E-2</v>
      </c>
      <c r="O136" t="s">
        <v>29</v>
      </c>
      <c r="P136">
        <v>-7.0125999999999994E-2</v>
      </c>
      <c r="Q136" t="s">
        <v>30</v>
      </c>
      <c r="R136">
        <v>-0.74137699999999995</v>
      </c>
      <c r="S136" t="s">
        <v>31</v>
      </c>
      <c r="T136">
        <v>0.59869000000000006</v>
      </c>
      <c r="U136" t="s">
        <v>32</v>
      </c>
      <c r="V136">
        <v>5.2186000000000003E-2</v>
      </c>
      <c r="W136" t="s">
        <v>33</v>
      </c>
      <c r="X136">
        <v>0.15898899999999999</v>
      </c>
      <c r="Y136" t="s">
        <v>34</v>
      </c>
      <c r="Z136">
        <v>0.104183</v>
      </c>
      <c r="AA136" t="s">
        <v>35</v>
      </c>
      <c r="AB136">
        <v>0.13101399999999999</v>
      </c>
      <c r="AC136" t="s">
        <v>36</v>
      </c>
      <c r="AD136">
        <v>0.27694999999999997</v>
      </c>
      <c r="AE136" t="s">
        <v>37</v>
      </c>
      <c r="AF136">
        <v>0.26155299999999998</v>
      </c>
      <c r="AG136" t="s">
        <v>38</v>
      </c>
      <c r="AH136">
        <v>0.94440299999999999</v>
      </c>
      <c r="AI136" t="s">
        <v>39</v>
      </c>
      <c r="AJ136">
        <v>0.75419700000000001</v>
      </c>
      <c r="AK136" t="s">
        <v>40</v>
      </c>
      <c r="AL136">
        <v>0.78449100000000005</v>
      </c>
      <c r="AM136" t="s">
        <v>41</v>
      </c>
      <c r="AN136">
        <v>17.711988000000002</v>
      </c>
      <c r="AO136" t="s">
        <v>42</v>
      </c>
      <c r="AP136">
        <v>10.423795999999999</v>
      </c>
    </row>
    <row r="137" spans="1:42" x14ac:dyDescent="0.3">
      <c r="A137" t="s">
        <v>22</v>
      </c>
      <c r="B137">
        <v>1.369999</v>
      </c>
      <c r="C137" t="s">
        <v>23</v>
      </c>
      <c r="D137">
        <v>1.0420100000000001</v>
      </c>
      <c r="E137" t="s">
        <v>24</v>
      </c>
      <c r="F137">
        <v>1.1671339999999999</v>
      </c>
      <c r="G137" t="s">
        <v>25</v>
      </c>
      <c r="H137">
        <v>0.91616900000000001</v>
      </c>
      <c r="I137" t="s">
        <v>26</v>
      </c>
      <c r="J137">
        <v>8.3500000000000002E-4</v>
      </c>
      <c r="K137" t="s">
        <v>27</v>
      </c>
      <c r="L137">
        <v>2.4972999999999999E-2</v>
      </c>
      <c r="M137" t="s">
        <v>28</v>
      </c>
      <c r="N137">
        <v>1.9602000000000001E-2</v>
      </c>
      <c r="O137" t="s">
        <v>29</v>
      </c>
      <c r="P137">
        <v>-7.0125000000000007E-2</v>
      </c>
      <c r="Q137" t="s">
        <v>30</v>
      </c>
      <c r="R137">
        <v>-0.73513200000000001</v>
      </c>
      <c r="S137" t="s">
        <v>31</v>
      </c>
      <c r="T137">
        <v>0.59869000000000006</v>
      </c>
      <c r="U137" t="s">
        <v>32</v>
      </c>
      <c r="V137">
        <v>5.1943000000000003E-2</v>
      </c>
      <c r="W137" t="s">
        <v>33</v>
      </c>
      <c r="X137">
        <v>0.159029</v>
      </c>
      <c r="Y137" t="s">
        <v>34</v>
      </c>
      <c r="Z137">
        <v>0.104183</v>
      </c>
      <c r="AA137" t="s">
        <v>35</v>
      </c>
      <c r="AB137">
        <v>0.13040299999999999</v>
      </c>
      <c r="AC137" t="s">
        <v>36</v>
      </c>
      <c r="AD137">
        <v>0.276812</v>
      </c>
      <c r="AE137" t="s">
        <v>37</v>
      </c>
      <c r="AF137">
        <v>0.26155299999999998</v>
      </c>
      <c r="AG137" t="s">
        <v>38</v>
      </c>
      <c r="AH137">
        <v>0.944878</v>
      </c>
      <c r="AI137" t="s">
        <v>39</v>
      </c>
      <c r="AJ137">
        <v>0.75448400000000004</v>
      </c>
      <c r="AK137" t="s">
        <v>40</v>
      </c>
      <c r="AL137">
        <v>0.78449100000000005</v>
      </c>
      <c r="AM137" t="s">
        <v>41</v>
      </c>
      <c r="AN137">
        <v>17.842222</v>
      </c>
      <c r="AO137" t="s">
        <v>42</v>
      </c>
      <c r="AP137">
        <v>10.489884999999999</v>
      </c>
    </row>
    <row r="138" spans="1:42" x14ac:dyDescent="0.3">
      <c r="A138" t="s">
        <v>22</v>
      </c>
      <c r="B138">
        <v>1.379999</v>
      </c>
      <c r="C138" t="s">
        <v>23</v>
      </c>
      <c r="D138">
        <v>1.0420039999999999</v>
      </c>
      <c r="E138" t="s">
        <v>24</v>
      </c>
      <c r="F138">
        <v>1.1659679999999999</v>
      </c>
      <c r="G138" t="s">
        <v>25</v>
      </c>
      <c r="H138">
        <v>0.91616900000000001</v>
      </c>
      <c r="I138" t="s">
        <v>26</v>
      </c>
      <c r="J138">
        <v>8.2799999999999996E-4</v>
      </c>
      <c r="K138" t="s">
        <v>27</v>
      </c>
      <c r="L138">
        <v>2.4948000000000001E-2</v>
      </c>
      <c r="M138" t="s">
        <v>28</v>
      </c>
      <c r="N138">
        <v>1.9602000000000001E-2</v>
      </c>
      <c r="O138" t="s">
        <v>29</v>
      </c>
      <c r="P138">
        <v>-7.0095000000000005E-2</v>
      </c>
      <c r="Q138" t="s">
        <v>30</v>
      </c>
      <c r="R138">
        <v>-0.72893799999999997</v>
      </c>
      <c r="S138" t="s">
        <v>31</v>
      </c>
      <c r="T138">
        <v>0.59869000000000006</v>
      </c>
      <c r="U138" t="s">
        <v>32</v>
      </c>
      <c r="V138">
        <v>5.1700999999999997E-2</v>
      </c>
      <c r="W138" t="s">
        <v>33</v>
      </c>
      <c r="X138">
        <v>0.15906999999999999</v>
      </c>
      <c r="Y138" t="s">
        <v>34</v>
      </c>
      <c r="Z138">
        <v>0.104183</v>
      </c>
      <c r="AA138" t="s">
        <v>35</v>
      </c>
      <c r="AB138">
        <v>0.129797</v>
      </c>
      <c r="AC138" t="s">
        <v>36</v>
      </c>
      <c r="AD138">
        <v>0.27667399999999998</v>
      </c>
      <c r="AE138" t="s">
        <v>37</v>
      </c>
      <c r="AF138">
        <v>0.26155299999999998</v>
      </c>
      <c r="AG138" t="s">
        <v>38</v>
      </c>
      <c r="AH138">
        <v>0.94534700000000005</v>
      </c>
      <c r="AI138" t="s">
        <v>39</v>
      </c>
      <c r="AJ138">
        <v>0.75476699999999997</v>
      </c>
      <c r="AK138" t="s">
        <v>40</v>
      </c>
      <c r="AL138">
        <v>0.78449100000000005</v>
      </c>
      <c r="AM138" t="s">
        <v>41</v>
      </c>
      <c r="AN138">
        <v>17.972458</v>
      </c>
      <c r="AO138" t="s">
        <v>42</v>
      </c>
      <c r="AP138">
        <v>10.555959</v>
      </c>
    </row>
    <row r="139" spans="1:42" x14ac:dyDescent="0.3">
      <c r="A139" t="s">
        <v>22</v>
      </c>
      <c r="B139">
        <v>1.389999</v>
      </c>
      <c r="C139" t="s">
        <v>23</v>
      </c>
      <c r="D139">
        <v>1.0419940000000001</v>
      </c>
      <c r="E139" t="s">
        <v>24</v>
      </c>
      <c r="F139">
        <v>1.1648130000000001</v>
      </c>
      <c r="G139" t="s">
        <v>25</v>
      </c>
      <c r="H139">
        <v>0.91616900000000001</v>
      </c>
      <c r="I139" t="s">
        <v>26</v>
      </c>
      <c r="J139">
        <v>8.2100000000000001E-4</v>
      </c>
      <c r="K139" t="s">
        <v>27</v>
      </c>
      <c r="L139">
        <v>2.4924000000000002E-2</v>
      </c>
      <c r="M139" t="s">
        <v>28</v>
      </c>
      <c r="N139">
        <v>1.9602000000000001E-2</v>
      </c>
      <c r="O139" t="s">
        <v>29</v>
      </c>
      <c r="P139">
        <v>-7.0041999999999993E-2</v>
      </c>
      <c r="Q139" t="s">
        <v>30</v>
      </c>
      <c r="R139">
        <v>-0.72279599999999999</v>
      </c>
      <c r="S139" t="s">
        <v>31</v>
      </c>
      <c r="T139">
        <v>0.59869000000000006</v>
      </c>
      <c r="U139" t="s">
        <v>32</v>
      </c>
      <c r="V139">
        <v>5.1462000000000001E-2</v>
      </c>
      <c r="W139" t="s">
        <v>33</v>
      </c>
      <c r="X139">
        <v>0.159113</v>
      </c>
      <c r="Y139" t="s">
        <v>34</v>
      </c>
      <c r="Z139">
        <v>0.104183</v>
      </c>
      <c r="AA139" t="s">
        <v>35</v>
      </c>
      <c r="AB139">
        <v>0.129195</v>
      </c>
      <c r="AC139" t="s">
        <v>36</v>
      </c>
      <c r="AD139">
        <v>0.27653800000000001</v>
      </c>
      <c r="AE139" t="s">
        <v>37</v>
      </c>
      <c r="AF139">
        <v>0.26155299999999998</v>
      </c>
      <c r="AG139" t="s">
        <v>38</v>
      </c>
      <c r="AH139">
        <v>0.94581199999999999</v>
      </c>
      <c r="AI139" t="s">
        <v>39</v>
      </c>
      <c r="AJ139">
        <v>0.75504599999999999</v>
      </c>
      <c r="AK139" t="s">
        <v>40</v>
      </c>
      <c r="AL139">
        <v>0.78449100000000005</v>
      </c>
      <c r="AM139" t="s">
        <v>41</v>
      </c>
      <c r="AN139">
        <v>18.102694</v>
      </c>
      <c r="AO139" t="s">
        <v>42</v>
      </c>
      <c r="AP139">
        <v>10.622016</v>
      </c>
    </row>
    <row r="140" spans="1:42" x14ac:dyDescent="0.3">
      <c r="A140" t="s">
        <v>22</v>
      </c>
      <c r="B140">
        <v>1.399999</v>
      </c>
      <c r="C140" t="s">
        <v>23</v>
      </c>
      <c r="D140">
        <v>1.041979</v>
      </c>
      <c r="E140" t="s">
        <v>24</v>
      </c>
      <c r="F140">
        <v>1.1636660000000001</v>
      </c>
      <c r="G140" t="s">
        <v>25</v>
      </c>
      <c r="H140">
        <v>0.91616900000000001</v>
      </c>
      <c r="I140" t="s">
        <v>26</v>
      </c>
      <c r="J140">
        <v>8.1499999999999997E-4</v>
      </c>
      <c r="K140" t="s">
        <v>27</v>
      </c>
      <c r="L140">
        <v>2.4899000000000001E-2</v>
      </c>
      <c r="M140" t="s">
        <v>28</v>
      </c>
      <c r="N140">
        <v>1.9602000000000001E-2</v>
      </c>
      <c r="O140" t="s">
        <v>29</v>
      </c>
      <c r="P140">
        <v>-6.9962999999999997E-2</v>
      </c>
      <c r="Q140" t="s">
        <v>30</v>
      </c>
      <c r="R140">
        <v>-0.71670500000000004</v>
      </c>
      <c r="S140" t="s">
        <v>31</v>
      </c>
      <c r="T140">
        <v>0.59869000000000006</v>
      </c>
      <c r="U140" t="s">
        <v>32</v>
      </c>
      <c r="V140">
        <v>5.1223999999999999E-2</v>
      </c>
      <c r="W140" t="s">
        <v>33</v>
      </c>
      <c r="X140">
        <v>0.15915599999999999</v>
      </c>
      <c r="Y140" t="s">
        <v>34</v>
      </c>
      <c r="Z140">
        <v>0.104183</v>
      </c>
      <c r="AA140" t="s">
        <v>35</v>
      </c>
      <c r="AB140">
        <v>0.12859799999999999</v>
      </c>
      <c r="AC140" t="s">
        <v>36</v>
      </c>
      <c r="AD140">
        <v>0.27640399999999998</v>
      </c>
      <c r="AE140" t="s">
        <v>37</v>
      </c>
      <c r="AF140">
        <v>0.26155299999999998</v>
      </c>
      <c r="AG140" t="s">
        <v>38</v>
      </c>
      <c r="AH140">
        <v>0.94626999999999994</v>
      </c>
      <c r="AI140" t="s">
        <v>39</v>
      </c>
      <c r="AJ140">
        <v>0.75532299999999997</v>
      </c>
      <c r="AK140" t="s">
        <v>40</v>
      </c>
      <c r="AL140">
        <v>0.78449100000000005</v>
      </c>
      <c r="AM140" t="s">
        <v>41</v>
      </c>
      <c r="AN140">
        <v>18.232928999999999</v>
      </c>
      <c r="AO140" t="s">
        <v>42</v>
      </c>
      <c r="AP140">
        <v>10.688058</v>
      </c>
    </row>
    <row r="141" spans="1:42" x14ac:dyDescent="0.3">
      <c r="A141" t="s">
        <v>22</v>
      </c>
      <c r="B141">
        <v>1.409999</v>
      </c>
      <c r="C141" t="s">
        <v>23</v>
      </c>
      <c r="D141">
        <v>1.04196</v>
      </c>
      <c r="E141" t="s">
        <v>24</v>
      </c>
      <c r="F141">
        <v>1.1625300000000001</v>
      </c>
      <c r="G141" t="s">
        <v>25</v>
      </c>
      <c r="H141">
        <v>0.91616900000000001</v>
      </c>
      <c r="I141" t="s">
        <v>26</v>
      </c>
      <c r="J141">
        <v>8.0800000000000002E-4</v>
      </c>
      <c r="K141" t="s">
        <v>27</v>
      </c>
      <c r="L141">
        <v>2.4875000000000001E-2</v>
      </c>
      <c r="M141" t="s">
        <v>28</v>
      </c>
      <c r="N141">
        <v>1.9602000000000001E-2</v>
      </c>
      <c r="O141" t="s">
        <v>29</v>
      </c>
      <c r="P141">
        <v>-6.9862999999999995E-2</v>
      </c>
      <c r="Q141" t="s">
        <v>30</v>
      </c>
      <c r="R141">
        <v>-0.71066399999999996</v>
      </c>
      <c r="S141" t="s">
        <v>31</v>
      </c>
      <c r="T141">
        <v>0.59869000000000006</v>
      </c>
      <c r="U141" t="s">
        <v>32</v>
      </c>
      <c r="V141">
        <v>5.0987999999999999E-2</v>
      </c>
      <c r="W141" t="s">
        <v>33</v>
      </c>
      <c r="X141">
        <v>0.15920000000000001</v>
      </c>
      <c r="Y141" t="s">
        <v>34</v>
      </c>
      <c r="Z141">
        <v>0.104183</v>
      </c>
      <c r="AA141" t="s">
        <v>35</v>
      </c>
      <c r="AB141">
        <v>0.12800500000000001</v>
      </c>
      <c r="AC141" t="s">
        <v>36</v>
      </c>
      <c r="AD141">
        <v>0.27627200000000002</v>
      </c>
      <c r="AE141" t="s">
        <v>37</v>
      </c>
      <c r="AF141">
        <v>0.26155299999999998</v>
      </c>
      <c r="AG141" t="s">
        <v>38</v>
      </c>
      <c r="AH141">
        <v>0.94672400000000001</v>
      </c>
      <c r="AI141" t="s">
        <v>39</v>
      </c>
      <c r="AJ141">
        <v>0.75559600000000005</v>
      </c>
      <c r="AK141" t="s">
        <v>40</v>
      </c>
      <c r="AL141">
        <v>0.78449100000000005</v>
      </c>
      <c r="AM141" t="s">
        <v>41</v>
      </c>
      <c r="AN141">
        <v>18.363163</v>
      </c>
      <c r="AO141" t="s">
        <v>42</v>
      </c>
      <c r="AP141">
        <v>10.754085999999999</v>
      </c>
    </row>
    <row r="142" spans="1:42" x14ac:dyDescent="0.3">
      <c r="A142" t="s">
        <v>22</v>
      </c>
      <c r="B142">
        <v>1.419999</v>
      </c>
      <c r="C142" t="s">
        <v>23</v>
      </c>
      <c r="D142">
        <v>1.041936</v>
      </c>
      <c r="E142" t="s">
        <v>24</v>
      </c>
      <c r="F142">
        <v>1.161402</v>
      </c>
      <c r="G142" t="s">
        <v>25</v>
      </c>
      <c r="H142">
        <v>0.91616900000000001</v>
      </c>
      <c r="I142" t="s">
        <v>26</v>
      </c>
      <c r="J142">
        <v>8.0099999999999995E-4</v>
      </c>
      <c r="K142" t="s">
        <v>27</v>
      </c>
      <c r="L142">
        <v>2.4851000000000002E-2</v>
      </c>
      <c r="M142" t="s">
        <v>28</v>
      </c>
      <c r="N142">
        <v>1.9602000000000001E-2</v>
      </c>
      <c r="O142" t="s">
        <v>29</v>
      </c>
      <c r="P142">
        <v>-6.9735000000000005E-2</v>
      </c>
      <c r="Q142" t="s">
        <v>30</v>
      </c>
      <c r="R142">
        <v>-0.70467100000000005</v>
      </c>
      <c r="S142" t="s">
        <v>31</v>
      </c>
      <c r="T142">
        <v>0.59869000000000006</v>
      </c>
      <c r="U142" t="s">
        <v>32</v>
      </c>
      <c r="V142">
        <v>5.0753E-2</v>
      </c>
      <c r="W142" t="s">
        <v>33</v>
      </c>
      <c r="X142">
        <v>0.159246</v>
      </c>
      <c r="Y142" t="s">
        <v>34</v>
      </c>
      <c r="Z142">
        <v>0.104183</v>
      </c>
      <c r="AA142" t="s">
        <v>35</v>
      </c>
      <c r="AB142">
        <v>0.127416</v>
      </c>
      <c r="AC142" t="s">
        <v>36</v>
      </c>
      <c r="AD142">
        <v>0.27614100000000003</v>
      </c>
      <c r="AE142" t="s">
        <v>37</v>
      </c>
      <c r="AF142">
        <v>0.26155299999999998</v>
      </c>
      <c r="AG142" t="s">
        <v>38</v>
      </c>
      <c r="AH142">
        <v>0.94717300000000004</v>
      </c>
      <c r="AI142" t="s">
        <v>39</v>
      </c>
      <c r="AJ142">
        <v>0.75586500000000001</v>
      </c>
      <c r="AK142" t="s">
        <v>40</v>
      </c>
      <c r="AL142">
        <v>0.78449100000000005</v>
      </c>
      <c r="AM142" t="s">
        <v>41</v>
      </c>
      <c r="AN142">
        <v>18.493399</v>
      </c>
      <c r="AO142" t="s">
        <v>42</v>
      </c>
      <c r="AP142">
        <v>10.820098</v>
      </c>
    </row>
    <row r="143" spans="1:42" x14ac:dyDescent="0.3">
      <c r="A143" t="s">
        <v>22</v>
      </c>
      <c r="B143">
        <v>1.429999</v>
      </c>
      <c r="C143" t="s">
        <v>23</v>
      </c>
      <c r="D143">
        <v>1.0419080000000001</v>
      </c>
      <c r="E143" t="s">
        <v>24</v>
      </c>
      <c r="F143">
        <v>1.1602840000000001</v>
      </c>
      <c r="G143" t="s">
        <v>25</v>
      </c>
      <c r="H143">
        <v>0.91616900000000001</v>
      </c>
      <c r="I143" t="s">
        <v>26</v>
      </c>
      <c r="J143">
        <v>7.9500000000000003E-4</v>
      </c>
      <c r="K143" t="s">
        <v>27</v>
      </c>
      <c r="L143">
        <v>2.4826999999999998E-2</v>
      </c>
      <c r="M143" t="s">
        <v>28</v>
      </c>
      <c r="N143">
        <v>1.9602000000000001E-2</v>
      </c>
      <c r="O143" t="s">
        <v>29</v>
      </c>
      <c r="P143">
        <v>-6.9585999999999995E-2</v>
      </c>
      <c r="Q143" t="s">
        <v>30</v>
      </c>
      <c r="R143">
        <v>-0.69872800000000002</v>
      </c>
      <c r="S143" t="s">
        <v>31</v>
      </c>
      <c r="T143">
        <v>0.59869000000000006</v>
      </c>
      <c r="U143" t="s">
        <v>32</v>
      </c>
      <c r="V143">
        <v>5.0520000000000002E-2</v>
      </c>
      <c r="W143" t="s">
        <v>33</v>
      </c>
      <c r="X143">
        <v>0.15929199999999999</v>
      </c>
      <c r="Y143" t="s">
        <v>34</v>
      </c>
      <c r="Z143">
        <v>0.104183</v>
      </c>
      <c r="AA143" t="s">
        <v>35</v>
      </c>
      <c r="AB143">
        <v>0.126832</v>
      </c>
      <c r="AC143" t="s">
        <v>36</v>
      </c>
      <c r="AD143">
        <v>0.27601100000000001</v>
      </c>
      <c r="AE143" t="s">
        <v>37</v>
      </c>
      <c r="AF143">
        <v>0.26155299999999998</v>
      </c>
      <c r="AG143" t="s">
        <v>38</v>
      </c>
      <c r="AH143">
        <v>0.94761600000000001</v>
      </c>
      <c r="AI143" t="s">
        <v>39</v>
      </c>
      <c r="AJ143">
        <v>0.75612999999999997</v>
      </c>
      <c r="AK143" t="s">
        <v>40</v>
      </c>
      <c r="AL143">
        <v>0.78449100000000005</v>
      </c>
      <c r="AM143" t="s">
        <v>41</v>
      </c>
      <c r="AN143">
        <v>18.623633999999999</v>
      </c>
      <c r="AO143" t="s">
        <v>42</v>
      </c>
      <c r="AP143">
        <v>10.886099</v>
      </c>
    </row>
    <row r="144" spans="1:42" x14ac:dyDescent="0.3">
      <c r="A144" t="s">
        <v>22</v>
      </c>
      <c r="B144">
        <v>1.439999</v>
      </c>
      <c r="C144" t="s">
        <v>23</v>
      </c>
      <c r="D144">
        <v>1.041876</v>
      </c>
      <c r="E144" t="s">
        <v>24</v>
      </c>
      <c r="F144">
        <v>1.1591750000000001</v>
      </c>
      <c r="G144" t="s">
        <v>25</v>
      </c>
      <c r="H144">
        <v>0.91616900000000001</v>
      </c>
      <c r="I144" t="s">
        <v>26</v>
      </c>
      <c r="J144">
        <v>7.8899999999999999E-4</v>
      </c>
      <c r="K144" t="s">
        <v>27</v>
      </c>
      <c r="L144">
        <v>2.4802999999999999E-2</v>
      </c>
      <c r="M144" t="s">
        <v>28</v>
      </c>
      <c r="N144">
        <v>1.9602000000000001E-2</v>
      </c>
      <c r="O144" t="s">
        <v>29</v>
      </c>
      <c r="P144">
        <v>-6.9415000000000004E-2</v>
      </c>
      <c r="Q144" t="s">
        <v>30</v>
      </c>
      <c r="R144">
        <v>-0.69283399999999995</v>
      </c>
      <c r="S144" t="s">
        <v>31</v>
      </c>
      <c r="T144">
        <v>0.59869000000000006</v>
      </c>
      <c r="U144" t="s">
        <v>32</v>
      </c>
      <c r="V144">
        <v>5.0289E-2</v>
      </c>
      <c r="W144" t="s">
        <v>33</v>
      </c>
      <c r="X144">
        <v>0.15933900000000001</v>
      </c>
      <c r="Y144" t="s">
        <v>34</v>
      </c>
      <c r="Z144">
        <v>0.104183</v>
      </c>
      <c r="AA144" t="s">
        <v>35</v>
      </c>
      <c r="AB144">
        <v>0.126252</v>
      </c>
      <c r="AC144" t="s">
        <v>36</v>
      </c>
      <c r="AD144">
        <v>0.27588400000000002</v>
      </c>
      <c r="AE144" t="s">
        <v>37</v>
      </c>
      <c r="AF144">
        <v>0.26155299999999998</v>
      </c>
      <c r="AG144" t="s">
        <v>38</v>
      </c>
      <c r="AH144">
        <v>0.94805499999999998</v>
      </c>
      <c r="AI144" t="s">
        <v>39</v>
      </c>
      <c r="AJ144">
        <v>0.75639199999999995</v>
      </c>
      <c r="AK144" t="s">
        <v>40</v>
      </c>
      <c r="AL144">
        <v>0.78449100000000005</v>
      </c>
      <c r="AM144" t="s">
        <v>41</v>
      </c>
      <c r="AN144">
        <v>18.753869999999999</v>
      </c>
      <c r="AO144" t="s">
        <v>42</v>
      </c>
      <c r="AP144">
        <v>10.952086</v>
      </c>
    </row>
    <row r="145" spans="1:42" x14ac:dyDescent="0.3">
      <c r="A145" t="s">
        <v>22</v>
      </c>
      <c r="B145">
        <v>1.449999</v>
      </c>
      <c r="C145" t="s">
        <v>23</v>
      </c>
      <c r="D145">
        <v>1.0418400000000001</v>
      </c>
      <c r="E145" t="s">
        <v>24</v>
      </c>
      <c r="F145">
        <v>1.158075</v>
      </c>
      <c r="G145" t="s">
        <v>25</v>
      </c>
      <c r="H145">
        <v>0.91616900000000001</v>
      </c>
      <c r="I145" t="s">
        <v>26</v>
      </c>
      <c r="J145">
        <v>7.8200000000000003E-4</v>
      </c>
      <c r="K145" t="s">
        <v>27</v>
      </c>
      <c r="L145">
        <v>2.4778999999999999E-2</v>
      </c>
      <c r="M145" t="s">
        <v>28</v>
      </c>
      <c r="N145">
        <v>1.9602000000000001E-2</v>
      </c>
      <c r="O145" t="s">
        <v>29</v>
      </c>
      <c r="P145">
        <v>-6.9221000000000005E-2</v>
      </c>
      <c r="Q145" t="s">
        <v>30</v>
      </c>
      <c r="R145">
        <v>-0.68698800000000004</v>
      </c>
      <c r="S145" t="s">
        <v>31</v>
      </c>
      <c r="T145">
        <v>0.59869000000000006</v>
      </c>
      <c r="U145" t="s">
        <v>32</v>
      </c>
      <c r="V145">
        <v>5.006E-2</v>
      </c>
      <c r="W145" t="s">
        <v>33</v>
      </c>
      <c r="X145">
        <v>0.159387</v>
      </c>
      <c r="Y145" t="s">
        <v>34</v>
      </c>
      <c r="Z145">
        <v>0.104183</v>
      </c>
      <c r="AA145" t="s">
        <v>35</v>
      </c>
      <c r="AB145">
        <v>0.12567600000000001</v>
      </c>
      <c r="AC145" t="s">
        <v>36</v>
      </c>
      <c r="AD145">
        <v>0.275758</v>
      </c>
      <c r="AE145" t="s">
        <v>37</v>
      </c>
      <c r="AF145">
        <v>0.26155299999999998</v>
      </c>
      <c r="AG145" t="s">
        <v>38</v>
      </c>
      <c r="AH145">
        <v>0.948488</v>
      </c>
      <c r="AI145" t="s">
        <v>39</v>
      </c>
      <c r="AJ145">
        <v>0.75665000000000004</v>
      </c>
      <c r="AK145" t="s">
        <v>40</v>
      </c>
      <c r="AL145">
        <v>0.78449100000000005</v>
      </c>
      <c r="AM145" t="s">
        <v>41</v>
      </c>
      <c r="AN145">
        <v>18.884104000000001</v>
      </c>
      <c r="AO145" t="s">
        <v>42</v>
      </c>
      <c r="AP145">
        <v>11.018063</v>
      </c>
    </row>
    <row r="146" spans="1:42" x14ac:dyDescent="0.3">
      <c r="A146" t="s">
        <v>22</v>
      </c>
      <c r="B146">
        <v>1.459999</v>
      </c>
      <c r="C146" t="s">
        <v>23</v>
      </c>
      <c r="D146">
        <v>1.0417989999999999</v>
      </c>
      <c r="E146" t="s">
        <v>24</v>
      </c>
      <c r="F146">
        <v>1.156984</v>
      </c>
      <c r="G146" t="s">
        <v>25</v>
      </c>
      <c r="H146">
        <v>0.91616900000000001</v>
      </c>
      <c r="I146" t="s">
        <v>26</v>
      </c>
      <c r="J146">
        <v>7.76E-4</v>
      </c>
      <c r="K146" t="s">
        <v>27</v>
      </c>
      <c r="L146">
        <v>2.4756E-2</v>
      </c>
      <c r="M146" t="s">
        <v>28</v>
      </c>
      <c r="N146">
        <v>1.9602000000000001E-2</v>
      </c>
      <c r="O146" t="s">
        <v>29</v>
      </c>
      <c r="P146">
        <v>-6.9006999999999999E-2</v>
      </c>
      <c r="Q146" t="s">
        <v>30</v>
      </c>
      <c r="R146">
        <v>-0.68118900000000004</v>
      </c>
      <c r="S146" t="s">
        <v>31</v>
      </c>
      <c r="T146">
        <v>0.59869000000000006</v>
      </c>
      <c r="U146" t="s">
        <v>32</v>
      </c>
      <c r="V146">
        <v>4.9832000000000001E-2</v>
      </c>
      <c r="W146" t="s">
        <v>33</v>
      </c>
      <c r="X146">
        <v>0.15943599999999999</v>
      </c>
      <c r="Y146" t="s">
        <v>34</v>
      </c>
      <c r="Z146">
        <v>0.104183</v>
      </c>
      <c r="AA146" t="s">
        <v>35</v>
      </c>
      <c r="AB146">
        <v>0.12510399999999999</v>
      </c>
      <c r="AC146" t="s">
        <v>36</v>
      </c>
      <c r="AD146">
        <v>0.27563300000000002</v>
      </c>
      <c r="AE146" t="s">
        <v>37</v>
      </c>
      <c r="AF146">
        <v>0.26155299999999998</v>
      </c>
      <c r="AG146" t="s">
        <v>38</v>
      </c>
      <c r="AH146">
        <v>0.94891700000000001</v>
      </c>
      <c r="AI146" t="s">
        <v>39</v>
      </c>
      <c r="AJ146">
        <v>0.75690400000000002</v>
      </c>
      <c r="AK146" t="s">
        <v>40</v>
      </c>
      <c r="AL146">
        <v>0.78449100000000005</v>
      </c>
      <c r="AM146" t="s">
        <v>41</v>
      </c>
      <c r="AN146">
        <v>19.014339</v>
      </c>
      <c r="AO146" t="s">
        <v>42</v>
      </c>
      <c r="AP146">
        <v>11.084026</v>
      </c>
    </row>
    <row r="147" spans="1:42" x14ac:dyDescent="0.3">
      <c r="A147" t="s">
        <v>22</v>
      </c>
      <c r="B147">
        <v>1.4699990000000001</v>
      </c>
      <c r="C147" t="s">
        <v>23</v>
      </c>
      <c r="D147">
        <v>1.041755</v>
      </c>
      <c r="E147" t="s">
        <v>24</v>
      </c>
      <c r="F147">
        <v>1.155902</v>
      </c>
      <c r="G147" t="s">
        <v>25</v>
      </c>
      <c r="H147">
        <v>0.91616900000000001</v>
      </c>
      <c r="I147" t="s">
        <v>26</v>
      </c>
      <c r="J147">
        <v>7.6999999999999996E-4</v>
      </c>
      <c r="K147" t="s">
        <v>27</v>
      </c>
      <c r="L147">
        <v>2.4733000000000002E-2</v>
      </c>
      <c r="M147" t="s">
        <v>28</v>
      </c>
      <c r="N147">
        <v>1.9602000000000001E-2</v>
      </c>
      <c r="O147" t="s">
        <v>29</v>
      </c>
      <c r="P147">
        <v>-6.8769999999999998E-2</v>
      </c>
      <c r="Q147" t="s">
        <v>30</v>
      </c>
      <c r="R147">
        <v>-0.67543699999999995</v>
      </c>
      <c r="S147" t="s">
        <v>31</v>
      </c>
      <c r="T147">
        <v>0.59869000000000006</v>
      </c>
      <c r="U147" t="s">
        <v>32</v>
      </c>
      <c r="V147">
        <v>4.9605999999999997E-2</v>
      </c>
      <c r="W147" t="s">
        <v>33</v>
      </c>
      <c r="X147">
        <v>0.15948499999999999</v>
      </c>
      <c r="Y147" t="s">
        <v>34</v>
      </c>
      <c r="Z147">
        <v>0.104183</v>
      </c>
      <c r="AA147" t="s">
        <v>35</v>
      </c>
      <c r="AB147">
        <v>0.12453699999999999</v>
      </c>
      <c r="AC147" t="s">
        <v>36</v>
      </c>
      <c r="AD147">
        <v>0.27550999999999998</v>
      </c>
      <c r="AE147" t="s">
        <v>37</v>
      </c>
      <c r="AF147">
        <v>0.26155299999999998</v>
      </c>
      <c r="AG147" t="s">
        <v>38</v>
      </c>
      <c r="AH147">
        <v>0.94934099999999999</v>
      </c>
      <c r="AI147" t="s">
        <v>39</v>
      </c>
      <c r="AJ147">
        <v>0.75715699999999997</v>
      </c>
      <c r="AK147" t="s">
        <v>40</v>
      </c>
      <c r="AL147">
        <v>0.78449100000000005</v>
      </c>
      <c r="AM147" t="s">
        <v>41</v>
      </c>
      <c r="AN147">
        <v>19.144575</v>
      </c>
      <c r="AO147" t="s">
        <v>42</v>
      </c>
      <c r="AP147">
        <v>11.149981</v>
      </c>
    </row>
    <row r="148" spans="1:42" x14ac:dyDescent="0.3">
      <c r="A148" t="s">
        <v>22</v>
      </c>
      <c r="B148">
        <v>1.4799990000000001</v>
      </c>
      <c r="C148" t="s">
        <v>23</v>
      </c>
      <c r="D148">
        <v>1.0417069999999999</v>
      </c>
      <c r="E148" t="s">
        <v>24</v>
      </c>
      <c r="F148">
        <v>1.154828</v>
      </c>
      <c r="G148" t="s">
        <v>25</v>
      </c>
      <c r="H148">
        <v>0.91616900000000001</v>
      </c>
      <c r="I148" t="s">
        <v>26</v>
      </c>
      <c r="J148">
        <v>7.6400000000000003E-4</v>
      </c>
      <c r="K148" t="s">
        <v>27</v>
      </c>
      <c r="L148">
        <v>2.4709999999999999E-2</v>
      </c>
      <c r="M148" t="s">
        <v>28</v>
      </c>
      <c r="N148">
        <v>1.9602000000000001E-2</v>
      </c>
      <c r="O148" t="s">
        <v>29</v>
      </c>
      <c r="P148">
        <v>-6.8513000000000004E-2</v>
      </c>
      <c r="Q148" t="s">
        <v>30</v>
      </c>
      <c r="R148">
        <v>-0.66973199999999999</v>
      </c>
      <c r="S148" t="s">
        <v>31</v>
      </c>
      <c r="T148">
        <v>0.59869000000000006</v>
      </c>
      <c r="U148" t="s">
        <v>32</v>
      </c>
      <c r="V148">
        <v>4.9382000000000002E-2</v>
      </c>
      <c r="W148" t="s">
        <v>33</v>
      </c>
      <c r="X148">
        <v>0.15953600000000001</v>
      </c>
      <c r="Y148" t="s">
        <v>34</v>
      </c>
      <c r="Z148">
        <v>0.104183</v>
      </c>
      <c r="AA148" t="s">
        <v>35</v>
      </c>
      <c r="AB148">
        <v>0.123973</v>
      </c>
      <c r="AC148" t="s">
        <v>36</v>
      </c>
      <c r="AD148">
        <v>0.27538899999999999</v>
      </c>
      <c r="AE148" t="s">
        <v>37</v>
      </c>
      <c r="AF148">
        <v>0.26155299999999998</v>
      </c>
      <c r="AG148" t="s">
        <v>38</v>
      </c>
      <c r="AH148">
        <v>0.94976000000000005</v>
      </c>
      <c r="AI148" t="s">
        <v>39</v>
      </c>
      <c r="AJ148">
        <v>0.75740499999999999</v>
      </c>
      <c r="AK148" t="s">
        <v>40</v>
      </c>
      <c r="AL148">
        <v>0.78449100000000005</v>
      </c>
      <c r="AM148" t="s">
        <v>41</v>
      </c>
      <c r="AN148">
        <v>19.274811</v>
      </c>
      <c r="AO148" t="s">
        <v>42</v>
      </c>
      <c r="AP148">
        <v>11.215923999999999</v>
      </c>
    </row>
    <row r="149" spans="1:42" x14ac:dyDescent="0.3">
      <c r="A149" t="s">
        <v>22</v>
      </c>
      <c r="B149">
        <v>1.4899990000000001</v>
      </c>
      <c r="C149" t="s">
        <v>23</v>
      </c>
      <c r="D149">
        <v>1.041655</v>
      </c>
      <c r="E149" t="s">
        <v>24</v>
      </c>
      <c r="F149">
        <v>1.1537630000000001</v>
      </c>
      <c r="G149" t="s">
        <v>25</v>
      </c>
      <c r="H149">
        <v>0.91616900000000001</v>
      </c>
      <c r="I149" t="s">
        <v>26</v>
      </c>
      <c r="J149">
        <v>7.5799999999999999E-4</v>
      </c>
      <c r="K149" t="s">
        <v>27</v>
      </c>
      <c r="L149">
        <v>2.4687000000000001E-2</v>
      </c>
      <c r="M149" t="s">
        <v>28</v>
      </c>
      <c r="N149">
        <v>1.9602000000000001E-2</v>
      </c>
      <c r="O149" t="s">
        <v>29</v>
      </c>
      <c r="P149">
        <v>-6.8237000000000006E-2</v>
      </c>
      <c r="Q149" t="s">
        <v>30</v>
      </c>
      <c r="R149">
        <v>-0.664072</v>
      </c>
      <c r="S149" t="s">
        <v>31</v>
      </c>
      <c r="T149">
        <v>0.59869000000000006</v>
      </c>
      <c r="U149" t="s">
        <v>32</v>
      </c>
      <c r="V149">
        <v>4.9159000000000001E-2</v>
      </c>
      <c r="W149" t="s">
        <v>33</v>
      </c>
      <c r="X149">
        <v>0.15958700000000001</v>
      </c>
      <c r="Y149" t="s">
        <v>34</v>
      </c>
      <c r="Z149">
        <v>0.104183</v>
      </c>
      <c r="AA149" t="s">
        <v>35</v>
      </c>
      <c r="AB149">
        <v>0.123414</v>
      </c>
      <c r="AC149" t="s">
        <v>36</v>
      </c>
      <c r="AD149">
        <v>0.27526800000000001</v>
      </c>
      <c r="AE149" t="s">
        <v>37</v>
      </c>
      <c r="AF149">
        <v>0.26155299999999998</v>
      </c>
      <c r="AG149" t="s">
        <v>38</v>
      </c>
      <c r="AH149">
        <v>0.95017499999999999</v>
      </c>
      <c r="AI149" t="s">
        <v>39</v>
      </c>
      <c r="AJ149">
        <v>0.75765099999999996</v>
      </c>
      <c r="AK149" t="s">
        <v>40</v>
      </c>
      <c r="AL149">
        <v>0.78449100000000005</v>
      </c>
      <c r="AM149" t="s">
        <v>41</v>
      </c>
      <c r="AN149">
        <v>19.405045000000001</v>
      </c>
      <c r="AO149" t="s">
        <v>42</v>
      </c>
      <c r="AP149">
        <v>11.281859000000001</v>
      </c>
    </row>
    <row r="150" spans="1:42" x14ac:dyDescent="0.3">
      <c r="A150" t="s">
        <v>22</v>
      </c>
      <c r="B150">
        <v>1.4999990000000001</v>
      </c>
      <c r="C150" t="s">
        <v>23</v>
      </c>
      <c r="D150">
        <v>1.0415989999999999</v>
      </c>
      <c r="E150" t="s">
        <v>24</v>
      </c>
      <c r="F150">
        <v>1.1527069999999999</v>
      </c>
      <c r="G150" t="s">
        <v>25</v>
      </c>
      <c r="H150">
        <v>0.91616900000000001</v>
      </c>
      <c r="I150" t="s">
        <v>26</v>
      </c>
      <c r="J150">
        <v>7.5199999999999996E-4</v>
      </c>
      <c r="K150" t="s">
        <v>27</v>
      </c>
      <c r="L150">
        <v>2.4663999999999998E-2</v>
      </c>
      <c r="M150" t="s">
        <v>28</v>
      </c>
      <c r="N150">
        <v>1.9602000000000001E-2</v>
      </c>
      <c r="O150" t="s">
        <v>29</v>
      </c>
      <c r="P150">
        <v>-6.7941000000000001E-2</v>
      </c>
      <c r="Q150" t="s">
        <v>30</v>
      </c>
      <c r="R150">
        <v>-0.65845799999999999</v>
      </c>
      <c r="S150" t="s">
        <v>31</v>
      </c>
      <c r="T150">
        <v>0.59869000000000006</v>
      </c>
      <c r="U150" t="s">
        <v>32</v>
      </c>
      <c r="V150">
        <v>4.8938000000000002E-2</v>
      </c>
      <c r="W150" t="s">
        <v>33</v>
      </c>
      <c r="X150">
        <v>0.15964</v>
      </c>
      <c r="Y150" t="s">
        <v>34</v>
      </c>
      <c r="Z150">
        <v>0.104183</v>
      </c>
      <c r="AA150" t="s">
        <v>35</v>
      </c>
      <c r="AB150">
        <v>0.122859</v>
      </c>
      <c r="AC150" t="s">
        <v>36</v>
      </c>
      <c r="AD150">
        <v>0.27515000000000001</v>
      </c>
      <c r="AE150" t="s">
        <v>37</v>
      </c>
      <c r="AF150">
        <v>0.26155299999999998</v>
      </c>
      <c r="AG150" t="s">
        <v>38</v>
      </c>
      <c r="AH150">
        <v>0.95058399999999998</v>
      </c>
      <c r="AI150" t="s">
        <v>39</v>
      </c>
      <c r="AJ150">
        <v>0.75789300000000004</v>
      </c>
      <c r="AK150" t="s">
        <v>40</v>
      </c>
      <c r="AL150">
        <v>0.78449100000000005</v>
      </c>
      <c r="AM150" t="s">
        <v>41</v>
      </c>
      <c r="AN150">
        <v>19.53528</v>
      </c>
      <c r="AO150" t="s">
        <v>42</v>
      </c>
      <c r="AP150">
        <v>11.347785</v>
      </c>
    </row>
    <row r="151" spans="1:42" x14ac:dyDescent="0.3">
      <c r="A151" t="s">
        <v>22</v>
      </c>
      <c r="B151">
        <v>1.5099990000000001</v>
      </c>
      <c r="C151" t="s">
        <v>23</v>
      </c>
      <c r="D151">
        <v>1.041539</v>
      </c>
      <c r="E151" t="s">
        <v>24</v>
      </c>
      <c r="F151">
        <v>1.151659</v>
      </c>
      <c r="G151" t="s">
        <v>25</v>
      </c>
      <c r="H151">
        <v>0.91616900000000001</v>
      </c>
      <c r="I151" t="s">
        <v>26</v>
      </c>
      <c r="J151">
        <v>7.4600000000000003E-4</v>
      </c>
      <c r="K151" t="s">
        <v>27</v>
      </c>
      <c r="L151">
        <v>2.4642000000000001E-2</v>
      </c>
      <c r="M151" t="s">
        <v>28</v>
      </c>
      <c r="N151">
        <v>1.9602000000000001E-2</v>
      </c>
      <c r="O151" t="s">
        <v>29</v>
      </c>
      <c r="P151">
        <v>-6.7625000000000005E-2</v>
      </c>
      <c r="Q151" t="s">
        <v>30</v>
      </c>
      <c r="R151">
        <v>-0.65288900000000005</v>
      </c>
      <c r="S151" t="s">
        <v>31</v>
      </c>
      <c r="T151">
        <v>0.59869000000000006</v>
      </c>
      <c r="U151" t="s">
        <v>32</v>
      </c>
      <c r="V151">
        <v>4.8717999999999997E-2</v>
      </c>
      <c r="W151" t="s">
        <v>33</v>
      </c>
      <c r="X151">
        <v>0.159693</v>
      </c>
      <c r="Y151" t="s">
        <v>34</v>
      </c>
      <c r="Z151">
        <v>0.104183</v>
      </c>
      <c r="AA151" t="s">
        <v>35</v>
      </c>
      <c r="AB151">
        <v>0.122307</v>
      </c>
      <c r="AC151" t="s">
        <v>36</v>
      </c>
      <c r="AD151">
        <v>0.275032</v>
      </c>
      <c r="AE151" t="s">
        <v>37</v>
      </c>
      <c r="AF151">
        <v>0.26155299999999998</v>
      </c>
      <c r="AG151" t="s">
        <v>38</v>
      </c>
      <c r="AH151">
        <v>0.95099</v>
      </c>
      <c r="AI151" t="s">
        <v>39</v>
      </c>
      <c r="AJ151">
        <v>0.75813299999999995</v>
      </c>
      <c r="AK151" t="s">
        <v>40</v>
      </c>
      <c r="AL151">
        <v>0.78449100000000005</v>
      </c>
      <c r="AM151" t="s">
        <v>41</v>
      </c>
      <c r="AN151">
        <v>19.665516</v>
      </c>
      <c r="AO151" t="s">
        <v>42</v>
      </c>
      <c r="AP151">
        <v>11.413703999999999</v>
      </c>
    </row>
    <row r="152" spans="1:42" x14ac:dyDescent="0.3">
      <c r="A152" t="s">
        <v>22</v>
      </c>
      <c r="B152">
        <v>1.5199990000000001</v>
      </c>
      <c r="C152" t="s">
        <v>23</v>
      </c>
      <c r="D152">
        <v>1.041477</v>
      </c>
      <c r="E152" t="s">
        <v>24</v>
      </c>
      <c r="F152">
        <v>1.15062</v>
      </c>
      <c r="G152" t="s">
        <v>25</v>
      </c>
      <c r="H152">
        <v>0.91616900000000001</v>
      </c>
      <c r="I152" t="s">
        <v>26</v>
      </c>
      <c r="J152">
        <v>7.3999999999999999E-4</v>
      </c>
      <c r="K152" t="s">
        <v>27</v>
      </c>
      <c r="L152">
        <v>2.462E-2</v>
      </c>
      <c r="M152" t="s">
        <v>28</v>
      </c>
      <c r="N152">
        <v>1.9602000000000001E-2</v>
      </c>
      <c r="O152" t="s">
        <v>29</v>
      </c>
      <c r="P152">
        <v>-6.7292000000000005E-2</v>
      </c>
      <c r="Q152" t="s">
        <v>30</v>
      </c>
      <c r="R152">
        <v>-0.64736300000000002</v>
      </c>
      <c r="S152" t="s">
        <v>31</v>
      </c>
      <c r="T152">
        <v>0.59869000000000006</v>
      </c>
      <c r="U152" t="s">
        <v>32</v>
      </c>
      <c r="V152">
        <v>4.8500000000000001E-2</v>
      </c>
      <c r="W152" t="s">
        <v>33</v>
      </c>
      <c r="X152">
        <v>0.159747</v>
      </c>
      <c r="Y152" t="s">
        <v>34</v>
      </c>
      <c r="Z152">
        <v>0.104183</v>
      </c>
      <c r="AA152" t="s">
        <v>35</v>
      </c>
      <c r="AB152">
        <v>0.12175999999999999</v>
      </c>
      <c r="AC152" t="s">
        <v>36</v>
      </c>
      <c r="AD152">
        <v>0.27491700000000002</v>
      </c>
      <c r="AE152" t="s">
        <v>37</v>
      </c>
      <c r="AF152">
        <v>0.26155299999999998</v>
      </c>
      <c r="AG152" t="s">
        <v>38</v>
      </c>
      <c r="AH152">
        <v>0.95139099999999999</v>
      </c>
      <c r="AI152" t="s">
        <v>39</v>
      </c>
      <c r="AJ152">
        <v>0.75836899999999996</v>
      </c>
      <c r="AK152" t="s">
        <v>40</v>
      </c>
      <c r="AL152">
        <v>0.78449100000000005</v>
      </c>
      <c r="AM152" t="s">
        <v>41</v>
      </c>
      <c r="AN152">
        <v>19.795752</v>
      </c>
      <c r="AO152" t="s">
        <v>42</v>
      </c>
      <c r="AP152">
        <v>11.479611999999999</v>
      </c>
    </row>
    <row r="153" spans="1:42" x14ac:dyDescent="0.3">
      <c r="A153" t="s">
        <v>22</v>
      </c>
      <c r="B153">
        <v>1.5299990000000001</v>
      </c>
      <c r="C153" t="s">
        <v>23</v>
      </c>
      <c r="D153">
        <v>1.0414099999999999</v>
      </c>
      <c r="E153" t="s">
        <v>24</v>
      </c>
      <c r="F153">
        <v>1.1495880000000001</v>
      </c>
      <c r="G153" t="s">
        <v>25</v>
      </c>
      <c r="H153">
        <v>0.91616900000000001</v>
      </c>
      <c r="I153" t="s">
        <v>26</v>
      </c>
      <c r="J153">
        <v>7.3399999999999995E-4</v>
      </c>
      <c r="K153" t="s">
        <v>27</v>
      </c>
      <c r="L153">
        <v>2.4597999999999998E-2</v>
      </c>
      <c r="M153" t="s">
        <v>28</v>
      </c>
      <c r="N153">
        <v>1.9602000000000001E-2</v>
      </c>
      <c r="O153" t="s">
        <v>29</v>
      </c>
      <c r="P153">
        <v>-6.6936999999999997E-2</v>
      </c>
      <c r="Q153" t="s">
        <v>30</v>
      </c>
      <c r="R153">
        <v>-0.64188299999999998</v>
      </c>
      <c r="S153" t="s">
        <v>31</v>
      </c>
      <c r="T153">
        <v>0.59869000000000006</v>
      </c>
      <c r="U153" t="s">
        <v>32</v>
      </c>
      <c r="V153">
        <v>4.8284000000000001E-2</v>
      </c>
      <c r="W153" t="s">
        <v>33</v>
      </c>
      <c r="X153">
        <v>0.159802</v>
      </c>
      <c r="Y153" t="s">
        <v>34</v>
      </c>
      <c r="Z153">
        <v>0.104183</v>
      </c>
      <c r="AA153" t="s">
        <v>35</v>
      </c>
      <c r="AB153">
        <v>0.12121700000000001</v>
      </c>
      <c r="AC153" t="s">
        <v>36</v>
      </c>
      <c r="AD153">
        <v>0.27480199999999999</v>
      </c>
      <c r="AE153" t="s">
        <v>37</v>
      </c>
      <c r="AF153">
        <v>0.26155299999999998</v>
      </c>
      <c r="AG153" t="s">
        <v>38</v>
      </c>
      <c r="AH153">
        <v>0.95178700000000005</v>
      </c>
      <c r="AI153" t="s">
        <v>39</v>
      </c>
      <c r="AJ153">
        <v>0.758602</v>
      </c>
      <c r="AK153" t="s">
        <v>40</v>
      </c>
      <c r="AL153">
        <v>0.78449100000000005</v>
      </c>
      <c r="AM153" t="s">
        <v>41</v>
      </c>
      <c r="AN153">
        <v>19.925985000000001</v>
      </c>
      <c r="AO153" t="s">
        <v>42</v>
      </c>
      <c r="AP153">
        <v>11.545515999999999</v>
      </c>
    </row>
    <row r="154" spans="1:42" x14ac:dyDescent="0.3">
      <c r="A154" t="s">
        <v>22</v>
      </c>
      <c r="B154">
        <v>1.5399989999999999</v>
      </c>
      <c r="C154" t="s">
        <v>23</v>
      </c>
      <c r="D154">
        <v>1.0413399999999999</v>
      </c>
      <c r="E154" t="s">
        <v>24</v>
      </c>
      <c r="F154">
        <v>1.1485650000000001</v>
      </c>
      <c r="G154" t="s">
        <v>25</v>
      </c>
      <c r="H154">
        <v>0.91616900000000001</v>
      </c>
      <c r="I154" t="s">
        <v>26</v>
      </c>
      <c r="J154">
        <v>7.2900000000000005E-4</v>
      </c>
      <c r="K154" t="s">
        <v>27</v>
      </c>
      <c r="L154">
        <v>2.4576000000000001E-2</v>
      </c>
      <c r="M154" t="s">
        <v>28</v>
      </c>
      <c r="N154">
        <v>1.9602000000000001E-2</v>
      </c>
      <c r="O154" t="s">
        <v>29</v>
      </c>
      <c r="P154">
        <v>-6.6568000000000002E-2</v>
      </c>
      <c r="Q154" t="s">
        <v>30</v>
      </c>
      <c r="R154">
        <v>-0.63644599999999996</v>
      </c>
      <c r="S154" t="s">
        <v>31</v>
      </c>
      <c r="T154">
        <v>0.59869000000000006</v>
      </c>
      <c r="U154" t="s">
        <v>32</v>
      </c>
      <c r="V154">
        <v>4.8069000000000001E-2</v>
      </c>
      <c r="W154" t="s">
        <v>33</v>
      </c>
      <c r="X154">
        <v>0.159857</v>
      </c>
      <c r="Y154" t="s">
        <v>34</v>
      </c>
      <c r="Z154">
        <v>0.104183</v>
      </c>
      <c r="AA154" t="s">
        <v>35</v>
      </c>
      <c r="AB154">
        <v>0.12067799999999999</v>
      </c>
      <c r="AC154" t="s">
        <v>36</v>
      </c>
      <c r="AD154">
        <v>0.27468900000000002</v>
      </c>
      <c r="AE154" t="s">
        <v>37</v>
      </c>
      <c r="AF154">
        <v>0.26155299999999998</v>
      </c>
      <c r="AG154" t="s">
        <v>38</v>
      </c>
      <c r="AH154">
        <v>0.952179</v>
      </c>
      <c r="AI154" t="s">
        <v>39</v>
      </c>
      <c r="AJ154">
        <v>0.75883199999999995</v>
      </c>
      <c r="AK154" t="s">
        <v>40</v>
      </c>
      <c r="AL154">
        <v>0.78449100000000005</v>
      </c>
      <c r="AM154" t="s">
        <v>41</v>
      </c>
      <c r="AN154">
        <v>20.056221000000001</v>
      </c>
      <c r="AO154" t="s">
        <v>42</v>
      </c>
      <c r="AP154">
        <v>11.611412</v>
      </c>
    </row>
    <row r="155" spans="1:42" x14ac:dyDescent="0.3">
      <c r="A155" t="s">
        <v>22</v>
      </c>
      <c r="B155">
        <v>1.5499989999999999</v>
      </c>
      <c r="C155" t="s">
        <v>23</v>
      </c>
      <c r="D155">
        <v>1.0412680000000001</v>
      </c>
      <c r="E155" t="s">
        <v>24</v>
      </c>
      <c r="F155">
        <v>1.147551</v>
      </c>
      <c r="G155" t="s">
        <v>25</v>
      </c>
      <c r="H155">
        <v>0.91616900000000001</v>
      </c>
      <c r="I155" t="s">
        <v>26</v>
      </c>
      <c r="J155">
        <v>7.2300000000000001E-4</v>
      </c>
      <c r="K155" t="s">
        <v>27</v>
      </c>
      <c r="L155">
        <v>2.4553999999999999E-2</v>
      </c>
      <c r="M155" t="s">
        <v>28</v>
      </c>
      <c r="N155">
        <v>1.9602000000000001E-2</v>
      </c>
      <c r="O155" t="s">
        <v>29</v>
      </c>
      <c r="P155">
        <v>-6.6182000000000005E-2</v>
      </c>
      <c r="Q155" t="s">
        <v>30</v>
      </c>
      <c r="R155">
        <v>-0.63105199999999995</v>
      </c>
      <c r="S155" t="s">
        <v>31</v>
      </c>
      <c r="T155">
        <v>0.59869000000000006</v>
      </c>
      <c r="U155" t="s">
        <v>32</v>
      </c>
      <c r="V155">
        <v>4.7856000000000003E-2</v>
      </c>
      <c r="W155" t="s">
        <v>33</v>
      </c>
      <c r="X155">
        <v>0.159914</v>
      </c>
      <c r="Y155" t="s">
        <v>34</v>
      </c>
      <c r="Z155">
        <v>0.104183</v>
      </c>
      <c r="AA155" t="s">
        <v>35</v>
      </c>
      <c r="AB155">
        <v>0.120142</v>
      </c>
      <c r="AC155" t="s">
        <v>36</v>
      </c>
      <c r="AD155">
        <v>0.27457700000000002</v>
      </c>
      <c r="AE155" t="s">
        <v>37</v>
      </c>
      <c r="AF155">
        <v>0.26155299999999998</v>
      </c>
      <c r="AG155" t="s">
        <v>38</v>
      </c>
      <c r="AH155">
        <v>0.95256700000000005</v>
      </c>
      <c r="AI155" t="s">
        <v>39</v>
      </c>
      <c r="AJ155">
        <v>0.75905999999999996</v>
      </c>
      <c r="AK155" t="s">
        <v>40</v>
      </c>
      <c r="AL155">
        <v>0.78449100000000005</v>
      </c>
      <c r="AM155" t="s">
        <v>41</v>
      </c>
      <c r="AN155">
        <v>20.186457000000001</v>
      </c>
      <c r="AO155" t="s">
        <v>42</v>
      </c>
      <c r="AP155">
        <v>11.677303</v>
      </c>
    </row>
    <row r="156" spans="1:42" x14ac:dyDescent="0.3">
      <c r="A156" t="s">
        <v>22</v>
      </c>
      <c r="B156">
        <v>1.5599989999999999</v>
      </c>
      <c r="C156" t="s">
        <v>23</v>
      </c>
      <c r="D156">
        <v>1.041191</v>
      </c>
      <c r="E156" t="s">
        <v>24</v>
      </c>
      <c r="F156">
        <v>1.146544</v>
      </c>
      <c r="G156" t="s">
        <v>25</v>
      </c>
      <c r="H156">
        <v>0.91616900000000001</v>
      </c>
      <c r="I156" t="s">
        <v>26</v>
      </c>
      <c r="J156">
        <v>7.18E-4</v>
      </c>
      <c r="K156" t="s">
        <v>27</v>
      </c>
      <c r="L156">
        <v>2.4532999999999999E-2</v>
      </c>
      <c r="M156" t="s">
        <v>28</v>
      </c>
      <c r="N156">
        <v>1.9602000000000001E-2</v>
      </c>
      <c r="O156" t="s">
        <v>29</v>
      </c>
      <c r="P156">
        <v>-6.5776000000000001E-2</v>
      </c>
      <c r="Q156" t="s">
        <v>30</v>
      </c>
      <c r="R156">
        <v>-0.62570000000000003</v>
      </c>
      <c r="S156" t="s">
        <v>31</v>
      </c>
      <c r="T156">
        <v>0.59869000000000006</v>
      </c>
      <c r="U156" t="s">
        <v>32</v>
      </c>
      <c r="V156">
        <v>4.7643999999999999E-2</v>
      </c>
      <c r="W156" t="s">
        <v>33</v>
      </c>
      <c r="X156">
        <v>0.159971</v>
      </c>
      <c r="Y156" t="s">
        <v>34</v>
      </c>
      <c r="Z156">
        <v>0.104183</v>
      </c>
      <c r="AA156" t="s">
        <v>35</v>
      </c>
      <c r="AB156">
        <v>0.119611</v>
      </c>
      <c r="AC156" t="s">
        <v>36</v>
      </c>
      <c r="AD156">
        <v>0.27446700000000002</v>
      </c>
      <c r="AE156" t="s">
        <v>37</v>
      </c>
      <c r="AF156">
        <v>0.26155299999999998</v>
      </c>
      <c r="AG156" t="s">
        <v>38</v>
      </c>
      <c r="AH156">
        <v>0.95294999999999996</v>
      </c>
      <c r="AI156" t="s">
        <v>39</v>
      </c>
      <c r="AJ156">
        <v>0.75928499999999999</v>
      </c>
      <c r="AK156" t="s">
        <v>40</v>
      </c>
      <c r="AL156">
        <v>0.78449100000000005</v>
      </c>
      <c r="AM156" t="s">
        <v>41</v>
      </c>
      <c r="AN156">
        <v>20.316692</v>
      </c>
      <c r="AO156" t="s">
        <v>42</v>
      </c>
      <c r="AP156">
        <v>11.743187000000001</v>
      </c>
    </row>
    <row r="157" spans="1:42" x14ac:dyDescent="0.3">
      <c r="A157" t="s">
        <v>22</v>
      </c>
      <c r="B157">
        <v>1.5699989999999999</v>
      </c>
      <c r="C157" t="s">
        <v>23</v>
      </c>
      <c r="D157">
        <v>1.041112</v>
      </c>
      <c r="E157" t="s">
        <v>24</v>
      </c>
      <c r="F157">
        <v>1.145545</v>
      </c>
      <c r="G157" t="s">
        <v>25</v>
      </c>
      <c r="H157">
        <v>0.91616900000000001</v>
      </c>
      <c r="I157" t="s">
        <v>26</v>
      </c>
      <c r="J157">
        <v>7.1199999999999996E-4</v>
      </c>
      <c r="K157" t="s">
        <v>27</v>
      </c>
      <c r="L157">
        <v>2.4511000000000002E-2</v>
      </c>
      <c r="M157" t="s">
        <v>28</v>
      </c>
      <c r="N157">
        <v>1.9602000000000001E-2</v>
      </c>
      <c r="O157" t="s">
        <v>29</v>
      </c>
      <c r="P157">
        <v>-6.5353999999999995E-2</v>
      </c>
      <c r="Q157" t="s">
        <v>30</v>
      </c>
      <c r="R157">
        <v>-0.62039100000000003</v>
      </c>
      <c r="S157" t="s">
        <v>31</v>
      </c>
      <c r="T157">
        <v>0.59869000000000006</v>
      </c>
      <c r="U157" t="s">
        <v>32</v>
      </c>
      <c r="V157">
        <v>4.7433999999999997E-2</v>
      </c>
      <c r="W157" t="s">
        <v>33</v>
      </c>
      <c r="X157">
        <v>0.160029</v>
      </c>
      <c r="Y157" t="s">
        <v>34</v>
      </c>
      <c r="Z157">
        <v>0.104183</v>
      </c>
      <c r="AA157" t="s">
        <v>35</v>
      </c>
      <c r="AB157">
        <v>0.11908299999999999</v>
      </c>
      <c r="AC157" t="s">
        <v>36</v>
      </c>
      <c r="AD157">
        <v>0.27435799999999999</v>
      </c>
      <c r="AE157" t="s">
        <v>37</v>
      </c>
      <c r="AF157">
        <v>0.26155299999999998</v>
      </c>
      <c r="AG157" t="s">
        <v>38</v>
      </c>
      <c r="AH157">
        <v>0.95332899999999998</v>
      </c>
      <c r="AI157" t="s">
        <v>39</v>
      </c>
      <c r="AJ157">
        <v>0.75950600000000001</v>
      </c>
      <c r="AK157" t="s">
        <v>40</v>
      </c>
      <c r="AL157">
        <v>0.78449100000000005</v>
      </c>
      <c r="AM157" t="s">
        <v>41</v>
      </c>
      <c r="AN157">
        <v>20.446926000000001</v>
      </c>
      <c r="AO157" t="s">
        <v>42</v>
      </c>
      <c r="AP157">
        <v>11.809066</v>
      </c>
    </row>
    <row r="158" spans="1:42" x14ac:dyDescent="0.3">
      <c r="A158" t="s">
        <v>22</v>
      </c>
      <c r="B158">
        <v>1.5799989999999999</v>
      </c>
      <c r="C158" t="s">
        <v>23</v>
      </c>
      <c r="D158">
        <v>1.0410299999999999</v>
      </c>
      <c r="E158" t="s">
        <v>24</v>
      </c>
      <c r="F158">
        <v>1.1445529999999999</v>
      </c>
      <c r="G158" t="s">
        <v>25</v>
      </c>
      <c r="H158">
        <v>0.91616900000000001</v>
      </c>
      <c r="I158" t="s">
        <v>26</v>
      </c>
      <c r="J158">
        <v>7.0699999999999995E-4</v>
      </c>
      <c r="K158" t="s">
        <v>27</v>
      </c>
      <c r="L158">
        <v>2.4490000000000001E-2</v>
      </c>
      <c r="M158" t="s">
        <v>28</v>
      </c>
      <c r="N158">
        <v>1.9602000000000001E-2</v>
      </c>
      <c r="O158" t="s">
        <v>29</v>
      </c>
      <c r="P158">
        <v>-6.4917000000000002E-2</v>
      </c>
      <c r="Q158" t="s">
        <v>30</v>
      </c>
      <c r="R158">
        <v>-0.61512299999999998</v>
      </c>
      <c r="S158" t="s">
        <v>31</v>
      </c>
      <c r="T158">
        <v>0.59869000000000006</v>
      </c>
      <c r="U158" t="s">
        <v>32</v>
      </c>
      <c r="V158">
        <v>4.7225000000000003E-2</v>
      </c>
      <c r="W158" t="s">
        <v>33</v>
      </c>
      <c r="X158">
        <v>0.16008800000000001</v>
      </c>
      <c r="Y158" t="s">
        <v>34</v>
      </c>
      <c r="Z158">
        <v>0.104183</v>
      </c>
      <c r="AA158" t="s">
        <v>35</v>
      </c>
      <c r="AB158">
        <v>0.118559</v>
      </c>
      <c r="AC158" t="s">
        <v>36</v>
      </c>
      <c r="AD158">
        <v>0.27424999999999999</v>
      </c>
      <c r="AE158" t="s">
        <v>37</v>
      </c>
      <c r="AF158">
        <v>0.26155299999999998</v>
      </c>
      <c r="AG158" t="s">
        <v>38</v>
      </c>
      <c r="AH158">
        <v>0.953704</v>
      </c>
      <c r="AI158" t="s">
        <v>39</v>
      </c>
      <c r="AJ158">
        <v>0.75972499999999998</v>
      </c>
      <c r="AK158" t="s">
        <v>40</v>
      </c>
      <c r="AL158">
        <v>0.78449100000000005</v>
      </c>
      <c r="AM158" t="s">
        <v>41</v>
      </c>
      <c r="AN158">
        <v>20.577162000000001</v>
      </c>
      <c r="AO158" t="s">
        <v>42</v>
      </c>
      <c r="AP158">
        <v>11.874938999999999</v>
      </c>
    </row>
    <row r="159" spans="1:42" x14ac:dyDescent="0.3">
      <c r="A159" t="s">
        <v>22</v>
      </c>
      <c r="B159">
        <v>1.5899989999999999</v>
      </c>
      <c r="C159" t="s">
        <v>23</v>
      </c>
      <c r="D159">
        <v>1.0409440000000001</v>
      </c>
      <c r="E159" t="s">
        <v>24</v>
      </c>
      <c r="F159">
        <v>1.14357</v>
      </c>
      <c r="G159" t="s">
        <v>25</v>
      </c>
      <c r="H159">
        <v>0.91616900000000001</v>
      </c>
      <c r="I159" t="s">
        <v>26</v>
      </c>
      <c r="J159">
        <v>7.0200000000000004E-4</v>
      </c>
      <c r="K159" t="s">
        <v>27</v>
      </c>
      <c r="L159">
        <v>2.4469000000000001E-2</v>
      </c>
      <c r="M159" t="s">
        <v>28</v>
      </c>
      <c r="N159">
        <v>1.9602000000000001E-2</v>
      </c>
      <c r="O159" t="s">
        <v>29</v>
      </c>
      <c r="P159">
        <v>-6.4461000000000004E-2</v>
      </c>
      <c r="Q159" t="s">
        <v>30</v>
      </c>
      <c r="R159">
        <v>-0.60989700000000002</v>
      </c>
      <c r="S159" t="s">
        <v>31</v>
      </c>
      <c r="T159">
        <v>0.59869000000000006</v>
      </c>
      <c r="U159" t="s">
        <v>32</v>
      </c>
      <c r="V159">
        <v>4.7017999999999997E-2</v>
      </c>
      <c r="W159" t="s">
        <v>33</v>
      </c>
      <c r="X159">
        <v>0.16014800000000001</v>
      </c>
      <c r="Y159" t="s">
        <v>34</v>
      </c>
      <c r="Z159">
        <v>0.104183</v>
      </c>
      <c r="AA159" t="s">
        <v>35</v>
      </c>
      <c r="AB159">
        <v>0.11803900000000001</v>
      </c>
      <c r="AC159" t="s">
        <v>36</v>
      </c>
      <c r="AD159">
        <v>0.27414300000000003</v>
      </c>
      <c r="AE159" t="s">
        <v>37</v>
      </c>
      <c r="AF159">
        <v>0.26155299999999998</v>
      </c>
      <c r="AG159" t="s">
        <v>38</v>
      </c>
      <c r="AH159">
        <v>0.95407500000000001</v>
      </c>
      <c r="AI159" t="s">
        <v>39</v>
      </c>
      <c r="AJ159">
        <v>0.75994099999999998</v>
      </c>
      <c r="AK159" t="s">
        <v>40</v>
      </c>
      <c r="AL159">
        <v>0.78449100000000005</v>
      </c>
      <c r="AM159" t="s">
        <v>41</v>
      </c>
      <c r="AN159">
        <v>20.707397</v>
      </c>
      <c r="AO159" t="s">
        <v>42</v>
      </c>
      <c r="AP159">
        <v>11.940809</v>
      </c>
    </row>
    <row r="160" spans="1:42" x14ac:dyDescent="0.3">
      <c r="A160" t="s">
        <v>22</v>
      </c>
      <c r="B160">
        <v>1.5999989999999999</v>
      </c>
      <c r="C160" t="s">
        <v>23</v>
      </c>
      <c r="D160">
        <v>1.040856</v>
      </c>
      <c r="E160" t="s">
        <v>24</v>
      </c>
      <c r="F160">
        <v>1.1425940000000001</v>
      </c>
      <c r="G160" t="s">
        <v>25</v>
      </c>
      <c r="H160">
        <v>0.91616900000000001</v>
      </c>
      <c r="I160" t="s">
        <v>26</v>
      </c>
      <c r="J160">
        <v>6.96E-4</v>
      </c>
      <c r="K160" t="s">
        <v>27</v>
      </c>
      <c r="L160">
        <v>2.4448000000000001E-2</v>
      </c>
      <c r="M160" t="s">
        <v>28</v>
      </c>
      <c r="N160">
        <v>1.9602000000000001E-2</v>
      </c>
      <c r="O160" t="s">
        <v>29</v>
      </c>
      <c r="P160">
        <v>-6.3992999999999994E-2</v>
      </c>
      <c r="Q160" t="s">
        <v>30</v>
      </c>
      <c r="R160">
        <v>-0.604711</v>
      </c>
      <c r="S160" t="s">
        <v>31</v>
      </c>
      <c r="T160">
        <v>0.59869000000000006</v>
      </c>
      <c r="U160" t="s">
        <v>32</v>
      </c>
      <c r="V160">
        <v>4.6811999999999999E-2</v>
      </c>
      <c r="W160" t="s">
        <v>33</v>
      </c>
      <c r="X160">
        <v>0.16020799999999999</v>
      </c>
      <c r="Y160" t="s">
        <v>34</v>
      </c>
      <c r="Z160">
        <v>0.104183</v>
      </c>
      <c r="AA160" t="s">
        <v>35</v>
      </c>
      <c r="AB160">
        <v>0.117522</v>
      </c>
      <c r="AC160" t="s">
        <v>36</v>
      </c>
      <c r="AD160">
        <v>0.274038</v>
      </c>
      <c r="AE160" t="s">
        <v>37</v>
      </c>
      <c r="AF160">
        <v>0.26155299999999998</v>
      </c>
      <c r="AG160" t="s">
        <v>38</v>
      </c>
      <c r="AH160">
        <v>0.95444200000000001</v>
      </c>
      <c r="AI160" t="s">
        <v>39</v>
      </c>
      <c r="AJ160">
        <v>0.760154</v>
      </c>
      <c r="AK160" t="s">
        <v>40</v>
      </c>
      <c r="AL160">
        <v>0.78449100000000005</v>
      </c>
      <c r="AM160" t="s">
        <v>41</v>
      </c>
      <c r="AN160">
        <v>20.837633</v>
      </c>
      <c r="AO160" t="s">
        <v>42</v>
      </c>
      <c r="AP160">
        <v>12.006675</v>
      </c>
    </row>
    <row r="161" spans="1:42" x14ac:dyDescent="0.3">
      <c r="A161" t="s">
        <v>22</v>
      </c>
      <c r="B161">
        <v>1.609999</v>
      </c>
      <c r="C161" t="s">
        <v>23</v>
      </c>
      <c r="D161">
        <v>1.0407649999999999</v>
      </c>
      <c r="E161" t="s">
        <v>24</v>
      </c>
      <c r="F161">
        <v>1.141626</v>
      </c>
      <c r="G161" t="s">
        <v>25</v>
      </c>
      <c r="H161">
        <v>0.91616900000000001</v>
      </c>
      <c r="I161" t="s">
        <v>26</v>
      </c>
      <c r="J161">
        <v>6.9099999999999999E-4</v>
      </c>
      <c r="K161" t="s">
        <v>27</v>
      </c>
      <c r="L161">
        <v>2.4427000000000001E-2</v>
      </c>
      <c r="M161" t="s">
        <v>28</v>
      </c>
      <c r="N161">
        <v>1.9602000000000001E-2</v>
      </c>
      <c r="O161" t="s">
        <v>29</v>
      </c>
      <c r="P161">
        <v>-6.3507999999999995E-2</v>
      </c>
      <c r="Q161" t="s">
        <v>30</v>
      </c>
      <c r="R161">
        <v>-0.59956600000000004</v>
      </c>
      <c r="S161" t="s">
        <v>31</v>
      </c>
      <c r="T161">
        <v>0.59869000000000006</v>
      </c>
      <c r="U161" t="s">
        <v>32</v>
      </c>
      <c r="V161">
        <v>4.6607999999999997E-2</v>
      </c>
      <c r="W161" t="s">
        <v>33</v>
      </c>
      <c r="X161">
        <v>0.16026899999999999</v>
      </c>
      <c r="Y161" t="s">
        <v>34</v>
      </c>
      <c r="Z161">
        <v>0.104183</v>
      </c>
      <c r="AA161" t="s">
        <v>35</v>
      </c>
      <c r="AB161">
        <v>0.117009</v>
      </c>
      <c r="AC161" t="s">
        <v>36</v>
      </c>
      <c r="AD161">
        <v>0.27393400000000001</v>
      </c>
      <c r="AE161" t="s">
        <v>37</v>
      </c>
      <c r="AF161">
        <v>0.26155299999999998</v>
      </c>
      <c r="AG161" t="s">
        <v>38</v>
      </c>
      <c r="AH161">
        <v>0.95480399999999999</v>
      </c>
      <c r="AI161" t="s">
        <v>39</v>
      </c>
      <c r="AJ161">
        <v>0.76036499999999996</v>
      </c>
      <c r="AK161" t="s">
        <v>40</v>
      </c>
      <c r="AL161">
        <v>0.78449100000000005</v>
      </c>
      <c r="AM161" t="s">
        <v>41</v>
      </c>
      <c r="AN161">
        <v>20.967866999999998</v>
      </c>
      <c r="AO161" t="s">
        <v>42</v>
      </c>
      <c r="AP161">
        <v>12.072537000000001</v>
      </c>
    </row>
    <row r="162" spans="1:42" x14ac:dyDescent="0.3">
      <c r="A162" t="s">
        <v>22</v>
      </c>
      <c r="B162">
        <v>1.619999</v>
      </c>
      <c r="C162" t="s">
        <v>23</v>
      </c>
      <c r="D162">
        <v>1.0406709999999999</v>
      </c>
      <c r="E162" t="s">
        <v>24</v>
      </c>
      <c r="F162">
        <v>1.140666</v>
      </c>
      <c r="G162" t="s">
        <v>25</v>
      </c>
      <c r="H162">
        <v>0.91616900000000001</v>
      </c>
      <c r="I162" t="s">
        <v>26</v>
      </c>
      <c r="J162">
        <v>6.8599999999999998E-4</v>
      </c>
      <c r="K162" t="s">
        <v>27</v>
      </c>
      <c r="L162">
        <v>2.4407000000000002E-2</v>
      </c>
      <c r="M162" t="s">
        <v>28</v>
      </c>
      <c r="N162">
        <v>1.9602000000000001E-2</v>
      </c>
      <c r="O162" t="s">
        <v>29</v>
      </c>
      <c r="P162">
        <v>-6.3008999999999996E-2</v>
      </c>
      <c r="Q162" t="s">
        <v>30</v>
      </c>
      <c r="R162">
        <v>-0.59445999999999999</v>
      </c>
      <c r="S162" t="s">
        <v>31</v>
      </c>
      <c r="T162">
        <v>0.59869000000000006</v>
      </c>
      <c r="U162" t="s">
        <v>32</v>
      </c>
      <c r="V162">
        <v>4.6405000000000002E-2</v>
      </c>
      <c r="W162" t="s">
        <v>33</v>
      </c>
      <c r="X162">
        <v>0.160331</v>
      </c>
      <c r="Y162" t="s">
        <v>34</v>
      </c>
      <c r="Z162">
        <v>0.104183</v>
      </c>
      <c r="AA162" t="s">
        <v>35</v>
      </c>
      <c r="AB162">
        <v>0.11650000000000001</v>
      </c>
      <c r="AC162" t="s">
        <v>36</v>
      </c>
      <c r="AD162">
        <v>0.27383099999999999</v>
      </c>
      <c r="AE162" t="s">
        <v>37</v>
      </c>
      <c r="AF162">
        <v>0.26155299999999998</v>
      </c>
      <c r="AG162" t="s">
        <v>38</v>
      </c>
      <c r="AH162">
        <v>0.95516299999999998</v>
      </c>
      <c r="AI162" t="s">
        <v>39</v>
      </c>
      <c r="AJ162">
        <v>0.76057399999999997</v>
      </c>
      <c r="AK162" t="s">
        <v>40</v>
      </c>
      <c r="AL162">
        <v>0.78449100000000005</v>
      </c>
      <c r="AM162" t="s">
        <v>41</v>
      </c>
      <c r="AN162">
        <v>21.098102999999998</v>
      </c>
      <c r="AO162" t="s">
        <v>42</v>
      </c>
      <c r="AP162">
        <v>12.138394999999999</v>
      </c>
    </row>
    <row r="163" spans="1:42" x14ac:dyDescent="0.3">
      <c r="A163" t="s">
        <v>22</v>
      </c>
      <c r="B163">
        <v>1.629999</v>
      </c>
      <c r="C163" t="s">
        <v>23</v>
      </c>
      <c r="D163">
        <v>1.0405740000000001</v>
      </c>
      <c r="E163" t="s">
        <v>24</v>
      </c>
      <c r="F163">
        <v>1.139713</v>
      </c>
      <c r="G163" t="s">
        <v>25</v>
      </c>
      <c r="H163">
        <v>0.91616900000000001</v>
      </c>
      <c r="I163" t="s">
        <v>26</v>
      </c>
      <c r="J163">
        <v>6.8099999999999996E-4</v>
      </c>
      <c r="K163" t="s">
        <v>27</v>
      </c>
      <c r="L163">
        <v>2.4386000000000001E-2</v>
      </c>
      <c r="M163" t="s">
        <v>28</v>
      </c>
      <c r="N163">
        <v>1.9602000000000001E-2</v>
      </c>
      <c r="O163" t="s">
        <v>29</v>
      </c>
      <c r="P163">
        <v>-6.2496999999999997E-2</v>
      </c>
      <c r="Q163" t="s">
        <v>30</v>
      </c>
      <c r="R163">
        <v>-0.589395</v>
      </c>
      <c r="S163" t="s">
        <v>31</v>
      </c>
      <c r="T163">
        <v>0.59869000000000006</v>
      </c>
      <c r="U163" t="s">
        <v>32</v>
      </c>
      <c r="V163">
        <v>4.6204000000000002E-2</v>
      </c>
      <c r="W163" t="s">
        <v>33</v>
      </c>
      <c r="X163">
        <v>0.16039300000000001</v>
      </c>
      <c r="Y163" t="s">
        <v>34</v>
      </c>
      <c r="Z163">
        <v>0.104183</v>
      </c>
      <c r="AA163" t="s">
        <v>35</v>
      </c>
      <c r="AB163">
        <v>0.115995</v>
      </c>
      <c r="AC163" t="s">
        <v>36</v>
      </c>
      <c r="AD163">
        <v>0.273729</v>
      </c>
      <c r="AE163" t="s">
        <v>37</v>
      </c>
      <c r="AF163">
        <v>0.26155299999999998</v>
      </c>
      <c r="AG163" t="s">
        <v>38</v>
      </c>
      <c r="AH163">
        <v>0.95551799999999998</v>
      </c>
      <c r="AI163" t="s">
        <v>39</v>
      </c>
      <c r="AJ163">
        <v>0.76078000000000001</v>
      </c>
      <c r="AK163" t="s">
        <v>40</v>
      </c>
      <c r="AL163">
        <v>0.78449100000000005</v>
      </c>
      <c r="AM163" t="s">
        <v>41</v>
      </c>
      <c r="AN163">
        <v>21.228338000000001</v>
      </c>
      <c r="AO163" t="s">
        <v>42</v>
      </c>
      <c r="AP163">
        <v>12.204253</v>
      </c>
    </row>
    <row r="164" spans="1:42" x14ac:dyDescent="0.3">
      <c r="A164" t="s">
        <v>22</v>
      </c>
      <c r="B164">
        <v>1.639999</v>
      </c>
      <c r="C164" t="s">
        <v>23</v>
      </c>
      <c r="D164">
        <v>1.040475</v>
      </c>
      <c r="E164" t="s">
        <v>24</v>
      </c>
      <c r="F164">
        <v>1.1387670000000001</v>
      </c>
      <c r="G164" t="s">
        <v>25</v>
      </c>
      <c r="H164">
        <v>0.91616900000000001</v>
      </c>
      <c r="I164" t="s">
        <v>26</v>
      </c>
      <c r="J164">
        <v>6.7599999999999995E-4</v>
      </c>
      <c r="K164" t="s">
        <v>27</v>
      </c>
      <c r="L164">
        <v>2.4365999999999999E-2</v>
      </c>
      <c r="M164" t="s">
        <v>28</v>
      </c>
      <c r="N164">
        <v>1.9602000000000001E-2</v>
      </c>
      <c r="O164" t="s">
        <v>29</v>
      </c>
      <c r="P164">
        <v>-6.1967000000000001E-2</v>
      </c>
      <c r="Q164" t="s">
        <v>30</v>
      </c>
      <c r="R164">
        <v>-0.584368</v>
      </c>
      <c r="S164" t="s">
        <v>31</v>
      </c>
      <c r="T164">
        <v>0.59869000000000006</v>
      </c>
      <c r="U164" t="s">
        <v>32</v>
      </c>
      <c r="V164">
        <v>4.6004000000000003E-2</v>
      </c>
      <c r="W164" t="s">
        <v>33</v>
      </c>
      <c r="X164">
        <v>0.16045699999999999</v>
      </c>
      <c r="Y164" t="s">
        <v>34</v>
      </c>
      <c r="Z164">
        <v>0.104183</v>
      </c>
      <c r="AA164" t="s">
        <v>35</v>
      </c>
      <c r="AB164">
        <v>0.115493</v>
      </c>
      <c r="AC164" t="s">
        <v>36</v>
      </c>
      <c r="AD164">
        <v>0.27362900000000001</v>
      </c>
      <c r="AE164" t="s">
        <v>37</v>
      </c>
      <c r="AF164">
        <v>0.26155299999999998</v>
      </c>
      <c r="AG164" t="s">
        <v>38</v>
      </c>
      <c r="AH164">
        <v>0.95586899999999997</v>
      </c>
      <c r="AI164" t="s">
        <v>39</v>
      </c>
      <c r="AJ164">
        <v>0.76098299999999997</v>
      </c>
      <c r="AK164" t="s">
        <v>40</v>
      </c>
      <c r="AL164">
        <v>0.78449100000000005</v>
      </c>
      <c r="AM164" t="s">
        <v>41</v>
      </c>
      <c r="AN164">
        <v>21.358574000000001</v>
      </c>
      <c r="AO164" t="s">
        <v>42</v>
      </c>
      <c r="AP164">
        <v>12.270106</v>
      </c>
    </row>
    <row r="165" spans="1:42" x14ac:dyDescent="0.3">
      <c r="A165" t="s">
        <v>22</v>
      </c>
      <c r="B165">
        <v>1.649999</v>
      </c>
      <c r="C165" t="s">
        <v>23</v>
      </c>
      <c r="D165">
        <v>1.040373</v>
      </c>
      <c r="E165" t="s">
        <v>24</v>
      </c>
      <c r="F165">
        <v>1.1378280000000001</v>
      </c>
      <c r="G165" t="s">
        <v>25</v>
      </c>
      <c r="H165">
        <v>0.91616900000000001</v>
      </c>
      <c r="I165" t="s">
        <v>26</v>
      </c>
      <c r="J165">
        <v>6.7100000000000005E-4</v>
      </c>
      <c r="K165" t="s">
        <v>27</v>
      </c>
      <c r="L165">
        <v>2.4346E-2</v>
      </c>
      <c r="M165" t="s">
        <v>28</v>
      </c>
      <c r="N165">
        <v>1.9602000000000001E-2</v>
      </c>
      <c r="O165" t="s">
        <v>29</v>
      </c>
      <c r="P165">
        <v>-6.1427000000000002E-2</v>
      </c>
      <c r="Q165" t="s">
        <v>30</v>
      </c>
      <c r="R165">
        <v>-0.57938000000000001</v>
      </c>
      <c r="S165" t="s">
        <v>31</v>
      </c>
      <c r="T165">
        <v>0.59869000000000006</v>
      </c>
      <c r="U165" t="s">
        <v>32</v>
      </c>
      <c r="V165">
        <v>4.5804999999999998E-2</v>
      </c>
      <c r="W165" t="s">
        <v>33</v>
      </c>
      <c r="X165">
        <v>0.16052</v>
      </c>
      <c r="Y165" t="s">
        <v>34</v>
      </c>
      <c r="Z165">
        <v>0.104183</v>
      </c>
      <c r="AA165" t="s">
        <v>35</v>
      </c>
      <c r="AB165">
        <v>0.114995</v>
      </c>
      <c r="AC165" t="s">
        <v>36</v>
      </c>
      <c r="AD165">
        <v>0.27352900000000002</v>
      </c>
      <c r="AE165" t="s">
        <v>37</v>
      </c>
      <c r="AF165">
        <v>0.26155299999999998</v>
      </c>
      <c r="AG165" t="s">
        <v>38</v>
      </c>
      <c r="AH165">
        <v>0.95621599999999995</v>
      </c>
      <c r="AI165" t="s">
        <v>39</v>
      </c>
      <c r="AJ165">
        <v>0.76118399999999997</v>
      </c>
      <c r="AK165" t="s">
        <v>40</v>
      </c>
      <c r="AL165">
        <v>0.78449100000000005</v>
      </c>
      <c r="AM165" t="s">
        <v>41</v>
      </c>
      <c r="AN165">
        <v>21.488807999999999</v>
      </c>
      <c r="AO165" t="s">
        <v>42</v>
      </c>
      <c r="AP165">
        <v>12.335958</v>
      </c>
    </row>
    <row r="166" spans="1:42" x14ac:dyDescent="0.3">
      <c r="A166" t="s">
        <v>22</v>
      </c>
      <c r="B166">
        <v>1.659999</v>
      </c>
      <c r="C166" t="s">
        <v>23</v>
      </c>
      <c r="D166">
        <v>1.0402690000000001</v>
      </c>
      <c r="E166" t="s">
        <v>24</v>
      </c>
      <c r="F166">
        <v>1.136897</v>
      </c>
      <c r="G166" t="s">
        <v>25</v>
      </c>
      <c r="H166">
        <v>0.91616900000000001</v>
      </c>
      <c r="I166" t="s">
        <v>26</v>
      </c>
      <c r="J166">
        <v>6.6600000000000003E-4</v>
      </c>
      <c r="K166" t="s">
        <v>27</v>
      </c>
      <c r="L166">
        <v>2.4326E-2</v>
      </c>
      <c r="M166" t="s">
        <v>28</v>
      </c>
      <c r="N166">
        <v>1.9602000000000001E-2</v>
      </c>
      <c r="O166" t="s">
        <v>29</v>
      </c>
      <c r="P166">
        <v>-6.0872000000000002E-2</v>
      </c>
      <c r="Q166" t="s">
        <v>30</v>
      </c>
      <c r="R166">
        <v>-0.57443</v>
      </c>
      <c r="S166" t="s">
        <v>31</v>
      </c>
      <c r="T166">
        <v>0.59869000000000006</v>
      </c>
      <c r="U166" t="s">
        <v>32</v>
      </c>
      <c r="V166">
        <v>4.5608000000000003E-2</v>
      </c>
      <c r="W166" t="s">
        <v>33</v>
      </c>
      <c r="X166">
        <v>0.16058500000000001</v>
      </c>
      <c r="Y166" t="s">
        <v>34</v>
      </c>
      <c r="Z166">
        <v>0.104183</v>
      </c>
      <c r="AA166" t="s">
        <v>35</v>
      </c>
      <c r="AB166">
        <v>0.1145</v>
      </c>
      <c r="AC166" t="s">
        <v>36</v>
      </c>
      <c r="AD166">
        <v>0.27343099999999998</v>
      </c>
      <c r="AE166" t="s">
        <v>37</v>
      </c>
      <c r="AF166">
        <v>0.26155299999999998</v>
      </c>
      <c r="AG166" t="s">
        <v>38</v>
      </c>
      <c r="AH166">
        <v>0.95655999999999997</v>
      </c>
      <c r="AI166" t="s">
        <v>39</v>
      </c>
      <c r="AJ166">
        <v>0.761382</v>
      </c>
      <c r="AK166" t="s">
        <v>40</v>
      </c>
      <c r="AL166">
        <v>0.78449100000000005</v>
      </c>
      <c r="AM166" t="s">
        <v>41</v>
      </c>
      <c r="AN166">
        <v>21.619043000000001</v>
      </c>
      <c r="AO166" t="s">
        <v>42</v>
      </c>
      <c r="AP166">
        <v>12.401808000000001</v>
      </c>
    </row>
    <row r="167" spans="1:42" x14ac:dyDescent="0.3">
      <c r="A167" t="s">
        <v>22</v>
      </c>
      <c r="B167">
        <v>1.669999</v>
      </c>
      <c r="C167" t="s">
        <v>23</v>
      </c>
      <c r="D167">
        <v>1.040162</v>
      </c>
      <c r="E167" t="s">
        <v>24</v>
      </c>
      <c r="F167">
        <v>1.1359729999999999</v>
      </c>
      <c r="G167" t="s">
        <v>25</v>
      </c>
      <c r="H167">
        <v>0.91616900000000001</v>
      </c>
      <c r="I167" t="s">
        <v>26</v>
      </c>
      <c r="J167">
        <v>6.6100000000000002E-4</v>
      </c>
      <c r="K167" t="s">
        <v>27</v>
      </c>
      <c r="L167">
        <v>2.4306000000000001E-2</v>
      </c>
      <c r="M167" t="s">
        <v>28</v>
      </c>
      <c r="N167">
        <v>1.9602000000000001E-2</v>
      </c>
      <c r="O167" t="s">
        <v>29</v>
      </c>
      <c r="P167">
        <v>-6.0304000000000003E-2</v>
      </c>
      <c r="Q167" t="s">
        <v>30</v>
      </c>
      <c r="R167">
        <v>-0.569519</v>
      </c>
      <c r="S167" t="s">
        <v>31</v>
      </c>
      <c r="T167">
        <v>0.59869000000000006</v>
      </c>
      <c r="U167" t="s">
        <v>32</v>
      </c>
      <c r="V167">
        <v>4.5413000000000002E-2</v>
      </c>
      <c r="W167" t="s">
        <v>33</v>
      </c>
      <c r="X167">
        <v>0.16065099999999999</v>
      </c>
      <c r="Y167" t="s">
        <v>34</v>
      </c>
      <c r="Z167">
        <v>0.104183</v>
      </c>
      <c r="AA167" t="s">
        <v>35</v>
      </c>
      <c r="AB167">
        <v>0.114009</v>
      </c>
      <c r="AC167" t="s">
        <v>36</v>
      </c>
      <c r="AD167">
        <v>0.27333400000000002</v>
      </c>
      <c r="AE167" t="s">
        <v>37</v>
      </c>
      <c r="AF167">
        <v>0.26155299999999998</v>
      </c>
      <c r="AG167" t="s">
        <v>38</v>
      </c>
      <c r="AH167">
        <v>0.95689999999999997</v>
      </c>
      <c r="AI167" t="s">
        <v>39</v>
      </c>
      <c r="AJ167">
        <v>0.76157799999999998</v>
      </c>
      <c r="AK167" t="s">
        <v>40</v>
      </c>
      <c r="AL167">
        <v>0.78449100000000005</v>
      </c>
      <c r="AM167" t="s">
        <v>41</v>
      </c>
      <c r="AN167">
        <v>21.749279000000001</v>
      </c>
      <c r="AO167" t="s">
        <v>42</v>
      </c>
      <c r="AP167">
        <v>12.467657000000001</v>
      </c>
    </row>
    <row r="168" spans="1:42" x14ac:dyDescent="0.3">
      <c r="A168" t="s">
        <v>22</v>
      </c>
      <c r="B168">
        <v>1.679999</v>
      </c>
      <c r="C168" t="s">
        <v>23</v>
      </c>
      <c r="D168">
        <v>1.0400529999999999</v>
      </c>
      <c r="E168" t="s">
        <v>24</v>
      </c>
      <c r="F168">
        <v>1.1350560000000001</v>
      </c>
      <c r="G168" t="s">
        <v>25</v>
      </c>
      <c r="H168">
        <v>0.91616900000000001</v>
      </c>
      <c r="I168" t="s">
        <v>26</v>
      </c>
      <c r="J168">
        <v>6.5600000000000001E-4</v>
      </c>
      <c r="K168" t="s">
        <v>27</v>
      </c>
      <c r="L168">
        <v>2.4287E-2</v>
      </c>
      <c r="M168" t="s">
        <v>28</v>
      </c>
      <c r="N168">
        <v>1.9602000000000001E-2</v>
      </c>
      <c r="O168" t="s">
        <v>29</v>
      </c>
      <c r="P168">
        <v>-5.9722999999999998E-2</v>
      </c>
      <c r="Q168" t="s">
        <v>30</v>
      </c>
      <c r="R168">
        <v>-0.56464499999999995</v>
      </c>
      <c r="S168" t="s">
        <v>31</v>
      </c>
      <c r="T168">
        <v>0.59869000000000006</v>
      </c>
      <c r="U168" t="s">
        <v>32</v>
      </c>
      <c r="V168">
        <v>4.5219000000000002E-2</v>
      </c>
      <c r="W168" t="s">
        <v>33</v>
      </c>
      <c r="X168">
        <v>0.160717</v>
      </c>
      <c r="Y168" t="s">
        <v>34</v>
      </c>
      <c r="Z168">
        <v>0.104183</v>
      </c>
      <c r="AA168" t="s">
        <v>35</v>
      </c>
      <c r="AB168">
        <v>0.113522</v>
      </c>
      <c r="AC168" t="s">
        <v>36</v>
      </c>
      <c r="AD168">
        <v>0.27323799999999998</v>
      </c>
      <c r="AE168" t="s">
        <v>37</v>
      </c>
      <c r="AF168">
        <v>0.26155299999999998</v>
      </c>
      <c r="AG168" t="s">
        <v>38</v>
      </c>
      <c r="AH168">
        <v>0.95723599999999998</v>
      </c>
      <c r="AI168" t="s">
        <v>39</v>
      </c>
      <c r="AJ168">
        <v>0.76177099999999998</v>
      </c>
      <c r="AK168" t="s">
        <v>40</v>
      </c>
      <c r="AL168">
        <v>0.78449100000000005</v>
      </c>
      <c r="AM168" t="s">
        <v>41</v>
      </c>
      <c r="AN168">
        <v>21.879515000000001</v>
      </c>
      <c r="AO168" t="s">
        <v>42</v>
      </c>
      <c r="AP168">
        <v>12.533504000000001</v>
      </c>
    </row>
    <row r="169" spans="1:42" x14ac:dyDescent="0.3">
      <c r="A169" t="s">
        <v>22</v>
      </c>
      <c r="B169">
        <v>1.689999</v>
      </c>
      <c r="C169" t="s">
        <v>23</v>
      </c>
      <c r="D169">
        <v>1.039941</v>
      </c>
      <c r="E169" t="s">
        <v>24</v>
      </c>
      <c r="F169">
        <v>1.1341460000000001</v>
      </c>
      <c r="G169" t="s">
        <v>25</v>
      </c>
      <c r="H169">
        <v>0.91616900000000001</v>
      </c>
      <c r="I169" t="s">
        <v>26</v>
      </c>
      <c r="J169">
        <v>6.5200000000000002E-4</v>
      </c>
      <c r="K169" t="s">
        <v>27</v>
      </c>
      <c r="L169">
        <v>2.4267E-2</v>
      </c>
      <c r="M169" t="s">
        <v>28</v>
      </c>
      <c r="N169">
        <v>1.9602000000000001E-2</v>
      </c>
      <c r="O169" t="s">
        <v>29</v>
      </c>
      <c r="P169">
        <v>-5.9130000000000002E-2</v>
      </c>
      <c r="Q169" t="s">
        <v>30</v>
      </c>
      <c r="R169">
        <v>-0.55980799999999997</v>
      </c>
      <c r="S169" t="s">
        <v>31</v>
      </c>
      <c r="T169">
        <v>0.59869000000000006</v>
      </c>
      <c r="U169" t="s">
        <v>32</v>
      </c>
      <c r="V169">
        <v>4.5025999999999997E-2</v>
      </c>
      <c r="W169" t="s">
        <v>33</v>
      </c>
      <c r="X169">
        <v>0.16078300000000001</v>
      </c>
      <c r="Y169" t="s">
        <v>34</v>
      </c>
      <c r="Z169">
        <v>0.104183</v>
      </c>
      <c r="AA169" t="s">
        <v>35</v>
      </c>
      <c r="AB169">
        <v>0.113038</v>
      </c>
      <c r="AC169" t="s">
        <v>36</v>
      </c>
      <c r="AD169">
        <v>0.27314300000000002</v>
      </c>
      <c r="AE169" t="s">
        <v>37</v>
      </c>
      <c r="AF169">
        <v>0.26155299999999998</v>
      </c>
      <c r="AG169" t="s">
        <v>38</v>
      </c>
      <c r="AH169">
        <v>0.957569</v>
      </c>
      <c r="AI169" t="s">
        <v>39</v>
      </c>
      <c r="AJ169">
        <v>0.76196299999999995</v>
      </c>
      <c r="AK169" t="s">
        <v>40</v>
      </c>
      <c r="AL169">
        <v>0.78449100000000005</v>
      </c>
      <c r="AM169" t="s">
        <v>41</v>
      </c>
      <c r="AN169">
        <v>22.009747999999998</v>
      </c>
      <c r="AO169" t="s">
        <v>42</v>
      </c>
      <c r="AP169">
        <v>12.599353000000001</v>
      </c>
    </row>
    <row r="170" spans="1:42" x14ac:dyDescent="0.3">
      <c r="A170" t="s">
        <v>22</v>
      </c>
      <c r="B170">
        <v>1.699999</v>
      </c>
      <c r="C170" t="s">
        <v>23</v>
      </c>
      <c r="D170">
        <v>1.0398270000000001</v>
      </c>
      <c r="E170" t="s">
        <v>24</v>
      </c>
      <c r="F170">
        <v>1.1332420000000001</v>
      </c>
      <c r="G170" t="s">
        <v>25</v>
      </c>
      <c r="H170">
        <v>0.91616900000000001</v>
      </c>
      <c r="I170" t="s">
        <v>26</v>
      </c>
      <c r="J170">
        <v>6.4700000000000001E-4</v>
      </c>
      <c r="K170" t="s">
        <v>27</v>
      </c>
      <c r="L170">
        <v>2.4247999999999999E-2</v>
      </c>
      <c r="M170" t="s">
        <v>28</v>
      </c>
      <c r="N170">
        <v>1.9602000000000001E-2</v>
      </c>
      <c r="O170" t="s">
        <v>29</v>
      </c>
      <c r="P170">
        <v>-5.8525000000000001E-2</v>
      </c>
      <c r="Q170" t="s">
        <v>30</v>
      </c>
      <c r="R170">
        <v>-0.55500799999999995</v>
      </c>
      <c r="S170" t="s">
        <v>31</v>
      </c>
      <c r="T170">
        <v>0.59869000000000006</v>
      </c>
      <c r="U170" t="s">
        <v>32</v>
      </c>
      <c r="V170">
        <v>4.4833999999999999E-2</v>
      </c>
      <c r="W170" t="s">
        <v>33</v>
      </c>
      <c r="X170">
        <v>0.16085099999999999</v>
      </c>
      <c r="Y170" t="s">
        <v>34</v>
      </c>
      <c r="Z170">
        <v>0.104183</v>
      </c>
      <c r="AA170" t="s">
        <v>35</v>
      </c>
      <c r="AB170">
        <v>0.112557</v>
      </c>
      <c r="AC170" t="s">
        <v>36</v>
      </c>
      <c r="AD170">
        <v>0.27304899999999999</v>
      </c>
      <c r="AE170" t="s">
        <v>37</v>
      </c>
      <c r="AF170">
        <v>0.26155299999999998</v>
      </c>
      <c r="AG170" t="s">
        <v>38</v>
      </c>
      <c r="AH170">
        <v>0.95789800000000003</v>
      </c>
      <c r="AI170" t="s">
        <v>39</v>
      </c>
      <c r="AJ170">
        <v>0.76215200000000005</v>
      </c>
      <c r="AK170" t="s">
        <v>40</v>
      </c>
      <c r="AL170">
        <v>0.78449100000000005</v>
      </c>
      <c r="AM170" t="s">
        <v>41</v>
      </c>
      <c r="AN170">
        <v>22.139983999999998</v>
      </c>
      <c r="AO170" t="s">
        <v>42</v>
      </c>
      <c r="AP170">
        <v>12.665198</v>
      </c>
    </row>
    <row r="171" spans="1:42" x14ac:dyDescent="0.3">
      <c r="A171" t="s">
        <v>22</v>
      </c>
      <c r="B171">
        <v>1.709999</v>
      </c>
      <c r="C171" t="s">
        <v>23</v>
      </c>
      <c r="D171">
        <v>1.0397110000000001</v>
      </c>
      <c r="E171" t="s">
        <v>24</v>
      </c>
      <c r="F171">
        <v>1.1323460000000001</v>
      </c>
      <c r="G171" t="s">
        <v>25</v>
      </c>
      <c r="H171">
        <v>0.91616900000000001</v>
      </c>
      <c r="I171" t="s">
        <v>26</v>
      </c>
      <c r="J171">
        <v>6.4199999999999999E-4</v>
      </c>
      <c r="K171" t="s">
        <v>27</v>
      </c>
      <c r="L171">
        <v>2.4229000000000001E-2</v>
      </c>
      <c r="M171" t="s">
        <v>28</v>
      </c>
      <c r="N171">
        <v>1.9602000000000001E-2</v>
      </c>
      <c r="O171" t="s">
        <v>29</v>
      </c>
      <c r="P171">
        <v>-5.7908000000000001E-2</v>
      </c>
      <c r="Q171" t="s">
        <v>30</v>
      </c>
      <c r="R171">
        <v>-0.55024399999999996</v>
      </c>
      <c r="S171" t="s">
        <v>31</v>
      </c>
      <c r="T171">
        <v>0.59869000000000006</v>
      </c>
      <c r="U171" t="s">
        <v>32</v>
      </c>
      <c r="V171">
        <v>4.4644000000000003E-2</v>
      </c>
      <c r="W171" t="s">
        <v>33</v>
      </c>
      <c r="X171">
        <v>0.16091900000000001</v>
      </c>
      <c r="Y171" t="s">
        <v>34</v>
      </c>
      <c r="Z171">
        <v>0.104183</v>
      </c>
      <c r="AA171" t="s">
        <v>35</v>
      </c>
      <c r="AB171">
        <v>0.112079</v>
      </c>
      <c r="AC171" t="s">
        <v>36</v>
      </c>
      <c r="AD171">
        <v>0.27295599999999998</v>
      </c>
      <c r="AE171" t="s">
        <v>37</v>
      </c>
      <c r="AF171">
        <v>0.26155299999999998</v>
      </c>
      <c r="AG171" t="s">
        <v>38</v>
      </c>
      <c r="AH171">
        <v>0.95822300000000005</v>
      </c>
      <c r="AI171" t="s">
        <v>39</v>
      </c>
      <c r="AJ171">
        <v>0.76233899999999999</v>
      </c>
      <c r="AK171" t="s">
        <v>40</v>
      </c>
      <c r="AL171">
        <v>0.78449100000000005</v>
      </c>
      <c r="AM171" t="s">
        <v>41</v>
      </c>
      <c r="AN171">
        <v>22.270219999999998</v>
      </c>
      <c r="AO171" t="s">
        <v>42</v>
      </c>
      <c r="AP171">
        <v>12.731045999999999</v>
      </c>
    </row>
    <row r="172" spans="1:42" x14ac:dyDescent="0.3">
      <c r="A172" t="s">
        <v>22</v>
      </c>
      <c r="B172">
        <v>1.7199990000000001</v>
      </c>
      <c r="C172" t="s">
        <v>23</v>
      </c>
      <c r="D172">
        <v>1.039593</v>
      </c>
      <c r="E172" t="s">
        <v>24</v>
      </c>
      <c r="F172">
        <v>1.1314569999999999</v>
      </c>
      <c r="G172" t="s">
        <v>25</v>
      </c>
      <c r="H172">
        <v>0.91616900000000001</v>
      </c>
      <c r="I172" t="s">
        <v>26</v>
      </c>
      <c r="J172">
        <v>6.38E-4</v>
      </c>
      <c r="K172" t="s">
        <v>27</v>
      </c>
      <c r="L172">
        <v>2.4209999999999999E-2</v>
      </c>
      <c r="M172" t="s">
        <v>28</v>
      </c>
      <c r="N172">
        <v>1.9602000000000001E-2</v>
      </c>
      <c r="O172" t="s">
        <v>29</v>
      </c>
      <c r="P172">
        <v>-5.7278999999999997E-2</v>
      </c>
      <c r="Q172" t="s">
        <v>30</v>
      </c>
      <c r="R172">
        <v>-0.545516</v>
      </c>
      <c r="S172" t="s">
        <v>31</v>
      </c>
      <c r="T172">
        <v>0.59869000000000006</v>
      </c>
      <c r="U172" t="s">
        <v>32</v>
      </c>
      <c r="V172">
        <v>4.4455000000000001E-2</v>
      </c>
      <c r="W172" t="s">
        <v>33</v>
      </c>
      <c r="X172">
        <v>0.16098699999999999</v>
      </c>
      <c r="Y172" t="s">
        <v>34</v>
      </c>
      <c r="Z172">
        <v>0.104183</v>
      </c>
      <c r="AA172" t="s">
        <v>35</v>
      </c>
      <c r="AB172">
        <v>0.111606</v>
      </c>
      <c r="AC172" t="s">
        <v>36</v>
      </c>
      <c r="AD172">
        <v>0.272864</v>
      </c>
      <c r="AE172" t="s">
        <v>37</v>
      </c>
      <c r="AF172">
        <v>0.26155299999999998</v>
      </c>
      <c r="AG172" t="s">
        <v>38</v>
      </c>
      <c r="AH172">
        <v>0.95854499999999998</v>
      </c>
      <c r="AI172" t="s">
        <v>39</v>
      </c>
      <c r="AJ172">
        <v>0.76252399999999998</v>
      </c>
      <c r="AK172" t="s">
        <v>40</v>
      </c>
      <c r="AL172">
        <v>0.78449100000000005</v>
      </c>
      <c r="AM172" t="s">
        <v>41</v>
      </c>
      <c r="AN172">
        <v>22.400455000000001</v>
      </c>
      <c r="AO172" t="s">
        <v>42</v>
      </c>
      <c r="AP172">
        <v>12.796891</v>
      </c>
    </row>
    <row r="173" spans="1:42" x14ac:dyDescent="0.3">
      <c r="A173" t="s">
        <v>22</v>
      </c>
      <c r="B173">
        <v>1.7299990000000001</v>
      </c>
      <c r="C173" t="s">
        <v>23</v>
      </c>
      <c r="D173">
        <v>1.039472</v>
      </c>
      <c r="E173" t="s">
        <v>24</v>
      </c>
      <c r="F173">
        <v>1.130574</v>
      </c>
      <c r="G173" t="s">
        <v>25</v>
      </c>
      <c r="H173">
        <v>0.91616900000000001</v>
      </c>
      <c r="I173" t="s">
        <v>26</v>
      </c>
      <c r="J173">
        <v>6.3299999999999999E-4</v>
      </c>
      <c r="K173" t="s">
        <v>27</v>
      </c>
      <c r="L173">
        <v>2.4191000000000001E-2</v>
      </c>
      <c r="M173" t="s">
        <v>28</v>
      </c>
      <c r="N173">
        <v>1.9602000000000001E-2</v>
      </c>
      <c r="O173" t="s">
        <v>29</v>
      </c>
      <c r="P173">
        <v>-5.6640000000000003E-2</v>
      </c>
      <c r="Q173" t="s">
        <v>30</v>
      </c>
      <c r="R173">
        <v>-0.54082399999999997</v>
      </c>
      <c r="S173" t="s">
        <v>31</v>
      </c>
      <c r="T173">
        <v>0.59869000000000006</v>
      </c>
      <c r="U173" t="s">
        <v>32</v>
      </c>
      <c r="V173">
        <v>4.4268000000000002E-2</v>
      </c>
      <c r="W173" t="s">
        <v>33</v>
      </c>
      <c r="X173">
        <v>0.16105700000000001</v>
      </c>
      <c r="Y173" t="s">
        <v>34</v>
      </c>
      <c r="Z173">
        <v>0.104183</v>
      </c>
      <c r="AA173" t="s">
        <v>35</v>
      </c>
      <c r="AB173">
        <v>0.111135</v>
      </c>
      <c r="AC173" t="s">
        <v>36</v>
      </c>
      <c r="AD173">
        <v>0.27277400000000002</v>
      </c>
      <c r="AE173" t="s">
        <v>37</v>
      </c>
      <c r="AF173">
        <v>0.26155299999999998</v>
      </c>
      <c r="AG173" t="s">
        <v>38</v>
      </c>
      <c r="AH173">
        <v>0.95886400000000005</v>
      </c>
      <c r="AI173" t="s">
        <v>39</v>
      </c>
      <c r="AJ173">
        <v>0.76270700000000002</v>
      </c>
      <c r="AK173" t="s">
        <v>40</v>
      </c>
      <c r="AL173">
        <v>0.78449100000000005</v>
      </c>
      <c r="AM173" t="s">
        <v>41</v>
      </c>
      <c r="AN173">
        <v>22.530688999999999</v>
      </c>
      <c r="AO173" t="s">
        <v>42</v>
      </c>
      <c r="AP173">
        <v>12.862741</v>
      </c>
    </row>
    <row r="174" spans="1:42" x14ac:dyDescent="0.3">
      <c r="A174" t="s">
        <v>22</v>
      </c>
      <c r="B174">
        <v>1.7399990000000001</v>
      </c>
      <c r="C174" t="s">
        <v>23</v>
      </c>
      <c r="D174">
        <v>1.03935</v>
      </c>
      <c r="E174" t="s">
        <v>24</v>
      </c>
      <c r="F174">
        <v>1.129697</v>
      </c>
      <c r="G174" t="s">
        <v>25</v>
      </c>
      <c r="H174">
        <v>0.91616900000000001</v>
      </c>
      <c r="I174" t="s">
        <v>26</v>
      </c>
      <c r="J174">
        <v>6.29E-4</v>
      </c>
      <c r="K174" t="s">
        <v>27</v>
      </c>
      <c r="L174">
        <v>2.4171999999999999E-2</v>
      </c>
      <c r="M174" t="s">
        <v>28</v>
      </c>
      <c r="N174">
        <v>1.9602000000000001E-2</v>
      </c>
      <c r="O174" t="s">
        <v>29</v>
      </c>
      <c r="P174">
        <v>-5.5987000000000002E-2</v>
      </c>
      <c r="Q174" t="s">
        <v>30</v>
      </c>
      <c r="R174">
        <v>-0.53616600000000003</v>
      </c>
      <c r="S174" t="s">
        <v>31</v>
      </c>
      <c r="T174">
        <v>0.59869000000000006</v>
      </c>
      <c r="U174" t="s">
        <v>32</v>
      </c>
      <c r="V174">
        <v>4.4082000000000003E-2</v>
      </c>
      <c r="W174" t="s">
        <v>33</v>
      </c>
      <c r="X174">
        <v>0.16112699999999999</v>
      </c>
      <c r="Y174" t="s">
        <v>34</v>
      </c>
      <c r="Z174">
        <v>0.104183</v>
      </c>
      <c r="AA174" t="s">
        <v>35</v>
      </c>
      <c r="AB174">
        <v>0.110668</v>
      </c>
      <c r="AC174" t="s">
        <v>36</v>
      </c>
      <c r="AD174">
        <v>0.27268500000000001</v>
      </c>
      <c r="AE174" t="s">
        <v>37</v>
      </c>
      <c r="AF174">
        <v>0.26155299999999998</v>
      </c>
      <c r="AG174" t="s">
        <v>38</v>
      </c>
      <c r="AH174">
        <v>0.959179</v>
      </c>
      <c r="AI174" t="s">
        <v>39</v>
      </c>
      <c r="AJ174">
        <v>0.76288500000000004</v>
      </c>
      <c r="AK174" t="s">
        <v>40</v>
      </c>
      <c r="AL174">
        <v>0.78449100000000005</v>
      </c>
      <c r="AM174" t="s">
        <v>41</v>
      </c>
      <c r="AN174">
        <v>22.660924999999999</v>
      </c>
      <c r="AO174" t="s">
        <v>42</v>
      </c>
      <c r="AP174">
        <v>12.928585</v>
      </c>
    </row>
    <row r="175" spans="1:42" x14ac:dyDescent="0.3">
      <c r="A175" t="s">
        <v>22</v>
      </c>
      <c r="B175">
        <v>1.7499990000000001</v>
      </c>
      <c r="C175" t="s">
        <v>23</v>
      </c>
      <c r="D175">
        <v>1.0392250000000001</v>
      </c>
      <c r="E175" t="s">
        <v>24</v>
      </c>
      <c r="F175">
        <v>1.1288279999999999</v>
      </c>
      <c r="G175" t="s">
        <v>25</v>
      </c>
      <c r="H175">
        <v>0.91616900000000001</v>
      </c>
      <c r="I175" t="s">
        <v>26</v>
      </c>
      <c r="J175">
        <v>6.2399999999999999E-4</v>
      </c>
      <c r="K175" t="s">
        <v>27</v>
      </c>
      <c r="L175">
        <v>2.4153000000000001E-2</v>
      </c>
      <c r="M175" t="s">
        <v>28</v>
      </c>
      <c r="N175">
        <v>1.9602000000000001E-2</v>
      </c>
      <c r="O175" t="s">
        <v>29</v>
      </c>
      <c r="P175">
        <v>-5.5326E-2</v>
      </c>
      <c r="Q175" t="s">
        <v>30</v>
      </c>
      <c r="R175">
        <v>-0.53154500000000005</v>
      </c>
      <c r="S175" t="s">
        <v>31</v>
      </c>
      <c r="T175">
        <v>0.59869000000000006</v>
      </c>
      <c r="U175" t="s">
        <v>32</v>
      </c>
      <c r="V175">
        <v>4.3896999999999999E-2</v>
      </c>
      <c r="W175" t="s">
        <v>33</v>
      </c>
      <c r="X175">
        <v>0.16119700000000001</v>
      </c>
      <c r="Y175" t="s">
        <v>34</v>
      </c>
      <c r="Z175">
        <v>0.104183</v>
      </c>
      <c r="AA175" t="s">
        <v>35</v>
      </c>
      <c r="AB175">
        <v>0.110204</v>
      </c>
      <c r="AC175" t="s">
        <v>36</v>
      </c>
      <c r="AD175">
        <v>0.272596</v>
      </c>
      <c r="AE175" t="s">
        <v>37</v>
      </c>
      <c r="AF175">
        <v>0.26155299999999998</v>
      </c>
      <c r="AG175" t="s">
        <v>38</v>
      </c>
      <c r="AH175">
        <v>0.95949099999999998</v>
      </c>
      <c r="AI175" t="s">
        <v>39</v>
      </c>
      <c r="AJ175">
        <v>0.76306399999999996</v>
      </c>
      <c r="AK175" t="s">
        <v>40</v>
      </c>
      <c r="AL175">
        <v>0.78449100000000005</v>
      </c>
      <c r="AM175" t="s">
        <v>41</v>
      </c>
      <c r="AN175">
        <v>22.791160999999999</v>
      </c>
      <c r="AO175" t="s">
        <v>42</v>
      </c>
      <c r="AP175">
        <v>12.994434999999999</v>
      </c>
    </row>
    <row r="176" spans="1:42" x14ac:dyDescent="0.3">
      <c r="A176" t="s">
        <v>22</v>
      </c>
      <c r="B176">
        <v>1.7599990000000001</v>
      </c>
      <c r="C176" t="s">
        <v>23</v>
      </c>
      <c r="D176">
        <v>1.039099</v>
      </c>
      <c r="E176" t="s">
        <v>24</v>
      </c>
      <c r="F176">
        <v>1.1279650000000001</v>
      </c>
      <c r="G176" t="s">
        <v>25</v>
      </c>
      <c r="H176">
        <v>0.91616900000000001</v>
      </c>
      <c r="I176" t="s">
        <v>26</v>
      </c>
      <c r="J176">
        <v>6.2E-4</v>
      </c>
      <c r="K176" t="s">
        <v>27</v>
      </c>
      <c r="L176">
        <v>2.4135E-2</v>
      </c>
      <c r="M176" t="s">
        <v>28</v>
      </c>
      <c r="N176">
        <v>1.9602000000000001E-2</v>
      </c>
      <c r="O176" t="s">
        <v>29</v>
      </c>
      <c r="P176">
        <v>-5.4654000000000001E-2</v>
      </c>
      <c r="Q176" t="s">
        <v>30</v>
      </c>
      <c r="R176">
        <v>-0.52695700000000001</v>
      </c>
      <c r="S176" t="s">
        <v>31</v>
      </c>
      <c r="T176">
        <v>0.59869000000000006</v>
      </c>
      <c r="U176" t="s">
        <v>32</v>
      </c>
      <c r="V176">
        <v>4.3713000000000002E-2</v>
      </c>
      <c r="W176" t="s">
        <v>33</v>
      </c>
      <c r="X176">
        <v>0.161269</v>
      </c>
      <c r="Y176" t="s">
        <v>34</v>
      </c>
      <c r="Z176">
        <v>0.104183</v>
      </c>
      <c r="AA176" t="s">
        <v>35</v>
      </c>
      <c r="AB176">
        <v>0.10974299999999999</v>
      </c>
      <c r="AC176" t="s">
        <v>36</v>
      </c>
      <c r="AD176">
        <v>0.27250799999999997</v>
      </c>
      <c r="AE176" t="s">
        <v>37</v>
      </c>
      <c r="AF176">
        <v>0.26155299999999998</v>
      </c>
      <c r="AG176" t="s">
        <v>38</v>
      </c>
      <c r="AH176">
        <v>0.95979999999999999</v>
      </c>
      <c r="AI176" t="s">
        <v>39</v>
      </c>
      <c r="AJ176">
        <v>0.76324000000000003</v>
      </c>
      <c r="AK176" t="s">
        <v>40</v>
      </c>
      <c r="AL176">
        <v>0.78449100000000005</v>
      </c>
      <c r="AM176" t="s">
        <v>41</v>
      </c>
      <c r="AN176">
        <v>22.921396000000001</v>
      </c>
      <c r="AO176" t="s">
        <v>42</v>
      </c>
      <c r="AP176">
        <v>13.060283999999999</v>
      </c>
    </row>
    <row r="177" spans="1:42" x14ac:dyDescent="0.3">
      <c r="A177" t="s">
        <v>22</v>
      </c>
      <c r="B177">
        <v>1.7699990000000001</v>
      </c>
      <c r="C177" t="s">
        <v>23</v>
      </c>
      <c r="D177">
        <v>1.0389710000000001</v>
      </c>
      <c r="E177" t="s">
        <v>24</v>
      </c>
      <c r="F177">
        <v>1.127108</v>
      </c>
      <c r="G177" t="s">
        <v>25</v>
      </c>
      <c r="H177">
        <v>0.91616900000000001</v>
      </c>
      <c r="I177" t="s">
        <v>26</v>
      </c>
      <c r="J177">
        <v>6.1600000000000001E-4</v>
      </c>
      <c r="K177" t="s">
        <v>27</v>
      </c>
      <c r="L177">
        <v>2.4117E-2</v>
      </c>
      <c r="M177" t="s">
        <v>28</v>
      </c>
      <c r="N177">
        <v>1.9602000000000001E-2</v>
      </c>
      <c r="O177" t="s">
        <v>29</v>
      </c>
      <c r="P177">
        <v>-5.3971999999999999E-2</v>
      </c>
      <c r="Q177" t="s">
        <v>30</v>
      </c>
      <c r="R177">
        <v>-0.52240399999999998</v>
      </c>
      <c r="S177" t="s">
        <v>31</v>
      </c>
      <c r="T177">
        <v>0.59869000000000006</v>
      </c>
      <c r="U177" t="s">
        <v>32</v>
      </c>
      <c r="V177">
        <v>4.3531E-2</v>
      </c>
      <c r="W177" t="s">
        <v>33</v>
      </c>
      <c r="X177">
        <v>0.16134000000000001</v>
      </c>
      <c r="Y177" t="s">
        <v>34</v>
      </c>
      <c r="Z177">
        <v>0.104183</v>
      </c>
      <c r="AA177" t="s">
        <v>35</v>
      </c>
      <c r="AB177">
        <v>0.10928599999999999</v>
      </c>
      <c r="AC177" t="s">
        <v>36</v>
      </c>
      <c r="AD177">
        <v>0.27242100000000002</v>
      </c>
      <c r="AE177" t="s">
        <v>37</v>
      </c>
      <c r="AF177">
        <v>0.26155299999999998</v>
      </c>
      <c r="AG177" t="s">
        <v>38</v>
      </c>
      <c r="AH177">
        <v>0.96010499999999999</v>
      </c>
      <c r="AI177" t="s">
        <v>39</v>
      </c>
      <c r="AJ177">
        <v>0.76341400000000004</v>
      </c>
      <c r="AK177" t="s">
        <v>40</v>
      </c>
      <c r="AL177">
        <v>0.78449100000000005</v>
      </c>
      <c r="AM177" t="s">
        <v>41</v>
      </c>
      <c r="AN177">
        <v>23.051632000000001</v>
      </c>
      <c r="AO177" t="s">
        <v>42</v>
      </c>
      <c r="AP177">
        <v>13.126136000000001</v>
      </c>
    </row>
    <row r="178" spans="1:42" x14ac:dyDescent="0.3">
      <c r="A178" t="s">
        <v>22</v>
      </c>
      <c r="B178">
        <v>1.7799990000000001</v>
      </c>
      <c r="C178" t="s">
        <v>23</v>
      </c>
      <c r="D178">
        <v>1.03884</v>
      </c>
      <c r="E178" t="s">
        <v>24</v>
      </c>
      <c r="F178">
        <v>1.126258</v>
      </c>
      <c r="G178" t="s">
        <v>25</v>
      </c>
      <c r="H178">
        <v>0.91616900000000001</v>
      </c>
      <c r="I178" t="s">
        <v>26</v>
      </c>
      <c r="J178">
        <v>6.11E-4</v>
      </c>
      <c r="K178" t="s">
        <v>27</v>
      </c>
      <c r="L178">
        <v>2.4098000000000001E-2</v>
      </c>
      <c r="M178" t="s">
        <v>28</v>
      </c>
      <c r="N178">
        <v>1.9602000000000001E-2</v>
      </c>
      <c r="O178" t="s">
        <v>29</v>
      </c>
      <c r="P178">
        <v>-5.3280000000000001E-2</v>
      </c>
      <c r="Q178" t="s">
        <v>30</v>
      </c>
      <c r="R178">
        <v>-0.51788400000000001</v>
      </c>
      <c r="S178" t="s">
        <v>31</v>
      </c>
      <c r="T178">
        <v>0.59869000000000006</v>
      </c>
      <c r="U178" t="s">
        <v>32</v>
      </c>
      <c r="V178">
        <v>4.335E-2</v>
      </c>
      <c r="W178" t="s">
        <v>33</v>
      </c>
      <c r="X178">
        <v>0.161413</v>
      </c>
      <c r="Y178" t="s">
        <v>34</v>
      </c>
      <c r="Z178">
        <v>0.104183</v>
      </c>
      <c r="AA178" t="s">
        <v>35</v>
      </c>
      <c r="AB178">
        <v>0.108832</v>
      </c>
      <c r="AC178" t="s">
        <v>36</v>
      </c>
      <c r="AD178">
        <v>0.27233499999999999</v>
      </c>
      <c r="AE178" t="s">
        <v>37</v>
      </c>
      <c r="AF178">
        <v>0.26155299999999998</v>
      </c>
      <c r="AG178" t="s">
        <v>38</v>
      </c>
      <c r="AH178">
        <v>0.96040700000000001</v>
      </c>
      <c r="AI178" t="s">
        <v>39</v>
      </c>
      <c r="AJ178">
        <v>0.76358599999999999</v>
      </c>
      <c r="AK178" t="s">
        <v>40</v>
      </c>
      <c r="AL178">
        <v>0.78449100000000005</v>
      </c>
      <c r="AM178" t="s">
        <v>41</v>
      </c>
      <c r="AN178">
        <v>23.181865999999999</v>
      </c>
      <c r="AO178" t="s">
        <v>42</v>
      </c>
      <c r="AP178">
        <v>13.191989</v>
      </c>
    </row>
    <row r="179" spans="1:42" x14ac:dyDescent="0.3">
      <c r="A179" t="s">
        <v>22</v>
      </c>
      <c r="B179">
        <v>1.7899989999999999</v>
      </c>
      <c r="C179" t="s">
        <v>23</v>
      </c>
      <c r="D179">
        <v>1.038708</v>
      </c>
      <c r="E179" t="s">
        <v>24</v>
      </c>
      <c r="F179">
        <v>1.1254139999999999</v>
      </c>
      <c r="G179" t="s">
        <v>25</v>
      </c>
      <c r="H179">
        <v>0.91616900000000001</v>
      </c>
      <c r="I179" t="s">
        <v>26</v>
      </c>
      <c r="J179">
        <v>6.0700000000000001E-4</v>
      </c>
      <c r="K179" t="s">
        <v>27</v>
      </c>
      <c r="L179">
        <v>2.4080000000000001E-2</v>
      </c>
      <c r="M179" t="s">
        <v>28</v>
      </c>
      <c r="N179">
        <v>1.9602000000000001E-2</v>
      </c>
      <c r="O179" t="s">
        <v>29</v>
      </c>
      <c r="P179">
        <v>-5.2578E-2</v>
      </c>
      <c r="Q179" t="s">
        <v>30</v>
      </c>
      <c r="R179">
        <v>-0.51339800000000002</v>
      </c>
      <c r="S179" t="s">
        <v>31</v>
      </c>
      <c r="T179">
        <v>0.59869000000000006</v>
      </c>
      <c r="U179" t="s">
        <v>32</v>
      </c>
      <c r="V179">
        <v>4.3171000000000001E-2</v>
      </c>
      <c r="W179" t="s">
        <v>33</v>
      </c>
      <c r="X179">
        <v>0.16148599999999999</v>
      </c>
      <c r="Y179" t="s">
        <v>34</v>
      </c>
      <c r="Z179">
        <v>0.104183</v>
      </c>
      <c r="AA179" t="s">
        <v>35</v>
      </c>
      <c r="AB179">
        <v>0.10838100000000001</v>
      </c>
      <c r="AC179" t="s">
        <v>36</v>
      </c>
      <c r="AD179">
        <v>0.27225100000000002</v>
      </c>
      <c r="AE179" t="s">
        <v>37</v>
      </c>
      <c r="AF179">
        <v>0.26155299999999998</v>
      </c>
      <c r="AG179" t="s">
        <v>38</v>
      </c>
      <c r="AH179">
        <v>0.96070599999999995</v>
      </c>
      <c r="AI179" t="s">
        <v>39</v>
      </c>
      <c r="AJ179">
        <v>0.76375599999999999</v>
      </c>
      <c r="AK179" t="s">
        <v>40</v>
      </c>
      <c r="AL179">
        <v>0.78449100000000005</v>
      </c>
      <c r="AM179" t="s">
        <v>41</v>
      </c>
      <c r="AN179">
        <v>23.312100999999998</v>
      </c>
      <c r="AO179" t="s">
        <v>42</v>
      </c>
      <c r="AP179">
        <v>13.257846000000001</v>
      </c>
    </row>
    <row r="180" spans="1:42" x14ac:dyDescent="0.3">
      <c r="A180" t="s">
        <v>22</v>
      </c>
      <c r="B180">
        <v>1.7999989999999999</v>
      </c>
      <c r="C180" t="s">
        <v>23</v>
      </c>
      <c r="D180">
        <v>1.038575</v>
      </c>
      <c r="E180" t="s">
        <v>24</v>
      </c>
      <c r="F180">
        <v>1.124576</v>
      </c>
      <c r="G180" t="s">
        <v>25</v>
      </c>
      <c r="H180">
        <v>0.91616900000000001</v>
      </c>
      <c r="I180" t="s">
        <v>26</v>
      </c>
      <c r="J180">
        <v>6.0300000000000002E-4</v>
      </c>
      <c r="K180" t="s">
        <v>27</v>
      </c>
      <c r="L180">
        <v>2.4062E-2</v>
      </c>
      <c r="M180" t="s">
        <v>28</v>
      </c>
      <c r="N180">
        <v>1.9602000000000001E-2</v>
      </c>
      <c r="O180" t="s">
        <v>29</v>
      </c>
      <c r="P180">
        <v>-5.1867999999999997E-2</v>
      </c>
      <c r="Q180" t="s">
        <v>30</v>
      </c>
      <c r="R180">
        <v>-0.50894600000000001</v>
      </c>
      <c r="S180" t="s">
        <v>31</v>
      </c>
      <c r="T180">
        <v>0.59869000000000006</v>
      </c>
      <c r="U180" t="s">
        <v>32</v>
      </c>
      <c r="V180">
        <v>4.2992000000000002E-2</v>
      </c>
      <c r="W180" t="s">
        <v>33</v>
      </c>
      <c r="X180">
        <v>0.16156000000000001</v>
      </c>
      <c r="Y180" t="s">
        <v>34</v>
      </c>
      <c r="Z180">
        <v>0.104183</v>
      </c>
      <c r="AA180" t="s">
        <v>35</v>
      </c>
      <c r="AB180">
        <v>0.107933</v>
      </c>
      <c r="AC180" t="s">
        <v>36</v>
      </c>
      <c r="AD180">
        <v>0.27216699999999999</v>
      </c>
      <c r="AE180" t="s">
        <v>37</v>
      </c>
      <c r="AF180">
        <v>0.26155299999999998</v>
      </c>
      <c r="AG180" t="s">
        <v>38</v>
      </c>
      <c r="AH180">
        <v>0.96100200000000002</v>
      </c>
      <c r="AI180" t="s">
        <v>39</v>
      </c>
      <c r="AJ180">
        <v>0.76392400000000005</v>
      </c>
      <c r="AK180" t="s">
        <v>40</v>
      </c>
      <c r="AL180">
        <v>0.78449100000000005</v>
      </c>
      <c r="AM180" t="s">
        <v>41</v>
      </c>
      <c r="AN180">
        <v>23.442336999999998</v>
      </c>
      <c r="AO180" t="s">
        <v>42</v>
      </c>
      <c r="AP180">
        <v>13.323702000000001</v>
      </c>
    </row>
    <row r="181" spans="1:42" x14ac:dyDescent="0.3">
      <c r="A181" t="s">
        <v>22</v>
      </c>
      <c r="B181">
        <v>1.8099989999999999</v>
      </c>
      <c r="C181" t="s">
        <v>23</v>
      </c>
      <c r="D181">
        <v>1.0384389999999999</v>
      </c>
      <c r="E181" t="s">
        <v>24</v>
      </c>
      <c r="F181">
        <v>1.1237440000000001</v>
      </c>
      <c r="G181" t="s">
        <v>25</v>
      </c>
      <c r="H181">
        <v>0.91616900000000001</v>
      </c>
      <c r="I181" t="s">
        <v>26</v>
      </c>
      <c r="J181">
        <v>5.9900000000000003E-4</v>
      </c>
      <c r="K181" t="s">
        <v>27</v>
      </c>
      <c r="L181">
        <v>2.4045E-2</v>
      </c>
      <c r="M181" t="s">
        <v>28</v>
      </c>
      <c r="N181">
        <v>1.9602000000000001E-2</v>
      </c>
      <c r="O181" t="s">
        <v>29</v>
      </c>
      <c r="P181">
        <v>-5.1146999999999998E-2</v>
      </c>
      <c r="Q181" t="s">
        <v>30</v>
      </c>
      <c r="R181">
        <v>-0.504525</v>
      </c>
      <c r="S181" t="s">
        <v>31</v>
      </c>
      <c r="T181">
        <v>0.59869000000000006</v>
      </c>
      <c r="U181" t="s">
        <v>32</v>
      </c>
      <c r="V181">
        <v>4.2814999999999999E-2</v>
      </c>
      <c r="W181" t="s">
        <v>33</v>
      </c>
      <c r="X181">
        <v>0.161634</v>
      </c>
      <c r="Y181" t="s">
        <v>34</v>
      </c>
      <c r="Z181">
        <v>0.104183</v>
      </c>
      <c r="AA181" t="s">
        <v>35</v>
      </c>
      <c r="AB181">
        <v>0.107488</v>
      </c>
      <c r="AC181" t="s">
        <v>36</v>
      </c>
      <c r="AD181">
        <v>0.27208399999999999</v>
      </c>
      <c r="AE181" t="s">
        <v>37</v>
      </c>
      <c r="AF181">
        <v>0.26155299999999998</v>
      </c>
      <c r="AG181" t="s">
        <v>38</v>
      </c>
      <c r="AH181">
        <v>0.96129500000000001</v>
      </c>
      <c r="AI181" t="s">
        <v>39</v>
      </c>
      <c r="AJ181">
        <v>0.76409000000000005</v>
      </c>
      <c r="AK181" t="s">
        <v>40</v>
      </c>
      <c r="AL181">
        <v>0.78449100000000005</v>
      </c>
      <c r="AM181" t="s">
        <v>41</v>
      </c>
      <c r="AN181">
        <v>23.572572999999998</v>
      </c>
      <c r="AO181" t="s">
        <v>42</v>
      </c>
      <c r="AP181">
        <v>13.389562</v>
      </c>
    </row>
    <row r="182" spans="1:42" x14ac:dyDescent="0.3">
      <c r="A182" t="s">
        <v>22</v>
      </c>
      <c r="B182">
        <v>1.8199989999999999</v>
      </c>
      <c r="C182" t="s">
        <v>23</v>
      </c>
      <c r="D182">
        <v>1.0383020000000001</v>
      </c>
      <c r="E182" t="s">
        <v>24</v>
      </c>
      <c r="F182">
        <v>1.122919</v>
      </c>
      <c r="G182" t="s">
        <v>25</v>
      </c>
      <c r="H182">
        <v>0.91616900000000001</v>
      </c>
      <c r="I182" t="s">
        <v>26</v>
      </c>
      <c r="J182">
        <v>5.9500000000000004E-4</v>
      </c>
      <c r="K182" t="s">
        <v>27</v>
      </c>
      <c r="L182">
        <v>2.4027E-2</v>
      </c>
      <c r="M182" t="s">
        <v>28</v>
      </c>
      <c r="N182">
        <v>1.9602000000000001E-2</v>
      </c>
      <c r="O182" t="s">
        <v>29</v>
      </c>
      <c r="P182">
        <v>-5.0416999999999997E-2</v>
      </c>
      <c r="Q182" t="s">
        <v>30</v>
      </c>
      <c r="R182">
        <v>-0.50013799999999997</v>
      </c>
      <c r="S182" t="s">
        <v>31</v>
      </c>
      <c r="T182">
        <v>0.59869000000000006</v>
      </c>
      <c r="U182" t="s">
        <v>32</v>
      </c>
      <c r="V182">
        <v>4.2639000000000003E-2</v>
      </c>
      <c r="W182" t="s">
        <v>33</v>
      </c>
      <c r="X182">
        <v>0.16170899999999999</v>
      </c>
      <c r="Y182" t="s">
        <v>34</v>
      </c>
      <c r="Z182">
        <v>0.104183</v>
      </c>
      <c r="AA182" t="s">
        <v>35</v>
      </c>
      <c r="AB182">
        <v>0.107046</v>
      </c>
      <c r="AC182" t="s">
        <v>36</v>
      </c>
      <c r="AD182">
        <v>0.27200200000000002</v>
      </c>
      <c r="AE182" t="s">
        <v>37</v>
      </c>
      <c r="AF182">
        <v>0.26155299999999998</v>
      </c>
      <c r="AG182" t="s">
        <v>38</v>
      </c>
      <c r="AH182">
        <v>0.96158500000000002</v>
      </c>
      <c r="AI182" t="s">
        <v>39</v>
      </c>
      <c r="AJ182">
        <v>0.76425399999999999</v>
      </c>
      <c r="AK182" t="s">
        <v>40</v>
      </c>
      <c r="AL182">
        <v>0.78449100000000005</v>
      </c>
      <c r="AM182" t="s">
        <v>41</v>
      </c>
      <c r="AN182">
        <v>23.702805999999999</v>
      </c>
      <c r="AO182" t="s">
        <v>42</v>
      </c>
      <c r="AP182">
        <v>13.455425</v>
      </c>
    </row>
    <row r="183" spans="1:42" x14ac:dyDescent="0.3">
      <c r="A183" t="s">
        <v>22</v>
      </c>
      <c r="B183">
        <v>1.8299989999999999</v>
      </c>
      <c r="C183" t="s">
        <v>23</v>
      </c>
      <c r="D183">
        <v>1.0381629999999999</v>
      </c>
      <c r="E183" t="s">
        <v>24</v>
      </c>
      <c r="F183">
        <v>1.122099</v>
      </c>
      <c r="G183" t="s">
        <v>25</v>
      </c>
      <c r="H183">
        <v>0.91616900000000001</v>
      </c>
      <c r="I183" t="s">
        <v>26</v>
      </c>
      <c r="J183">
        <v>5.9100000000000005E-4</v>
      </c>
      <c r="K183" t="s">
        <v>27</v>
      </c>
      <c r="L183">
        <v>2.4008999999999999E-2</v>
      </c>
      <c r="M183" t="s">
        <v>28</v>
      </c>
      <c r="N183">
        <v>1.9602000000000001E-2</v>
      </c>
      <c r="O183" t="s">
        <v>29</v>
      </c>
      <c r="P183">
        <v>-4.9681000000000003E-2</v>
      </c>
      <c r="Q183" t="s">
        <v>30</v>
      </c>
      <c r="R183">
        <v>-0.49578299999999997</v>
      </c>
      <c r="S183" t="s">
        <v>31</v>
      </c>
      <c r="T183">
        <v>0.59869000000000006</v>
      </c>
      <c r="U183" t="s">
        <v>32</v>
      </c>
      <c r="V183">
        <v>4.2465000000000003E-2</v>
      </c>
      <c r="W183" t="s">
        <v>33</v>
      </c>
      <c r="X183">
        <v>0.16178400000000001</v>
      </c>
      <c r="Y183" t="s">
        <v>34</v>
      </c>
      <c r="Z183">
        <v>0.104183</v>
      </c>
      <c r="AA183" t="s">
        <v>35</v>
      </c>
      <c r="AB183">
        <v>0.10660799999999999</v>
      </c>
      <c r="AC183" t="s">
        <v>36</v>
      </c>
      <c r="AD183">
        <v>0.27192100000000002</v>
      </c>
      <c r="AE183" t="s">
        <v>37</v>
      </c>
      <c r="AF183">
        <v>0.26155299999999998</v>
      </c>
      <c r="AG183" t="s">
        <v>38</v>
      </c>
      <c r="AH183">
        <v>0.96187199999999995</v>
      </c>
      <c r="AI183" t="s">
        <v>39</v>
      </c>
      <c r="AJ183">
        <v>0.76441700000000001</v>
      </c>
      <c r="AK183" t="s">
        <v>40</v>
      </c>
      <c r="AL183">
        <v>0.78449100000000005</v>
      </c>
      <c r="AM183" t="s">
        <v>41</v>
      </c>
      <c r="AN183">
        <v>23.833041999999999</v>
      </c>
      <c r="AO183" t="s">
        <v>42</v>
      </c>
      <c r="AP183">
        <v>13.52129</v>
      </c>
    </row>
    <row r="184" spans="1:42" x14ac:dyDescent="0.3">
      <c r="A184" t="s">
        <v>22</v>
      </c>
      <c r="B184">
        <v>1.8399989999999999</v>
      </c>
      <c r="C184" t="s">
        <v>23</v>
      </c>
      <c r="D184">
        <v>1.0380229999999999</v>
      </c>
      <c r="E184" t="s">
        <v>24</v>
      </c>
      <c r="F184">
        <v>1.121286</v>
      </c>
      <c r="G184" t="s">
        <v>25</v>
      </c>
      <c r="H184">
        <v>0.91616900000000001</v>
      </c>
      <c r="I184" t="s">
        <v>26</v>
      </c>
      <c r="J184">
        <v>5.8699999999999996E-4</v>
      </c>
      <c r="K184" t="s">
        <v>27</v>
      </c>
      <c r="L184">
        <v>2.3991999999999999E-2</v>
      </c>
      <c r="M184" t="s">
        <v>28</v>
      </c>
      <c r="N184">
        <v>1.9602000000000001E-2</v>
      </c>
      <c r="O184" t="s">
        <v>29</v>
      </c>
      <c r="P184">
        <v>-4.8934999999999999E-2</v>
      </c>
      <c r="Q184" t="s">
        <v>30</v>
      </c>
      <c r="R184">
        <v>-0.49145899999999998</v>
      </c>
      <c r="S184" t="s">
        <v>31</v>
      </c>
      <c r="T184">
        <v>0.59869000000000006</v>
      </c>
      <c r="U184" t="s">
        <v>32</v>
      </c>
      <c r="V184">
        <v>4.2291000000000002E-2</v>
      </c>
      <c r="W184" t="s">
        <v>33</v>
      </c>
      <c r="X184">
        <v>0.16186</v>
      </c>
      <c r="Y184" t="s">
        <v>34</v>
      </c>
      <c r="Z184">
        <v>0.104183</v>
      </c>
      <c r="AA184" t="s">
        <v>35</v>
      </c>
      <c r="AB184">
        <v>0.106172</v>
      </c>
      <c r="AC184" t="s">
        <v>36</v>
      </c>
      <c r="AD184">
        <v>0.27184000000000003</v>
      </c>
      <c r="AE184" t="s">
        <v>37</v>
      </c>
      <c r="AF184">
        <v>0.26155299999999998</v>
      </c>
      <c r="AG184" t="s">
        <v>38</v>
      </c>
      <c r="AH184">
        <v>0.96215600000000001</v>
      </c>
      <c r="AI184" t="s">
        <v>39</v>
      </c>
      <c r="AJ184">
        <v>0.76457699999999995</v>
      </c>
      <c r="AK184" t="s">
        <v>40</v>
      </c>
      <c r="AL184">
        <v>0.78449100000000005</v>
      </c>
      <c r="AM184" t="s">
        <v>41</v>
      </c>
      <c r="AN184">
        <v>23.963277999999999</v>
      </c>
      <c r="AO184" t="s">
        <v>42</v>
      </c>
      <c r="AP184">
        <v>13.587156999999999</v>
      </c>
    </row>
    <row r="185" spans="1:42" x14ac:dyDescent="0.3">
      <c r="A185" t="s">
        <v>22</v>
      </c>
      <c r="B185">
        <v>1.8499989999999999</v>
      </c>
      <c r="C185" t="s">
        <v>23</v>
      </c>
      <c r="D185">
        <v>1.0378810000000001</v>
      </c>
      <c r="E185" t="s">
        <v>24</v>
      </c>
      <c r="F185">
        <v>1.1204780000000001</v>
      </c>
      <c r="G185" t="s">
        <v>25</v>
      </c>
      <c r="H185">
        <v>0.91616900000000001</v>
      </c>
      <c r="I185" t="s">
        <v>26</v>
      </c>
      <c r="J185">
        <v>5.8299999999999997E-4</v>
      </c>
      <c r="K185" t="s">
        <v>27</v>
      </c>
      <c r="L185">
        <v>2.3975E-2</v>
      </c>
      <c r="M185" t="s">
        <v>28</v>
      </c>
      <c r="N185">
        <v>1.9602000000000001E-2</v>
      </c>
      <c r="O185" t="s">
        <v>29</v>
      </c>
      <c r="P185">
        <v>-4.8179E-2</v>
      </c>
      <c r="Q185" t="s">
        <v>30</v>
      </c>
      <c r="R185">
        <v>-0.48716700000000002</v>
      </c>
      <c r="S185" t="s">
        <v>31</v>
      </c>
      <c r="T185">
        <v>0.59869000000000006</v>
      </c>
      <c r="U185" t="s">
        <v>32</v>
      </c>
      <c r="V185">
        <v>4.2118999999999997E-2</v>
      </c>
      <c r="W185" t="s">
        <v>33</v>
      </c>
      <c r="X185">
        <v>0.161936</v>
      </c>
      <c r="Y185" t="s">
        <v>34</v>
      </c>
      <c r="Z185">
        <v>0.104183</v>
      </c>
      <c r="AA185" t="s">
        <v>35</v>
      </c>
      <c r="AB185">
        <v>0.10574</v>
      </c>
      <c r="AC185" t="s">
        <v>36</v>
      </c>
      <c r="AD185">
        <v>0.27176099999999997</v>
      </c>
      <c r="AE185" t="s">
        <v>37</v>
      </c>
      <c r="AF185">
        <v>0.26155299999999998</v>
      </c>
      <c r="AG185" t="s">
        <v>38</v>
      </c>
      <c r="AH185">
        <v>0.96243599999999996</v>
      </c>
      <c r="AI185" t="s">
        <v>39</v>
      </c>
      <c r="AJ185">
        <v>0.76473599999999997</v>
      </c>
      <c r="AK185" t="s">
        <v>40</v>
      </c>
      <c r="AL185">
        <v>0.78449100000000005</v>
      </c>
      <c r="AM185" t="s">
        <v>41</v>
      </c>
      <c r="AN185">
        <v>24.093513000000002</v>
      </c>
      <c r="AO185" t="s">
        <v>42</v>
      </c>
      <c r="AP185">
        <v>13.653029</v>
      </c>
    </row>
    <row r="186" spans="1:42" x14ac:dyDescent="0.3">
      <c r="A186" t="s">
        <v>22</v>
      </c>
      <c r="B186">
        <v>1.859999</v>
      </c>
      <c r="C186" t="s">
        <v>23</v>
      </c>
      <c r="D186">
        <v>1.0377369999999999</v>
      </c>
      <c r="E186" t="s">
        <v>24</v>
      </c>
      <c r="F186">
        <v>1.1196759999999999</v>
      </c>
      <c r="G186" t="s">
        <v>25</v>
      </c>
      <c r="H186">
        <v>0.91616900000000001</v>
      </c>
      <c r="I186" t="s">
        <v>26</v>
      </c>
      <c r="J186">
        <v>5.7899999999999998E-4</v>
      </c>
      <c r="K186" t="s">
        <v>27</v>
      </c>
      <c r="L186">
        <v>2.3956999999999999E-2</v>
      </c>
      <c r="M186" t="s">
        <v>28</v>
      </c>
      <c r="N186">
        <v>1.9602000000000001E-2</v>
      </c>
      <c r="O186" t="s">
        <v>29</v>
      </c>
      <c r="P186">
        <v>-4.7417000000000001E-2</v>
      </c>
      <c r="Q186" t="s">
        <v>30</v>
      </c>
      <c r="R186">
        <v>-0.48290699999999998</v>
      </c>
      <c r="S186" t="s">
        <v>31</v>
      </c>
      <c r="T186">
        <v>0.59869000000000006</v>
      </c>
      <c r="U186" t="s">
        <v>32</v>
      </c>
      <c r="V186">
        <v>4.1947999999999999E-2</v>
      </c>
      <c r="W186" t="s">
        <v>33</v>
      </c>
      <c r="X186">
        <v>0.16201399999999999</v>
      </c>
      <c r="Y186" t="s">
        <v>34</v>
      </c>
      <c r="Z186">
        <v>0.104183</v>
      </c>
      <c r="AA186" t="s">
        <v>35</v>
      </c>
      <c r="AB186">
        <v>0.105311</v>
      </c>
      <c r="AC186" t="s">
        <v>36</v>
      </c>
      <c r="AD186">
        <v>0.27168300000000001</v>
      </c>
      <c r="AE186" t="s">
        <v>37</v>
      </c>
      <c r="AF186">
        <v>0.26155299999999998</v>
      </c>
      <c r="AG186" t="s">
        <v>38</v>
      </c>
      <c r="AH186">
        <v>0.96271399999999996</v>
      </c>
      <c r="AI186" t="s">
        <v>39</v>
      </c>
      <c r="AJ186">
        <v>0.76489200000000002</v>
      </c>
      <c r="AK186" t="s">
        <v>40</v>
      </c>
      <c r="AL186">
        <v>0.78449100000000005</v>
      </c>
      <c r="AM186" t="s">
        <v>41</v>
      </c>
      <c r="AN186">
        <v>24.223746999999999</v>
      </c>
      <c r="AO186" t="s">
        <v>42</v>
      </c>
      <c r="AP186">
        <v>13.718904</v>
      </c>
    </row>
    <row r="187" spans="1:42" x14ac:dyDescent="0.3">
      <c r="A187" t="s">
        <v>22</v>
      </c>
      <c r="B187">
        <v>1.869999</v>
      </c>
      <c r="C187" t="s">
        <v>23</v>
      </c>
      <c r="D187">
        <v>1.0375920000000001</v>
      </c>
      <c r="E187" t="s">
        <v>24</v>
      </c>
      <c r="F187">
        <v>1.118881</v>
      </c>
      <c r="G187" t="s">
        <v>25</v>
      </c>
      <c r="H187">
        <v>0.91616900000000001</v>
      </c>
      <c r="I187" t="s">
        <v>26</v>
      </c>
      <c r="J187">
        <v>5.7499999999999999E-4</v>
      </c>
      <c r="K187" t="s">
        <v>27</v>
      </c>
      <c r="L187">
        <v>2.3939999999999999E-2</v>
      </c>
      <c r="M187" t="s">
        <v>28</v>
      </c>
      <c r="N187">
        <v>1.9602000000000001E-2</v>
      </c>
      <c r="O187" t="s">
        <v>29</v>
      </c>
      <c r="P187">
        <v>-4.6648000000000002E-2</v>
      </c>
      <c r="Q187" t="s">
        <v>30</v>
      </c>
      <c r="R187">
        <v>-0.47867700000000002</v>
      </c>
      <c r="S187" t="s">
        <v>31</v>
      </c>
      <c r="T187">
        <v>0.59869000000000006</v>
      </c>
      <c r="U187" t="s">
        <v>32</v>
      </c>
      <c r="V187">
        <v>4.1778000000000003E-2</v>
      </c>
      <c r="W187" t="s">
        <v>33</v>
      </c>
      <c r="X187">
        <v>0.16209100000000001</v>
      </c>
      <c r="Y187" t="s">
        <v>34</v>
      </c>
      <c r="Z187">
        <v>0.104183</v>
      </c>
      <c r="AA187" t="s">
        <v>35</v>
      </c>
      <c r="AB187">
        <v>0.10488400000000001</v>
      </c>
      <c r="AC187" t="s">
        <v>36</v>
      </c>
      <c r="AD187">
        <v>0.27160499999999999</v>
      </c>
      <c r="AE187" t="s">
        <v>37</v>
      </c>
      <c r="AF187">
        <v>0.26155299999999998</v>
      </c>
      <c r="AG187" t="s">
        <v>38</v>
      </c>
      <c r="AH187">
        <v>0.96299000000000001</v>
      </c>
      <c r="AI187" t="s">
        <v>39</v>
      </c>
      <c r="AJ187">
        <v>0.76504700000000003</v>
      </c>
      <c r="AK187" t="s">
        <v>40</v>
      </c>
      <c r="AL187">
        <v>0.78449100000000005</v>
      </c>
      <c r="AM187" t="s">
        <v>41</v>
      </c>
      <c r="AN187">
        <v>24.353982999999999</v>
      </c>
      <c r="AO187" t="s">
        <v>42</v>
      </c>
      <c r="AP187">
        <v>13.784782</v>
      </c>
    </row>
    <row r="188" spans="1:42" x14ac:dyDescent="0.3">
      <c r="A188" t="s">
        <v>22</v>
      </c>
      <c r="B188">
        <v>1.879999</v>
      </c>
      <c r="C188" t="s">
        <v>23</v>
      </c>
      <c r="D188">
        <v>1.0374460000000001</v>
      </c>
      <c r="E188" t="s">
        <v>24</v>
      </c>
      <c r="F188">
        <v>1.11809</v>
      </c>
      <c r="G188" t="s">
        <v>25</v>
      </c>
      <c r="H188">
        <v>0.91616900000000001</v>
      </c>
      <c r="I188" t="s">
        <v>26</v>
      </c>
      <c r="J188">
        <v>5.71E-4</v>
      </c>
      <c r="K188" t="s">
        <v>27</v>
      </c>
      <c r="L188">
        <v>2.3923E-2</v>
      </c>
      <c r="M188" t="s">
        <v>28</v>
      </c>
      <c r="N188">
        <v>1.9602000000000001E-2</v>
      </c>
      <c r="O188" t="s">
        <v>29</v>
      </c>
      <c r="P188">
        <v>-4.5869E-2</v>
      </c>
      <c r="Q188" t="s">
        <v>30</v>
      </c>
      <c r="R188">
        <v>-0.47447699999999998</v>
      </c>
      <c r="S188" t="s">
        <v>31</v>
      </c>
      <c r="T188">
        <v>0.59869000000000006</v>
      </c>
      <c r="U188" t="s">
        <v>32</v>
      </c>
      <c r="V188">
        <v>4.1609E-2</v>
      </c>
      <c r="W188" t="s">
        <v>33</v>
      </c>
      <c r="X188">
        <v>0.16216900000000001</v>
      </c>
      <c r="Y188" t="s">
        <v>34</v>
      </c>
      <c r="Z188">
        <v>0.104183</v>
      </c>
      <c r="AA188" t="s">
        <v>35</v>
      </c>
      <c r="AB188">
        <v>0.10446</v>
      </c>
      <c r="AC188" t="s">
        <v>36</v>
      </c>
      <c r="AD188">
        <v>0.27152799999999999</v>
      </c>
      <c r="AE188" t="s">
        <v>37</v>
      </c>
      <c r="AF188">
        <v>0.26155299999999998</v>
      </c>
      <c r="AG188" t="s">
        <v>38</v>
      </c>
      <c r="AH188">
        <v>0.96326199999999995</v>
      </c>
      <c r="AI188" t="s">
        <v>39</v>
      </c>
      <c r="AJ188">
        <v>0.76519999999999999</v>
      </c>
      <c r="AK188" t="s">
        <v>40</v>
      </c>
      <c r="AL188">
        <v>0.78449100000000005</v>
      </c>
      <c r="AM188" t="s">
        <v>41</v>
      </c>
      <c r="AN188">
        <v>24.484219</v>
      </c>
      <c r="AO188" t="s">
        <v>42</v>
      </c>
      <c r="AP188">
        <v>13.850663000000001</v>
      </c>
    </row>
    <row r="189" spans="1:42" x14ac:dyDescent="0.3">
      <c r="A189" t="s">
        <v>22</v>
      </c>
      <c r="B189">
        <v>1.889999</v>
      </c>
      <c r="C189" t="s">
        <v>23</v>
      </c>
      <c r="D189">
        <v>1.0372980000000001</v>
      </c>
      <c r="E189" t="s">
        <v>24</v>
      </c>
      <c r="F189">
        <v>1.1173059999999999</v>
      </c>
      <c r="G189" t="s">
        <v>25</v>
      </c>
      <c r="H189">
        <v>0.91616900000000001</v>
      </c>
      <c r="I189" t="s">
        <v>26</v>
      </c>
      <c r="J189">
        <v>5.6700000000000001E-4</v>
      </c>
      <c r="K189" t="s">
        <v>27</v>
      </c>
      <c r="L189">
        <v>2.3907000000000001E-2</v>
      </c>
      <c r="M189" t="s">
        <v>28</v>
      </c>
      <c r="N189">
        <v>1.9602000000000001E-2</v>
      </c>
      <c r="O189" t="s">
        <v>29</v>
      </c>
      <c r="P189">
        <v>-4.5085E-2</v>
      </c>
      <c r="Q189" t="s">
        <v>30</v>
      </c>
      <c r="R189">
        <v>-0.47030899999999998</v>
      </c>
      <c r="S189" t="s">
        <v>31</v>
      </c>
      <c r="T189">
        <v>0.59869000000000006</v>
      </c>
      <c r="U189" t="s">
        <v>32</v>
      </c>
      <c r="V189">
        <v>4.1442E-2</v>
      </c>
      <c r="W189" t="s">
        <v>33</v>
      </c>
      <c r="X189">
        <v>0.162248</v>
      </c>
      <c r="Y189" t="s">
        <v>34</v>
      </c>
      <c r="Z189">
        <v>0.104183</v>
      </c>
      <c r="AA189" t="s">
        <v>35</v>
      </c>
      <c r="AB189">
        <v>0.10403999999999999</v>
      </c>
      <c r="AC189" t="s">
        <v>36</v>
      </c>
      <c r="AD189">
        <v>0.27145200000000003</v>
      </c>
      <c r="AE189" t="s">
        <v>37</v>
      </c>
      <c r="AF189">
        <v>0.26155299999999998</v>
      </c>
      <c r="AG189" t="s">
        <v>38</v>
      </c>
      <c r="AH189">
        <v>0.96353100000000003</v>
      </c>
      <c r="AI189" t="s">
        <v>39</v>
      </c>
      <c r="AJ189">
        <v>0.76535200000000003</v>
      </c>
      <c r="AK189" t="s">
        <v>40</v>
      </c>
      <c r="AL189">
        <v>0.78449100000000005</v>
      </c>
      <c r="AM189" t="s">
        <v>41</v>
      </c>
      <c r="AN189">
        <v>24.614453999999999</v>
      </c>
      <c r="AO189" t="s">
        <v>42</v>
      </c>
      <c r="AP189">
        <v>13.916550000000001</v>
      </c>
    </row>
    <row r="190" spans="1:42" x14ac:dyDescent="0.3">
      <c r="A190" t="s">
        <v>22</v>
      </c>
      <c r="B190">
        <v>1.899999</v>
      </c>
      <c r="C190" t="s">
        <v>23</v>
      </c>
      <c r="D190">
        <v>1.0371490000000001</v>
      </c>
      <c r="E190" t="s">
        <v>24</v>
      </c>
      <c r="F190">
        <v>1.116527</v>
      </c>
      <c r="G190" t="s">
        <v>25</v>
      </c>
      <c r="H190">
        <v>0.91616900000000001</v>
      </c>
      <c r="I190" t="s">
        <v>26</v>
      </c>
      <c r="J190">
        <v>5.6300000000000002E-4</v>
      </c>
      <c r="K190" t="s">
        <v>27</v>
      </c>
      <c r="L190">
        <v>2.3890000000000002E-2</v>
      </c>
      <c r="M190" t="s">
        <v>28</v>
      </c>
      <c r="N190">
        <v>1.9602000000000001E-2</v>
      </c>
      <c r="O190" t="s">
        <v>29</v>
      </c>
      <c r="P190">
        <v>-4.4292999999999999E-2</v>
      </c>
      <c r="Q190" t="s">
        <v>30</v>
      </c>
      <c r="R190">
        <v>-0.466169</v>
      </c>
      <c r="S190" t="s">
        <v>31</v>
      </c>
      <c r="T190">
        <v>0.59869000000000006</v>
      </c>
      <c r="U190" t="s">
        <v>32</v>
      </c>
      <c r="V190">
        <v>4.1274999999999999E-2</v>
      </c>
      <c r="W190" t="s">
        <v>33</v>
      </c>
      <c r="X190">
        <v>0.162327</v>
      </c>
      <c r="Y190" t="s">
        <v>34</v>
      </c>
      <c r="Z190">
        <v>0.104183</v>
      </c>
      <c r="AA190" t="s">
        <v>35</v>
      </c>
      <c r="AB190">
        <v>0.10362200000000001</v>
      </c>
      <c r="AC190" t="s">
        <v>36</v>
      </c>
      <c r="AD190">
        <v>0.27137800000000001</v>
      </c>
      <c r="AE190" t="s">
        <v>37</v>
      </c>
      <c r="AF190">
        <v>0.26155299999999998</v>
      </c>
      <c r="AG190" t="s">
        <v>38</v>
      </c>
      <c r="AH190">
        <v>0.96379800000000004</v>
      </c>
      <c r="AI190" t="s">
        <v>39</v>
      </c>
      <c r="AJ190">
        <v>0.76550099999999999</v>
      </c>
      <c r="AK190" t="s">
        <v>40</v>
      </c>
      <c r="AL190">
        <v>0.78449100000000005</v>
      </c>
      <c r="AM190" t="s">
        <v>41</v>
      </c>
      <c r="AN190">
        <v>24.744688</v>
      </c>
      <c r="AO190" t="s">
        <v>42</v>
      </c>
      <c r="AP190">
        <v>13.982438999999999</v>
      </c>
    </row>
    <row r="191" spans="1:42" x14ac:dyDescent="0.3">
      <c r="A191" t="s">
        <v>22</v>
      </c>
      <c r="B191">
        <v>1.909999</v>
      </c>
      <c r="C191" t="s">
        <v>23</v>
      </c>
      <c r="D191">
        <v>1.036999</v>
      </c>
      <c r="E191" t="s">
        <v>24</v>
      </c>
      <c r="F191">
        <v>1.1157539999999999</v>
      </c>
      <c r="G191" t="s">
        <v>25</v>
      </c>
      <c r="H191">
        <v>0.91616900000000001</v>
      </c>
      <c r="I191" t="s">
        <v>26</v>
      </c>
      <c r="J191">
        <v>5.5999999999999995E-4</v>
      </c>
      <c r="K191" t="s">
        <v>27</v>
      </c>
      <c r="L191">
        <v>2.3872999999999998E-2</v>
      </c>
      <c r="M191" t="s">
        <v>28</v>
      </c>
      <c r="N191">
        <v>1.9602000000000001E-2</v>
      </c>
      <c r="O191" t="s">
        <v>29</v>
      </c>
      <c r="P191">
        <v>-4.3494999999999999E-2</v>
      </c>
      <c r="Q191" t="s">
        <v>30</v>
      </c>
      <c r="R191">
        <v>-0.46206000000000003</v>
      </c>
      <c r="S191" t="s">
        <v>31</v>
      </c>
      <c r="T191">
        <v>0.59869000000000006</v>
      </c>
      <c r="U191" t="s">
        <v>32</v>
      </c>
      <c r="V191">
        <v>4.1110000000000001E-2</v>
      </c>
      <c r="W191" t="s">
        <v>33</v>
      </c>
      <c r="X191">
        <v>0.162407</v>
      </c>
      <c r="Y191" t="s">
        <v>34</v>
      </c>
      <c r="Z191">
        <v>0.104183</v>
      </c>
      <c r="AA191" t="s">
        <v>35</v>
      </c>
      <c r="AB191">
        <v>0.10320699999999999</v>
      </c>
      <c r="AC191" t="s">
        <v>36</v>
      </c>
      <c r="AD191">
        <v>0.27130300000000002</v>
      </c>
      <c r="AE191" t="s">
        <v>37</v>
      </c>
      <c r="AF191">
        <v>0.26155299999999998</v>
      </c>
      <c r="AG191" t="s">
        <v>38</v>
      </c>
      <c r="AH191">
        <v>0.96406199999999997</v>
      </c>
      <c r="AI191" t="s">
        <v>39</v>
      </c>
      <c r="AJ191">
        <v>0.76565000000000005</v>
      </c>
      <c r="AK191" t="s">
        <v>40</v>
      </c>
      <c r="AL191">
        <v>0.78449100000000005</v>
      </c>
      <c r="AM191" t="s">
        <v>41</v>
      </c>
      <c r="AN191">
        <v>24.874924</v>
      </c>
      <c r="AO191" t="s">
        <v>42</v>
      </c>
      <c r="AP191">
        <v>14.048334000000001</v>
      </c>
    </row>
    <row r="192" spans="1:42" x14ac:dyDescent="0.3">
      <c r="A192" t="s">
        <v>22</v>
      </c>
      <c r="B192">
        <v>1.919999</v>
      </c>
      <c r="C192" t="s">
        <v>23</v>
      </c>
      <c r="D192">
        <v>1.0368470000000001</v>
      </c>
      <c r="E192" t="s">
        <v>24</v>
      </c>
      <c r="F192">
        <v>1.114986</v>
      </c>
      <c r="G192" t="s">
        <v>25</v>
      </c>
      <c r="H192">
        <v>0.91616900000000001</v>
      </c>
      <c r="I192" t="s">
        <v>26</v>
      </c>
      <c r="J192">
        <v>5.5599999999999996E-4</v>
      </c>
      <c r="K192" t="s">
        <v>27</v>
      </c>
      <c r="L192">
        <v>2.3857E-2</v>
      </c>
      <c r="M192" t="s">
        <v>28</v>
      </c>
      <c r="N192">
        <v>1.9602000000000001E-2</v>
      </c>
      <c r="O192" t="s">
        <v>29</v>
      </c>
      <c r="P192">
        <v>-4.2687000000000003E-2</v>
      </c>
      <c r="Q192" t="s">
        <v>30</v>
      </c>
      <c r="R192">
        <v>-0.45797900000000002</v>
      </c>
      <c r="S192" t="s">
        <v>31</v>
      </c>
      <c r="T192">
        <v>0.59869000000000006</v>
      </c>
      <c r="U192" t="s">
        <v>32</v>
      </c>
      <c r="V192">
        <v>4.0946000000000003E-2</v>
      </c>
      <c r="W192" t="s">
        <v>33</v>
      </c>
      <c r="X192">
        <v>0.16248699999999999</v>
      </c>
      <c r="Y192" t="s">
        <v>34</v>
      </c>
      <c r="Z192">
        <v>0.104183</v>
      </c>
      <c r="AA192" t="s">
        <v>35</v>
      </c>
      <c r="AB192">
        <v>0.102795</v>
      </c>
      <c r="AC192" t="s">
        <v>36</v>
      </c>
      <c r="AD192">
        <v>0.27123000000000003</v>
      </c>
      <c r="AE192" t="s">
        <v>37</v>
      </c>
      <c r="AF192">
        <v>0.26155299999999998</v>
      </c>
      <c r="AG192" t="s">
        <v>38</v>
      </c>
      <c r="AH192">
        <v>0.96432300000000004</v>
      </c>
      <c r="AI192" t="s">
        <v>39</v>
      </c>
      <c r="AJ192">
        <v>0.765795</v>
      </c>
      <c r="AK192" t="s">
        <v>40</v>
      </c>
      <c r="AL192">
        <v>0.78449100000000005</v>
      </c>
      <c r="AM192" t="s">
        <v>41</v>
      </c>
      <c r="AN192">
        <v>25.005158999999999</v>
      </c>
      <c r="AO192" t="s">
        <v>42</v>
      </c>
      <c r="AP192">
        <v>14.114231</v>
      </c>
    </row>
    <row r="193" spans="1:42" x14ac:dyDescent="0.3">
      <c r="A193" t="s">
        <v>22</v>
      </c>
      <c r="B193">
        <v>1.929999</v>
      </c>
      <c r="C193" t="s">
        <v>23</v>
      </c>
      <c r="D193">
        <v>1.0366949999999999</v>
      </c>
      <c r="E193" t="s">
        <v>24</v>
      </c>
      <c r="F193">
        <v>1.1142240000000001</v>
      </c>
      <c r="G193" t="s">
        <v>25</v>
      </c>
      <c r="H193">
        <v>0.91616900000000001</v>
      </c>
      <c r="I193" t="s">
        <v>26</v>
      </c>
      <c r="J193">
        <v>5.5199999999999997E-4</v>
      </c>
      <c r="K193" t="s">
        <v>27</v>
      </c>
      <c r="L193">
        <v>2.3841000000000001E-2</v>
      </c>
      <c r="M193" t="s">
        <v>28</v>
      </c>
      <c r="N193">
        <v>1.9602000000000001E-2</v>
      </c>
      <c r="O193" t="s">
        <v>29</v>
      </c>
      <c r="P193">
        <v>-4.1876999999999998E-2</v>
      </c>
      <c r="Q193" t="s">
        <v>30</v>
      </c>
      <c r="R193">
        <v>-0.45392900000000003</v>
      </c>
      <c r="S193" t="s">
        <v>31</v>
      </c>
      <c r="T193">
        <v>0.59869000000000006</v>
      </c>
      <c r="U193" t="s">
        <v>32</v>
      </c>
      <c r="V193">
        <v>4.0783E-2</v>
      </c>
      <c r="W193" t="s">
        <v>33</v>
      </c>
      <c r="X193">
        <v>0.16256799999999999</v>
      </c>
      <c r="Y193" t="s">
        <v>34</v>
      </c>
      <c r="Z193">
        <v>0.104183</v>
      </c>
      <c r="AA193" t="s">
        <v>35</v>
      </c>
      <c r="AB193">
        <v>0.102386</v>
      </c>
      <c r="AC193" t="s">
        <v>36</v>
      </c>
      <c r="AD193">
        <v>0.27115699999999998</v>
      </c>
      <c r="AE193" t="s">
        <v>37</v>
      </c>
      <c r="AF193">
        <v>0.26155299999999998</v>
      </c>
      <c r="AG193" t="s">
        <v>38</v>
      </c>
      <c r="AH193">
        <v>0.96458200000000005</v>
      </c>
      <c r="AI193" t="s">
        <v>39</v>
      </c>
      <c r="AJ193">
        <v>0.76594099999999998</v>
      </c>
      <c r="AK193" t="s">
        <v>40</v>
      </c>
      <c r="AL193">
        <v>0.78449100000000005</v>
      </c>
      <c r="AM193" t="s">
        <v>41</v>
      </c>
      <c r="AN193">
        <v>25.135394999999999</v>
      </c>
      <c r="AO193" t="s">
        <v>42</v>
      </c>
      <c r="AP193">
        <v>14.180133</v>
      </c>
    </row>
    <row r="194" spans="1:42" x14ac:dyDescent="0.3">
      <c r="A194" t="s">
        <v>22</v>
      </c>
      <c r="B194">
        <v>1.939999</v>
      </c>
      <c r="C194" t="s">
        <v>23</v>
      </c>
      <c r="D194">
        <v>1.0365409999999999</v>
      </c>
      <c r="E194" t="s">
        <v>24</v>
      </c>
      <c r="F194">
        <v>1.113467</v>
      </c>
      <c r="G194" t="s">
        <v>25</v>
      </c>
      <c r="H194">
        <v>0.91616900000000001</v>
      </c>
      <c r="I194" t="s">
        <v>26</v>
      </c>
      <c r="J194">
        <v>5.4900000000000001E-4</v>
      </c>
      <c r="K194" t="s">
        <v>27</v>
      </c>
      <c r="L194">
        <v>2.3824999999999999E-2</v>
      </c>
      <c r="M194" t="s">
        <v>28</v>
      </c>
      <c r="N194">
        <v>1.9602000000000001E-2</v>
      </c>
      <c r="O194" t="s">
        <v>29</v>
      </c>
      <c r="P194">
        <v>-4.1057999999999997E-2</v>
      </c>
      <c r="Q194" t="s">
        <v>30</v>
      </c>
      <c r="R194">
        <v>-0.449907</v>
      </c>
      <c r="S194" t="s">
        <v>31</v>
      </c>
      <c r="T194">
        <v>0.59869000000000006</v>
      </c>
      <c r="U194" t="s">
        <v>32</v>
      </c>
      <c r="V194">
        <v>4.0620999999999997E-2</v>
      </c>
      <c r="W194" t="s">
        <v>33</v>
      </c>
      <c r="X194">
        <v>0.16264899999999999</v>
      </c>
      <c r="Y194" t="s">
        <v>34</v>
      </c>
      <c r="Z194">
        <v>0.104183</v>
      </c>
      <c r="AA194" t="s">
        <v>35</v>
      </c>
      <c r="AB194">
        <v>0.10198</v>
      </c>
      <c r="AC194" t="s">
        <v>36</v>
      </c>
      <c r="AD194">
        <v>0.27108500000000002</v>
      </c>
      <c r="AE194" t="s">
        <v>37</v>
      </c>
      <c r="AF194">
        <v>0.26155299999999998</v>
      </c>
      <c r="AG194" t="s">
        <v>38</v>
      </c>
      <c r="AH194">
        <v>0.96483799999999997</v>
      </c>
      <c r="AI194" t="s">
        <v>39</v>
      </c>
      <c r="AJ194">
        <v>0.76608299999999996</v>
      </c>
      <c r="AK194" t="s">
        <v>40</v>
      </c>
      <c r="AL194">
        <v>0.78449100000000005</v>
      </c>
      <c r="AM194" t="s">
        <v>41</v>
      </c>
      <c r="AN194">
        <v>25.265629000000001</v>
      </c>
      <c r="AO194" t="s">
        <v>42</v>
      </c>
      <c r="AP194">
        <v>14.246041</v>
      </c>
    </row>
    <row r="195" spans="1:42" x14ac:dyDescent="0.3">
      <c r="A195" t="s">
        <v>22</v>
      </c>
      <c r="B195">
        <v>1.9499979999999999</v>
      </c>
      <c r="C195" t="s">
        <v>23</v>
      </c>
      <c r="D195">
        <v>1.036386</v>
      </c>
      <c r="E195" t="s">
        <v>24</v>
      </c>
      <c r="F195">
        <v>1.112716</v>
      </c>
      <c r="G195" t="s">
        <v>25</v>
      </c>
      <c r="H195">
        <v>0.91616900000000001</v>
      </c>
      <c r="I195" t="s">
        <v>26</v>
      </c>
      <c r="J195">
        <v>5.4500000000000002E-4</v>
      </c>
      <c r="K195" t="s">
        <v>27</v>
      </c>
      <c r="L195">
        <v>2.3807999999999999E-2</v>
      </c>
      <c r="M195" t="s">
        <v>28</v>
      </c>
      <c r="N195">
        <v>1.9602000000000001E-2</v>
      </c>
      <c r="O195" t="s">
        <v>29</v>
      </c>
      <c r="P195">
        <v>-4.0235E-2</v>
      </c>
      <c r="Q195" t="s">
        <v>30</v>
      </c>
      <c r="R195">
        <v>-0.44591399999999998</v>
      </c>
      <c r="S195" t="s">
        <v>31</v>
      </c>
      <c r="T195">
        <v>0.59869000000000006</v>
      </c>
      <c r="U195" t="s">
        <v>32</v>
      </c>
      <c r="V195">
        <v>4.0460000000000003E-2</v>
      </c>
      <c r="W195" t="s">
        <v>33</v>
      </c>
      <c r="X195">
        <v>0.16273000000000001</v>
      </c>
      <c r="Y195" t="s">
        <v>34</v>
      </c>
      <c r="Z195">
        <v>0.104183</v>
      </c>
      <c r="AA195" t="s">
        <v>35</v>
      </c>
      <c r="AB195">
        <v>0.101576</v>
      </c>
      <c r="AC195" t="s">
        <v>36</v>
      </c>
      <c r="AD195">
        <v>0.27101399999999998</v>
      </c>
      <c r="AE195" t="s">
        <v>37</v>
      </c>
      <c r="AF195">
        <v>0.26155299999999998</v>
      </c>
      <c r="AG195" t="s">
        <v>38</v>
      </c>
      <c r="AH195">
        <v>0.96509199999999995</v>
      </c>
      <c r="AI195" t="s">
        <v>39</v>
      </c>
      <c r="AJ195">
        <v>0.76622500000000004</v>
      </c>
      <c r="AK195" t="s">
        <v>40</v>
      </c>
      <c r="AL195">
        <v>0.78449100000000005</v>
      </c>
      <c r="AM195" t="s">
        <v>41</v>
      </c>
      <c r="AN195">
        <v>25.395864</v>
      </c>
      <c r="AO195" t="s">
        <v>42</v>
      </c>
      <c r="AP195">
        <v>14.311954</v>
      </c>
    </row>
    <row r="196" spans="1:42" x14ac:dyDescent="0.3">
      <c r="A196" t="s">
        <v>22</v>
      </c>
      <c r="B196">
        <v>1.9599979999999999</v>
      </c>
      <c r="C196" t="s">
        <v>23</v>
      </c>
      <c r="D196">
        <v>1.0362290000000001</v>
      </c>
      <c r="E196" t="s">
        <v>24</v>
      </c>
      <c r="F196">
        <v>1.1119699999999999</v>
      </c>
      <c r="G196" t="s">
        <v>25</v>
      </c>
      <c r="H196">
        <v>0.91616900000000001</v>
      </c>
      <c r="I196" t="s">
        <v>26</v>
      </c>
      <c r="J196">
        <v>5.4199999999999995E-4</v>
      </c>
      <c r="K196" t="s">
        <v>27</v>
      </c>
      <c r="L196">
        <v>2.3792000000000001E-2</v>
      </c>
      <c r="M196" t="s">
        <v>28</v>
      </c>
      <c r="N196">
        <v>1.9602000000000001E-2</v>
      </c>
      <c r="O196" t="s">
        <v>29</v>
      </c>
      <c r="P196">
        <v>-3.9403000000000001E-2</v>
      </c>
      <c r="Q196" t="s">
        <v>30</v>
      </c>
      <c r="R196">
        <v>-0.44194699999999998</v>
      </c>
      <c r="S196" t="s">
        <v>31</v>
      </c>
      <c r="T196">
        <v>0.59869000000000006</v>
      </c>
      <c r="U196" t="s">
        <v>32</v>
      </c>
      <c r="V196">
        <v>4.0300999999999997E-2</v>
      </c>
      <c r="W196" t="s">
        <v>33</v>
      </c>
      <c r="X196">
        <v>0.16281300000000001</v>
      </c>
      <c r="Y196" t="s">
        <v>34</v>
      </c>
      <c r="Z196">
        <v>0.104183</v>
      </c>
      <c r="AA196" t="s">
        <v>35</v>
      </c>
      <c r="AB196">
        <v>0.101175</v>
      </c>
      <c r="AC196" t="s">
        <v>36</v>
      </c>
      <c r="AD196">
        <v>0.27094299999999999</v>
      </c>
      <c r="AE196" t="s">
        <v>37</v>
      </c>
      <c r="AF196">
        <v>0.26155299999999998</v>
      </c>
      <c r="AG196" t="s">
        <v>38</v>
      </c>
      <c r="AH196">
        <v>0.96534200000000003</v>
      </c>
      <c r="AI196" t="s">
        <v>39</v>
      </c>
      <c r="AJ196">
        <v>0.76636499999999996</v>
      </c>
      <c r="AK196" t="s">
        <v>40</v>
      </c>
      <c r="AL196">
        <v>0.78449100000000005</v>
      </c>
      <c r="AM196" t="s">
        <v>41</v>
      </c>
      <c r="AN196">
        <v>25.5261</v>
      </c>
      <c r="AO196" t="s">
        <v>42</v>
      </c>
      <c r="AP196">
        <v>14.377869</v>
      </c>
    </row>
    <row r="197" spans="1:42" x14ac:dyDescent="0.3">
      <c r="A197" t="s">
        <v>22</v>
      </c>
      <c r="B197">
        <v>1.9699979999999999</v>
      </c>
      <c r="C197" t="s">
        <v>23</v>
      </c>
      <c r="D197">
        <v>1.0360720000000001</v>
      </c>
      <c r="E197" t="s">
        <v>24</v>
      </c>
      <c r="F197">
        <v>1.111229</v>
      </c>
      <c r="G197" t="s">
        <v>25</v>
      </c>
      <c r="H197">
        <v>0.91616900000000001</v>
      </c>
      <c r="I197" t="s">
        <v>26</v>
      </c>
      <c r="J197">
        <v>5.3799999999999996E-4</v>
      </c>
      <c r="K197" t="s">
        <v>27</v>
      </c>
      <c r="L197">
        <v>2.3777E-2</v>
      </c>
      <c r="M197" t="s">
        <v>28</v>
      </c>
      <c r="N197">
        <v>1.9602000000000001E-2</v>
      </c>
      <c r="O197" t="s">
        <v>29</v>
      </c>
      <c r="P197">
        <v>-3.8566999999999997E-2</v>
      </c>
      <c r="Q197" t="s">
        <v>30</v>
      </c>
      <c r="R197">
        <v>-0.43801000000000001</v>
      </c>
      <c r="S197" t="s">
        <v>31</v>
      </c>
      <c r="T197">
        <v>0.59869000000000006</v>
      </c>
      <c r="U197" t="s">
        <v>32</v>
      </c>
      <c r="V197">
        <v>4.0141999999999997E-2</v>
      </c>
      <c r="W197" t="s">
        <v>33</v>
      </c>
      <c r="X197">
        <v>0.16289500000000001</v>
      </c>
      <c r="Y197" t="s">
        <v>34</v>
      </c>
      <c r="Z197">
        <v>0.104183</v>
      </c>
      <c r="AA197" t="s">
        <v>35</v>
      </c>
      <c r="AB197">
        <v>0.10077700000000001</v>
      </c>
      <c r="AC197" t="s">
        <v>36</v>
      </c>
      <c r="AD197">
        <v>0.270874</v>
      </c>
      <c r="AE197" t="s">
        <v>37</v>
      </c>
      <c r="AF197">
        <v>0.26155299999999998</v>
      </c>
      <c r="AG197" t="s">
        <v>38</v>
      </c>
      <c r="AH197">
        <v>0.96559099999999998</v>
      </c>
      <c r="AI197" t="s">
        <v>39</v>
      </c>
      <c r="AJ197">
        <v>0.76650300000000005</v>
      </c>
      <c r="AK197" t="s">
        <v>40</v>
      </c>
      <c r="AL197">
        <v>0.78449100000000005</v>
      </c>
      <c r="AM197" t="s">
        <v>41</v>
      </c>
      <c r="AN197">
        <v>25.656336</v>
      </c>
      <c r="AO197" t="s">
        <v>42</v>
      </c>
      <c r="AP197">
        <v>14.443792</v>
      </c>
    </row>
    <row r="198" spans="1:42" x14ac:dyDescent="0.3">
      <c r="A198" t="s">
        <v>22</v>
      </c>
      <c r="B198">
        <v>1.9799979999999999</v>
      </c>
      <c r="C198" t="s">
        <v>23</v>
      </c>
      <c r="D198">
        <v>1.0359130000000001</v>
      </c>
      <c r="E198" t="s">
        <v>24</v>
      </c>
      <c r="F198">
        <v>1.110493</v>
      </c>
      <c r="G198" t="s">
        <v>25</v>
      </c>
      <c r="H198">
        <v>0.91616900000000001</v>
      </c>
      <c r="I198" t="s">
        <v>26</v>
      </c>
      <c r="J198">
        <v>5.3499999999999999E-4</v>
      </c>
      <c r="K198" t="s">
        <v>27</v>
      </c>
      <c r="L198">
        <v>2.3761000000000001E-2</v>
      </c>
      <c r="M198" t="s">
        <v>28</v>
      </c>
      <c r="N198">
        <v>1.9602000000000001E-2</v>
      </c>
      <c r="O198" t="s">
        <v>29</v>
      </c>
      <c r="P198">
        <v>-3.7725000000000002E-2</v>
      </c>
      <c r="Q198" t="s">
        <v>30</v>
      </c>
      <c r="R198">
        <v>-0.43410100000000001</v>
      </c>
      <c r="S198" t="s">
        <v>31</v>
      </c>
      <c r="T198">
        <v>0.59869000000000006</v>
      </c>
      <c r="U198" t="s">
        <v>32</v>
      </c>
      <c r="V198">
        <v>3.9985E-2</v>
      </c>
      <c r="W198" t="s">
        <v>33</v>
      </c>
      <c r="X198">
        <v>0.16297800000000001</v>
      </c>
      <c r="Y198" t="s">
        <v>34</v>
      </c>
      <c r="Z198">
        <v>0.104183</v>
      </c>
      <c r="AA198" t="s">
        <v>35</v>
      </c>
      <c r="AB198">
        <v>0.100382</v>
      </c>
      <c r="AC198" t="s">
        <v>36</v>
      </c>
      <c r="AD198">
        <v>0.27080500000000002</v>
      </c>
      <c r="AE198" t="s">
        <v>37</v>
      </c>
      <c r="AF198">
        <v>0.26155299999999998</v>
      </c>
      <c r="AG198" t="s">
        <v>38</v>
      </c>
      <c r="AH198">
        <v>0.96583699999999995</v>
      </c>
      <c r="AI198" t="s">
        <v>39</v>
      </c>
      <c r="AJ198">
        <v>0.76664100000000002</v>
      </c>
      <c r="AK198" t="s">
        <v>40</v>
      </c>
      <c r="AL198">
        <v>0.78449100000000005</v>
      </c>
      <c r="AM198" t="s">
        <v>41</v>
      </c>
      <c r="AN198">
        <v>25.786570000000001</v>
      </c>
      <c r="AO198" t="s">
        <v>42</v>
      </c>
      <c r="AP198">
        <v>14.509719</v>
      </c>
    </row>
    <row r="199" spans="1:42" x14ac:dyDescent="0.3">
      <c r="A199" t="s">
        <v>22</v>
      </c>
      <c r="B199">
        <v>1.9899979999999999</v>
      </c>
      <c r="C199" t="s">
        <v>23</v>
      </c>
      <c r="D199">
        <v>1.0357540000000001</v>
      </c>
      <c r="E199" t="s">
        <v>24</v>
      </c>
      <c r="F199">
        <v>1.1097630000000001</v>
      </c>
      <c r="G199" t="s">
        <v>25</v>
      </c>
      <c r="H199">
        <v>0.91616900000000001</v>
      </c>
      <c r="I199" t="s">
        <v>26</v>
      </c>
      <c r="J199">
        <v>5.31E-4</v>
      </c>
      <c r="K199" t="s">
        <v>27</v>
      </c>
      <c r="L199">
        <v>2.3744999999999999E-2</v>
      </c>
      <c r="M199" t="s">
        <v>28</v>
      </c>
      <c r="N199">
        <v>1.9602000000000001E-2</v>
      </c>
      <c r="O199" t="s">
        <v>29</v>
      </c>
      <c r="P199">
        <v>-3.6877E-2</v>
      </c>
      <c r="Q199" t="s">
        <v>30</v>
      </c>
      <c r="R199">
        <v>-0.43021799999999999</v>
      </c>
      <c r="S199" t="s">
        <v>31</v>
      </c>
      <c r="T199">
        <v>0.59869000000000006</v>
      </c>
      <c r="U199" t="s">
        <v>32</v>
      </c>
      <c r="V199">
        <v>3.9828000000000002E-2</v>
      </c>
      <c r="W199" t="s">
        <v>33</v>
      </c>
      <c r="X199">
        <v>0.16306200000000001</v>
      </c>
      <c r="Y199" t="s">
        <v>34</v>
      </c>
      <c r="Z199">
        <v>0.104183</v>
      </c>
      <c r="AA199" t="s">
        <v>35</v>
      </c>
      <c r="AB199">
        <v>9.9988999999999995E-2</v>
      </c>
      <c r="AC199" t="s">
        <v>36</v>
      </c>
      <c r="AD199">
        <v>0.27073599999999998</v>
      </c>
      <c r="AE199" t="s">
        <v>37</v>
      </c>
      <c r="AF199">
        <v>0.26155299999999998</v>
      </c>
      <c r="AG199" t="s">
        <v>38</v>
      </c>
      <c r="AH199">
        <v>0.96608000000000005</v>
      </c>
      <c r="AI199" t="s">
        <v>39</v>
      </c>
      <c r="AJ199">
        <v>0.76677700000000004</v>
      </c>
      <c r="AK199" t="s">
        <v>40</v>
      </c>
      <c r="AL199">
        <v>0.78449100000000005</v>
      </c>
      <c r="AM199" t="s">
        <v>41</v>
      </c>
      <c r="AN199">
        <v>25.916805</v>
      </c>
      <c r="AO199" t="s">
        <v>42</v>
      </c>
      <c r="AP199">
        <v>14.575652</v>
      </c>
    </row>
    <row r="200" spans="1:42" x14ac:dyDescent="0.3">
      <c r="A200" t="s">
        <v>22</v>
      </c>
      <c r="B200">
        <v>1.9999979999999999</v>
      </c>
      <c r="C200" t="s">
        <v>23</v>
      </c>
      <c r="D200">
        <v>1.0355939999999999</v>
      </c>
      <c r="E200" t="s">
        <v>24</v>
      </c>
      <c r="F200">
        <v>1.109038</v>
      </c>
      <c r="G200" t="s">
        <v>25</v>
      </c>
      <c r="H200">
        <v>0.91616900000000001</v>
      </c>
      <c r="I200" t="s">
        <v>26</v>
      </c>
      <c r="J200">
        <v>5.2800000000000004E-4</v>
      </c>
      <c r="K200" t="s">
        <v>27</v>
      </c>
      <c r="L200">
        <v>2.3730000000000001E-2</v>
      </c>
      <c r="M200" t="s">
        <v>28</v>
      </c>
      <c r="N200">
        <v>1.9602000000000001E-2</v>
      </c>
      <c r="O200" t="s">
        <v>29</v>
      </c>
      <c r="P200">
        <v>-3.6024E-2</v>
      </c>
      <c r="Q200" t="s">
        <v>30</v>
      </c>
      <c r="R200">
        <v>-0.42636299999999999</v>
      </c>
      <c r="S200" t="s">
        <v>31</v>
      </c>
      <c r="T200">
        <v>0.59869000000000006</v>
      </c>
      <c r="U200" t="s">
        <v>32</v>
      </c>
      <c r="V200">
        <v>3.9673E-2</v>
      </c>
      <c r="W200" t="s">
        <v>33</v>
      </c>
      <c r="X200">
        <v>0.16314600000000001</v>
      </c>
      <c r="Y200" t="s">
        <v>34</v>
      </c>
      <c r="Z200">
        <v>0.104183</v>
      </c>
      <c r="AA200" t="s">
        <v>35</v>
      </c>
      <c r="AB200">
        <v>9.9598999999999993E-2</v>
      </c>
      <c r="AC200" t="s">
        <v>36</v>
      </c>
      <c r="AD200">
        <v>0.27066899999999999</v>
      </c>
      <c r="AE200" t="s">
        <v>37</v>
      </c>
      <c r="AF200">
        <v>0.26155299999999998</v>
      </c>
      <c r="AG200" t="s">
        <v>38</v>
      </c>
      <c r="AH200">
        <v>0.96632099999999999</v>
      </c>
      <c r="AI200" t="s">
        <v>39</v>
      </c>
      <c r="AJ200">
        <v>0.76691100000000001</v>
      </c>
      <c r="AK200" t="s">
        <v>40</v>
      </c>
      <c r="AL200">
        <v>0.78449100000000005</v>
      </c>
      <c r="AM200" t="s">
        <v>41</v>
      </c>
      <c r="AN200">
        <v>26.047041</v>
      </c>
      <c r="AO200" t="s">
        <v>42</v>
      </c>
      <c r="AP200">
        <v>14.641590000000001</v>
      </c>
    </row>
    <row r="201" spans="1:42" x14ac:dyDescent="0.3">
      <c r="A201" t="s">
        <v>22</v>
      </c>
      <c r="B201">
        <v>2.0099990000000001</v>
      </c>
      <c r="C201" t="s">
        <v>23</v>
      </c>
      <c r="D201">
        <v>1.0354319999999999</v>
      </c>
      <c r="E201" t="s">
        <v>24</v>
      </c>
      <c r="F201">
        <v>1.108317</v>
      </c>
      <c r="G201" t="s">
        <v>25</v>
      </c>
      <c r="H201">
        <v>0.91616900000000001</v>
      </c>
      <c r="I201" t="s">
        <v>26</v>
      </c>
      <c r="J201">
        <v>5.2400000000000005E-4</v>
      </c>
      <c r="K201" t="s">
        <v>27</v>
      </c>
      <c r="L201">
        <v>2.3713999999999999E-2</v>
      </c>
      <c r="M201" t="s">
        <v>28</v>
      </c>
      <c r="N201">
        <v>1.9602000000000001E-2</v>
      </c>
      <c r="O201" t="s">
        <v>29</v>
      </c>
      <c r="P201">
        <v>-3.5166999999999997E-2</v>
      </c>
      <c r="Q201" t="s">
        <v>30</v>
      </c>
      <c r="R201">
        <v>-0.42253499999999999</v>
      </c>
      <c r="S201" t="s">
        <v>31</v>
      </c>
      <c r="T201">
        <v>0.59869000000000006</v>
      </c>
      <c r="U201" t="s">
        <v>32</v>
      </c>
      <c r="V201">
        <v>3.9517999999999998E-2</v>
      </c>
      <c r="W201" t="s">
        <v>33</v>
      </c>
      <c r="X201">
        <v>0.16323099999999999</v>
      </c>
      <c r="Y201" t="s">
        <v>34</v>
      </c>
      <c r="Z201">
        <v>0.104183</v>
      </c>
      <c r="AA201" t="s">
        <v>35</v>
      </c>
      <c r="AB201">
        <v>9.9210999999999994E-2</v>
      </c>
      <c r="AC201" t="s">
        <v>36</v>
      </c>
      <c r="AD201">
        <v>0.27060200000000001</v>
      </c>
      <c r="AE201" t="s">
        <v>37</v>
      </c>
      <c r="AF201">
        <v>0.26155299999999998</v>
      </c>
      <c r="AG201" t="s">
        <v>38</v>
      </c>
      <c r="AH201">
        <v>0.96655999999999997</v>
      </c>
      <c r="AI201" t="s">
        <v>39</v>
      </c>
      <c r="AJ201">
        <v>0.767042</v>
      </c>
      <c r="AK201" t="s">
        <v>40</v>
      </c>
      <c r="AL201">
        <v>0.78449100000000005</v>
      </c>
      <c r="AM201" t="s">
        <v>41</v>
      </c>
      <c r="AN201">
        <v>26.177277</v>
      </c>
      <c r="AO201" t="s">
        <v>42</v>
      </c>
      <c r="AP201">
        <v>14.707530999999999</v>
      </c>
    </row>
    <row r="202" spans="1:42" x14ac:dyDescent="0.3">
      <c r="A202" t="s">
        <v>22</v>
      </c>
      <c r="B202">
        <v>2.0199989999999999</v>
      </c>
      <c r="C202" t="s">
        <v>23</v>
      </c>
      <c r="D202">
        <v>1.0352699999999999</v>
      </c>
      <c r="E202" t="s">
        <v>24</v>
      </c>
      <c r="F202">
        <v>1.107602</v>
      </c>
      <c r="G202" t="s">
        <v>25</v>
      </c>
      <c r="H202">
        <v>0.91616900000000001</v>
      </c>
      <c r="I202" t="s">
        <v>26</v>
      </c>
      <c r="J202">
        <v>5.2099999999999998E-4</v>
      </c>
      <c r="K202" t="s">
        <v>27</v>
      </c>
      <c r="L202">
        <v>2.3699000000000001E-2</v>
      </c>
      <c r="M202" t="s">
        <v>28</v>
      </c>
      <c r="N202">
        <v>1.9602000000000001E-2</v>
      </c>
      <c r="O202" t="s">
        <v>29</v>
      </c>
      <c r="P202">
        <v>-3.4305000000000002E-2</v>
      </c>
      <c r="Q202" t="s">
        <v>30</v>
      </c>
      <c r="R202">
        <v>-0.41873300000000002</v>
      </c>
      <c r="S202" t="s">
        <v>31</v>
      </c>
      <c r="T202">
        <v>0.59869000000000006</v>
      </c>
      <c r="U202" t="s">
        <v>32</v>
      </c>
      <c r="V202">
        <v>3.9364999999999997E-2</v>
      </c>
      <c r="W202" t="s">
        <v>33</v>
      </c>
      <c r="X202">
        <v>0.16331499999999999</v>
      </c>
      <c r="Y202" t="s">
        <v>34</v>
      </c>
      <c r="Z202">
        <v>0.104183</v>
      </c>
      <c r="AA202" t="s">
        <v>35</v>
      </c>
      <c r="AB202">
        <v>9.8826999999999998E-2</v>
      </c>
      <c r="AC202" t="s">
        <v>36</v>
      </c>
      <c r="AD202">
        <v>0.270536</v>
      </c>
      <c r="AE202" t="s">
        <v>37</v>
      </c>
      <c r="AF202">
        <v>0.26155299999999998</v>
      </c>
      <c r="AG202" t="s">
        <v>38</v>
      </c>
      <c r="AH202">
        <v>0.96679599999999999</v>
      </c>
      <c r="AI202" t="s">
        <v>39</v>
      </c>
      <c r="AJ202">
        <v>0.76717400000000002</v>
      </c>
      <c r="AK202" t="s">
        <v>40</v>
      </c>
      <c r="AL202">
        <v>0.78449100000000005</v>
      </c>
      <c r="AM202" t="s">
        <v>41</v>
      </c>
      <c r="AN202">
        <v>26.307510000000001</v>
      </c>
      <c r="AO202" t="s">
        <v>42</v>
      </c>
      <c r="AP202">
        <v>14.773479999999999</v>
      </c>
    </row>
    <row r="203" spans="1:42" x14ac:dyDescent="0.3">
      <c r="A203" t="s">
        <v>22</v>
      </c>
      <c r="B203">
        <v>2.0299990000000001</v>
      </c>
      <c r="C203" t="s">
        <v>23</v>
      </c>
      <c r="D203">
        <v>1.035107</v>
      </c>
      <c r="E203" t="s">
        <v>24</v>
      </c>
      <c r="F203">
        <v>1.106892</v>
      </c>
      <c r="G203" t="s">
        <v>25</v>
      </c>
      <c r="H203">
        <v>0.91616900000000001</v>
      </c>
      <c r="I203" t="s">
        <v>26</v>
      </c>
      <c r="J203">
        <v>5.1800000000000001E-4</v>
      </c>
      <c r="K203" t="s">
        <v>27</v>
      </c>
      <c r="L203">
        <v>2.3684E-2</v>
      </c>
      <c r="M203" t="s">
        <v>28</v>
      </c>
      <c r="N203">
        <v>1.9602000000000001E-2</v>
      </c>
      <c r="O203" t="s">
        <v>29</v>
      </c>
      <c r="P203">
        <v>-3.3437000000000001E-2</v>
      </c>
      <c r="Q203" t="s">
        <v>30</v>
      </c>
      <c r="R203">
        <v>-0.41495799999999999</v>
      </c>
      <c r="S203" t="s">
        <v>31</v>
      </c>
      <c r="T203">
        <v>0.59869000000000006</v>
      </c>
      <c r="U203" t="s">
        <v>32</v>
      </c>
      <c r="V203">
        <v>3.9212999999999998E-2</v>
      </c>
      <c r="W203" t="s">
        <v>33</v>
      </c>
      <c r="X203">
        <v>0.16340099999999999</v>
      </c>
      <c r="Y203" t="s">
        <v>34</v>
      </c>
      <c r="Z203">
        <v>0.104183</v>
      </c>
      <c r="AA203" t="s">
        <v>35</v>
      </c>
      <c r="AB203">
        <v>9.8444000000000004E-2</v>
      </c>
      <c r="AC203" t="s">
        <v>36</v>
      </c>
      <c r="AD203">
        <v>0.27046999999999999</v>
      </c>
      <c r="AE203" t="s">
        <v>37</v>
      </c>
      <c r="AF203">
        <v>0.26155299999999998</v>
      </c>
      <c r="AG203" t="s">
        <v>38</v>
      </c>
      <c r="AH203">
        <v>0.96702999999999995</v>
      </c>
      <c r="AI203" t="s">
        <v>39</v>
      </c>
      <c r="AJ203">
        <v>0.76730399999999999</v>
      </c>
      <c r="AK203" t="s">
        <v>40</v>
      </c>
      <c r="AL203">
        <v>0.78449100000000005</v>
      </c>
      <c r="AM203" t="s">
        <v>41</v>
      </c>
      <c r="AN203">
        <v>26.437746000000001</v>
      </c>
      <c r="AO203" t="s">
        <v>42</v>
      </c>
      <c r="AP203">
        <v>14.839434000000001</v>
      </c>
    </row>
    <row r="204" spans="1:42" x14ac:dyDescent="0.3">
      <c r="A204" t="s">
        <v>22</v>
      </c>
      <c r="B204">
        <v>2.0399989999999999</v>
      </c>
      <c r="C204" t="s">
        <v>23</v>
      </c>
      <c r="D204">
        <v>1.0349429999999999</v>
      </c>
      <c r="E204" t="s">
        <v>24</v>
      </c>
      <c r="F204">
        <v>1.1061859999999999</v>
      </c>
      <c r="G204" t="s">
        <v>25</v>
      </c>
      <c r="H204">
        <v>0.91616900000000001</v>
      </c>
      <c r="I204" t="s">
        <v>26</v>
      </c>
      <c r="J204">
        <v>5.1500000000000005E-4</v>
      </c>
      <c r="K204" t="s">
        <v>27</v>
      </c>
      <c r="L204">
        <v>2.3668999999999999E-2</v>
      </c>
      <c r="M204" t="s">
        <v>28</v>
      </c>
      <c r="N204">
        <v>1.9602000000000001E-2</v>
      </c>
      <c r="O204" t="s">
        <v>29</v>
      </c>
      <c r="P204">
        <v>-3.2564000000000003E-2</v>
      </c>
      <c r="Q204" t="s">
        <v>30</v>
      </c>
      <c r="R204">
        <v>-0.41120800000000002</v>
      </c>
      <c r="S204" t="s">
        <v>31</v>
      </c>
      <c r="T204">
        <v>0.59869000000000006</v>
      </c>
      <c r="U204" t="s">
        <v>32</v>
      </c>
      <c r="V204">
        <v>3.9061999999999999E-2</v>
      </c>
      <c r="W204" t="s">
        <v>33</v>
      </c>
      <c r="X204">
        <v>0.16348699999999999</v>
      </c>
      <c r="Y204" t="s">
        <v>34</v>
      </c>
      <c r="Z204">
        <v>0.104183</v>
      </c>
      <c r="AA204" t="s">
        <v>35</v>
      </c>
      <c r="AB204">
        <v>9.8064999999999999E-2</v>
      </c>
      <c r="AC204" t="s">
        <v>36</v>
      </c>
      <c r="AD204">
        <v>0.27040599999999998</v>
      </c>
      <c r="AE204" t="s">
        <v>37</v>
      </c>
      <c r="AF204">
        <v>0.26155299999999998</v>
      </c>
      <c r="AG204" t="s">
        <v>38</v>
      </c>
      <c r="AH204">
        <v>0.96726199999999996</v>
      </c>
      <c r="AI204" t="s">
        <v>39</v>
      </c>
      <c r="AJ204">
        <v>0.767432</v>
      </c>
      <c r="AK204" t="s">
        <v>40</v>
      </c>
      <c r="AL204">
        <v>0.78449100000000005</v>
      </c>
      <c r="AM204" t="s">
        <v>41</v>
      </c>
      <c r="AN204">
        <v>26.567982000000001</v>
      </c>
      <c r="AO204" t="s">
        <v>42</v>
      </c>
      <c r="AP204">
        <v>14.905393999999999</v>
      </c>
    </row>
    <row r="205" spans="1:42" x14ac:dyDescent="0.3">
      <c r="A205" t="s">
        <v>22</v>
      </c>
      <c r="B205">
        <v>2.0499990000000001</v>
      </c>
      <c r="C205" t="s">
        <v>23</v>
      </c>
      <c r="D205">
        <v>1.034778</v>
      </c>
      <c r="E205" t="s">
        <v>24</v>
      </c>
      <c r="F205">
        <v>1.105486</v>
      </c>
      <c r="G205" t="s">
        <v>25</v>
      </c>
      <c r="H205">
        <v>0.91616900000000001</v>
      </c>
      <c r="I205" t="s">
        <v>26</v>
      </c>
      <c r="J205">
        <v>5.1099999999999995E-4</v>
      </c>
      <c r="K205" t="s">
        <v>27</v>
      </c>
      <c r="L205">
        <v>2.3654000000000001E-2</v>
      </c>
      <c r="M205" t="s">
        <v>28</v>
      </c>
      <c r="N205">
        <v>1.9602000000000001E-2</v>
      </c>
      <c r="O205" t="s">
        <v>29</v>
      </c>
      <c r="P205">
        <v>-3.1687E-2</v>
      </c>
      <c r="Q205" t="s">
        <v>30</v>
      </c>
      <c r="R205">
        <v>-0.40748499999999999</v>
      </c>
      <c r="S205" t="s">
        <v>31</v>
      </c>
      <c r="T205">
        <v>0.59869000000000006</v>
      </c>
      <c r="U205" t="s">
        <v>32</v>
      </c>
      <c r="V205">
        <v>3.8911000000000001E-2</v>
      </c>
      <c r="W205" t="s">
        <v>33</v>
      </c>
      <c r="X205">
        <v>0.163573</v>
      </c>
      <c r="Y205" t="s">
        <v>34</v>
      </c>
      <c r="Z205">
        <v>0.104183</v>
      </c>
      <c r="AA205" t="s">
        <v>35</v>
      </c>
      <c r="AB205">
        <v>9.7687999999999997E-2</v>
      </c>
      <c r="AC205" t="s">
        <v>36</v>
      </c>
      <c r="AD205">
        <v>0.27034200000000003</v>
      </c>
      <c r="AE205" t="s">
        <v>37</v>
      </c>
      <c r="AF205">
        <v>0.26155299999999998</v>
      </c>
      <c r="AG205" t="s">
        <v>38</v>
      </c>
      <c r="AH205">
        <v>0.96749099999999999</v>
      </c>
      <c r="AI205" t="s">
        <v>39</v>
      </c>
      <c r="AJ205">
        <v>0.76755899999999999</v>
      </c>
      <c r="AK205" t="s">
        <v>40</v>
      </c>
      <c r="AL205">
        <v>0.78449100000000005</v>
      </c>
      <c r="AM205" t="s">
        <v>41</v>
      </c>
      <c r="AN205">
        <v>26.698217</v>
      </c>
      <c r="AO205" t="s">
        <v>42</v>
      </c>
      <c r="AP205">
        <v>14.971360000000001</v>
      </c>
    </row>
    <row r="206" spans="1:42" x14ac:dyDescent="0.3">
      <c r="A206" t="s">
        <v>22</v>
      </c>
      <c r="B206">
        <v>2.0599989999999999</v>
      </c>
      <c r="C206" t="s">
        <v>23</v>
      </c>
      <c r="D206">
        <v>1.0346120000000001</v>
      </c>
      <c r="E206" t="s">
        <v>24</v>
      </c>
      <c r="F206">
        <v>1.1047899999999999</v>
      </c>
      <c r="G206" t="s">
        <v>25</v>
      </c>
      <c r="H206">
        <v>0.91616900000000001</v>
      </c>
      <c r="I206" t="s">
        <v>26</v>
      </c>
      <c r="J206">
        <v>5.0799999999999999E-4</v>
      </c>
      <c r="K206" t="s">
        <v>27</v>
      </c>
      <c r="L206">
        <v>2.3639E-2</v>
      </c>
      <c r="M206" t="s">
        <v>28</v>
      </c>
      <c r="N206">
        <v>1.9602000000000001E-2</v>
      </c>
      <c r="O206" t="s">
        <v>29</v>
      </c>
      <c r="P206">
        <v>-3.0807000000000001E-2</v>
      </c>
      <c r="Q206" t="s">
        <v>30</v>
      </c>
      <c r="R206">
        <v>-0.40378799999999998</v>
      </c>
      <c r="S206" t="s">
        <v>31</v>
      </c>
      <c r="T206">
        <v>0.59869000000000006</v>
      </c>
      <c r="U206" t="s">
        <v>32</v>
      </c>
      <c r="V206">
        <v>3.8761999999999998E-2</v>
      </c>
      <c r="W206" t="s">
        <v>33</v>
      </c>
      <c r="X206">
        <v>0.16366</v>
      </c>
      <c r="Y206" t="s">
        <v>34</v>
      </c>
      <c r="Z206">
        <v>0.104183</v>
      </c>
      <c r="AA206" t="s">
        <v>35</v>
      </c>
      <c r="AB206">
        <v>9.7312999999999997E-2</v>
      </c>
      <c r="AC206" t="s">
        <v>36</v>
      </c>
      <c r="AD206">
        <v>0.27027800000000002</v>
      </c>
      <c r="AE206" t="s">
        <v>37</v>
      </c>
      <c r="AF206">
        <v>0.26155299999999998</v>
      </c>
      <c r="AG206" t="s">
        <v>38</v>
      </c>
      <c r="AH206">
        <v>0.96771799999999997</v>
      </c>
      <c r="AI206" t="s">
        <v>39</v>
      </c>
      <c r="AJ206">
        <v>0.76768499999999995</v>
      </c>
      <c r="AK206" t="s">
        <v>40</v>
      </c>
      <c r="AL206">
        <v>0.78449100000000005</v>
      </c>
      <c r="AM206" t="s">
        <v>41</v>
      </c>
      <c r="AN206">
        <v>26.828451000000001</v>
      </c>
      <c r="AO206" t="s">
        <v>42</v>
      </c>
      <c r="AP206">
        <v>15.037331</v>
      </c>
    </row>
    <row r="207" spans="1:42" x14ac:dyDescent="0.3">
      <c r="A207" t="s">
        <v>22</v>
      </c>
      <c r="B207">
        <v>2.0699990000000001</v>
      </c>
      <c r="C207" t="s">
        <v>23</v>
      </c>
      <c r="D207">
        <v>1.0344450000000001</v>
      </c>
      <c r="E207" t="s">
        <v>24</v>
      </c>
      <c r="F207">
        <v>1.1040989999999999</v>
      </c>
      <c r="G207" t="s">
        <v>25</v>
      </c>
      <c r="H207">
        <v>0.91616900000000001</v>
      </c>
      <c r="I207" t="s">
        <v>26</v>
      </c>
      <c r="J207">
        <v>5.0500000000000002E-4</v>
      </c>
      <c r="K207" t="s">
        <v>27</v>
      </c>
      <c r="L207">
        <v>2.3623999999999999E-2</v>
      </c>
      <c r="M207" t="s">
        <v>28</v>
      </c>
      <c r="N207">
        <v>1.9602000000000001E-2</v>
      </c>
      <c r="O207" t="s">
        <v>29</v>
      </c>
      <c r="P207">
        <v>-2.9922000000000001E-2</v>
      </c>
      <c r="Q207" t="s">
        <v>30</v>
      </c>
      <c r="R207">
        <v>-0.400115</v>
      </c>
      <c r="S207" t="s">
        <v>31</v>
      </c>
      <c r="T207">
        <v>0.59869000000000006</v>
      </c>
      <c r="U207" t="s">
        <v>32</v>
      </c>
      <c r="V207">
        <v>3.8614000000000002E-2</v>
      </c>
      <c r="W207" t="s">
        <v>33</v>
      </c>
      <c r="X207">
        <v>0.163747</v>
      </c>
      <c r="Y207" t="s">
        <v>34</v>
      </c>
      <c r="Z207">
        <v>0.104183</v>
      </c>
      <c r="AA207" t="s">
        <v>35</v>
      </c>
      <c r="AB207">
        <v>9.6940999999999999E-2</v>
      </c>
      <c r="AC207" t="s">
        <v>36</v>
      </c>
      <c r="AD207">
        <v>0.27021499999999998</v>
      </c>
      <c r="AE207" t="s">
        <v>37</v>
      </c>
      <c r="AF207">
        <v>0.26155299999999998</v>
      </c>
      <c r="AG207" t="s">
        <v>38</v>
      </c>
      <c r="AH207">
        <v>0.967943</v>
      </c>
      <c r="AI207" t="s">
        <v>39</v>
      </c>
      <c r="AJ207">
        <v>0.76780899999999996</v>
      </c>
      <c r="AK207" t="s">
        <v>40</v>
      </c>
      <c r="AL207">
        <v>0.78449100000000005</v>
      </c>
      <c r="AM207" t="s">
        <v>41</v>
      </c>
      <c r="AN207">
        <v>26.958687000000001</v>
      </c>
      <c r="AO207" t="s">
        <v>42</v>
      </c>
      <c r="AP207">
        <v>15.103308999999999</v>
      </c>
    </row>
    <row r="208" spans="1:42" x14ac:dyDescent="0.3">
      <c r="A208" t="s">
        <v>22</v>
      </c>
      <c r="B208">
        <v>2.0799979999999998</v>
      </c>
      <c r="C208" t="s">
        <v>23</v>
      </c>
      <c r="D208">
        <v>1.034278</v>
      </c>
      <c r="E208" t="s">
        <v>24</v>
      </c>
      <c r="F208">
        <v>1.103413</v>
      </c>
      <c r="G208" t="s">
        <v>25</v>
      </c>
      <c r="H208">
        <v>0.91616900000000001</v>
      </c>
      <c r="I208" t="s">
        <v>26</v>
      </c>
      <c r="J208">
        <v>5.0199999999999995E-4</v>
      </c>
      <c r="K208" t="s">
        <v>27</v>
      </c>
      <c r="L208">
        <v>2.3609000000000002E-2</v>
      </c>
      <c r="M208" t="s">
        <v>28</v>
      </c>
      <c r="N208">
        <v>1.9602000000000001E-2</v>
      </c>
      <c r="O208" t="s">
        <v>29</v>
      </c>
      <c r="P208">
        <v>-2.9034000000000001E-2</v>
      </c>
      <c r="Q208" t="s">
        <v>30</v>
      </c>
      <c r="R208">
        <v>-0.39646799999999999</v>
      </c>
      <c r="S208" t="s">
        <v>31</v>
      </c>
      <c r="T208">
        <v>0.59869000000000006</v>
      </c>
      <c r="U208" t="s">
        <v>32</v>
      </c>
      <c r="V208">
        <v>3.8467000000000001E-2</v>
      </c>
      <c r="W208" t="s">
        <v>33</v>
      </c>
      <c r="X208">
        <v>0.16383400000000001</v>
      </c>
      <c r="Y208" t="s">
        <v>34</v>
      </c>
      <c r="Z208">
        <v>0.104183</v>
      </c>
      <c r="AA208" t="s">
        <v>35</v>
      </c>
      <c r="AB208">
        <v>9.6571000000000004E-2</v>
      </c>
      <c r="AC208" t="s">
        <v>36</v>
      </c>
      <c r="AD208">
        <v>0.27015299999999998</v>
      </c>
      <c r="AE208" t="s">
        <v>37</v>
      </c>
      <c r="AF208">
        <v>0.26155299999999998</v>
      </c>
      <c r="AG208" t="s">
        <v>38</v>
      </c>
      <c r="AH208">
        <v>0.96816599999999997</v>
      </c>
      <c r="AI208" t="s">
        <v>39</v>
      </c>
      <c r="AJ208">
        <v>0.76793299999999998</v>
      </c>
      <c r="AK208" t="s">
        <v>40</v>
      </c>
      <c r="AL208">
        <v>0.78449100000000005</v>
      </c>
      <c r="AM208" t="s">
        <v>41</v>
      </c>
      <c r="AN208">
        <v>27.088923000000001</v>
      </c>
      <c r="AO208" t="s">
        <v>42</v>
      </c>
      <c r="AP208">
        <v>15.169290999999999</v>
      </c>
    </row>
    <row r="209" spans="1:42" x14ac:dyDescent="0.3">
      <c r="A209" t="s">
        <v>22</v>
      </c>
      <c r="B209">
        <v>2.089998</v>
      </c>
      <c r="C209" t="s">
        <v>23</v>
      </c>
      <c r="D209">
        <v>1.0341100000000001</v>
      </c>
      <c r="E209" t="s">
        <v>24</v>
      </c>
      <c r="F209">
        <v>1.1027309999999999</v>
      </c>
      <c r="G209" t="s">
        <v>25</v>
      </c>
      <c r="H209">
        <v>0.91616900000000001</v>
      </c>
      <c r="I209" t="s">
        <v>26</v>
      </c>
      <c r="J209">
        <v>4.9899999999999999E-4</v>
      </c>
      <c r="K209" t="s">
        <v>27</v>
      </c>
      <c r="L209">
        <v>2.3595000000000001E-2</v>
      </c>
      <c r="M209" t="s">
        <v>28</v>
      </c>
      <c r="N209">
        <v>1.9602000000000001E-2</v>
      </c>
      <c r="O209" t="s">
        <v>29</v>
      </c>
      <c r="P209">
        <v>-2.8139999999999998E-2</v>
      </c>
      <c r="Q209" t="s">
        <v>30</v>
      </c>
      <c r="R209">
        <v>-0.39284599999999997</v>
      </c>
      <c r="S209" t="s">
        <v>31</v>
      </c>
      <c r="T209">
        <v>0.59869000000000006</v>
      </c>
      <c r="U209" t="s">
        <v>32</v>
      </c>
      <c r="V209">
        <v>3.8321000000000001E-2</v>
      </c>
      <c r="W209" t="s">
        <v>33</v>
      </c>
      <c r="X209">
        <v>0.16392200000000001</v>
      </c>
      <c r="Y209" t="s">
        <v>34</v>
      </c>
      <c r="Z209">
        <v>0.104183</v>
      </c>
      <c r="AA209" t="s">
        <v>35</v>
      </c>
      <c r="AB209">
        <v>9.6203999999999998E-2</v>
      </c>
      <c r="AC209" t="s">
        <v>36</v>
      </c>
      <c r="AD209">
        <v>0.270092</v>
      </c>
      <c r="AE209" t="s">
        <v>37</v>
      </c>
      <c r="AF209">
        <v>0.26155299999999998</v>
      </c>
      <c r="AG209" t="s">
        <v>38</v>
      </c>
      <c r="AH209">
        <v>0.96838599999999997</v>
      </c>
      <c r="AI209" t="s">
        <v>39</v>
      </c>
      <c r="AJ209">
        <v>0.76805299999999999</v>
      </c>
      <c r="AK209" t="s">
        <v>40</v>
      </c>
      <c r="AL209">
        <v>0.78449100000000005</v>
      </c>
      <c r="AM209" t="s">
        <v>41</v>
      </c>
      <c r="AN209">
        <v>27.219158</v>
      </c>
      <c r="AO209" t="s">
        <v>42</v>
      </c>
      <c r="AP209">
        <v>15.235282</v>
      </c>
    </row>
    <row r="210" spans="1:42" x14ac:dyDescent="0.3">
      <c r="A210" t="s">
        <v>22</v>
      </c>
      <c r="B210">
        <v>2.0999979999999998</v>
      </c>
      <c r="C210" t="s">
        <v>23</v>
      </c>
      <c r="D210">
        <v>1.033941</v>
      </c>
      <c r="E210" t="s">
        <v>24</v>
      </c>
      <c r="F210">
        <v>1.1020540000000001</v>
      </c>
      <c r="G210" t="s">
        <v>25</v>
      </c>
      <c r="H210">
        <v>0.91616900000000001</v>
      </c>
      <c r="I210" t="s">
        <v>26</v>
      </c>
      <c r="J210">
        <v>4.9600000000000002E-4</v>
      </c>
      <c r="K210" t="s">
        <v>27</v>
      </c>
      <c r="L210">
        <v>2.358E-2</v>
      </c>
      <c r="M210" t="s">
        <v>28</v>
      </c>
      <c r="N210">
        <v>1.9602000000000001E-2</v>
      </c>
      <c r="O210" t="s">
        <v>29</v>
      </c>
      <c r="P210">
        <v>-2.7243E-2</v>
      </c>
      <c r="Q210" t="s">
        <v>30</v>
      </c>
      <c r="R210">
        <v>-0.38924900000000001</v>
      </c>
      <c r="S210" t="s">
        <v>31</v>
      </c>
      <c r="T210">
        <v>0.59869000000000006</v>
      </c>
      <c r="U210" t="s">
        <v>32</v>
      </c>
      <c r="V210">
        <v>3.8175000000000001E-2</v>
      </c>
      <c r="W210" t="s">
        <v>33</v>
      </c>
      <c r="X210">
        <v>0.16401099999999999</v>
      </c>
      <c r="Y210" t="s">
        <v>34</v>
      </c>
      <c r="Z210">
        <v>0.104183</v>
      </c>
      <c r="AA210" t="s">
        <v>35</v>
      </c>
      <c r="AB210">
        <v>9.5839999999999995E-2</v>
      </c>
      <c r="AC210" t="s">
        <v>36</v>
      </c>
      <c r="AD210">
        <v>0.27003100000000002</v>
      </c>
      <c r="AE210" t="s">
        <v>37</v>
      </c>
      <c r="AF210">
        <v>0.26155299999999998</v>
      </c>
      <c r="AG210" t="s">
        <v>38</v>
      </c>
      <c r="AH210">
        <v>0.96860500000000005</v>
      </c>
      <c r="AI210" t="s">
        <v>39</v>
      </c>
      <c r="AJ210">
        <v>0.76817299999999999</v>
      </c>
      <c r="AK210" t="s">
        <v>40</v>
      </c>
      <c r="AL210">
        <v>0.78449100000000005</v>
      </c>
      <c r="AM210" t="s">
        <v>41</v>
      </c>
      <c r="AN210">
        <v>27.349392000000002</v>
      </c>
      <c r="AO210" t="s">
        <v>42</v>
      </c>
      <c r="AP210">
        <v>15.301278999999999</v>
      </c>
    </row>
    <row r="211" spans="1:42" x14ac:dyDescent="0.3">
      <c r="A211" t="s">
        <v>22</v>
      </c>
      <c r="B211">
        <v>2.109998</v>
      </c>
      <c r="C211" t="s">
        <v>23</v>
      </c>
      <c r="D211">
        <v>1.0337719999999999</v>
      </c>
      <c r="E211" t="s">
        <v>24</v>
      </c>
      <c r="F211">
        <v>1.1013820000000001</v>
      </c>
      <c r="G211" t="s">
        <v>25</v>
      </c>
      <c r="H211">
        <v>0.91616900000000001</v>
      </c>
      <c r="I211" t="s">
        <v>26</v>
      </c>
      <c r="J211">
        <v>4.9299999999999995E-4</v>
      </c>
      <c r="K211" t="s">
        <v>27</v>
      </c>
      <c r="L211">
        <v>2.3566E-2</v>
      </c>
      <c r="M211" t="s">
        <v>28</v>
      </c>
      <c r="N211">
        <v>1.9602000000000001E-2</v>
      </c>
      <c r="O211" t="s">
        <v>29</v>
      </c>
      <c r="P211">
        <v>-2.6342999999999998E-2</v>
      </c>
      <c r="Q211" t="s">
        <v>30</v>
      </c>
      <c r="R211">
        <v>-0.38567499999999999</v>
      </c>
      <c r="S211" t="s">
        <v>31</v>
      </c>
      <c r="T211">
        <v>0.59869000000000006</v>
      </c>
      <c r="U211" t="s">
        <v>32</v>
      </c>
      <c r="V211">
        <v>3.8031000000000002E-2</v>
      </c>
      <c r="W211" t="s">
        <v>33</v>
      </c>
      <c r="X211">
        <v>0.16409899999999999</v>
      </c>
      <c r="Y211" t="s">
        <v>34</v>
      </c>
      <c r="Z211">
        <v>0.104183</v>
      </c>
      <c r="AA211" t="s">
        <v>35</v>
      </c>
      <c r="AB211">
        <v>9.5477000000000006E-2</v>
      </c>
      <c r="AC211" t="s">
        <v>36</v>
      </c>
      <c r="AD211">
        <v>0.26996999999999999</v>
      </c>
      <c r="AE211" t="s">
        <v>37</v>
      </c>
      <c r="AF211">
        <v>0.26155299999999998</v>
      </c>
      <c r="AG211" t="s">
        <v>38</v>
      </c>
      <c r="AH211">
        <v>0.96882100000000004</v>
      </c>
      <c r="AI211" t="s">
        <v>39</v>
      </c>
      <c r="AJ211">
        <v>0.768293</v>
      </c>
      <c r="AK211" t="s">
        <v>40</v>
      </c>
      <c r="AL211">
        <v>0.78449100000000005</v>
      </c>
      <c r="AM211" t="s">
        <v>41</v>
      </c>
      <c r="AN211">
        <v>27.479628000000002</v>
      </c>
      <c r="AO211" t="s">
        <v>42</v>
      </c>
      <c r="AP211">
        <v>15.367279999999999</v>
      </c>
    </row>
    <row r="212" spans="1:42" x14ac:dyDescent="0.3">
      <c r="A212" t="s">
        <v>22</v>
      </c>
      <c r="B212">
        <v>2.1199979999999998</v>
      </c>
      <c r="C212" t="s">
        <v>23</v>
      </c>
      <c r="D212">
        <v>1.0336019999999999</v>
      </c>
      <c r="E212" t="s">
        <v>24</v>
      </c>
      <c r="F212">
        <v>1.100714</v>
      </c>
      <c r="G212" t="s">
        <v>25</v>
      </c>
      <c r="H212">
        <v>0.91616900000000001</v>
      </c>
      <c r="I212" t="s">
        <v>26</v>
      </c>
      <c r="J212">
        <v>4.8999999999999998E-4</v>
      </c>
      <c r="K212" t="s">
        <v>27</v>
      </c>
      <c r="L212">
        <v>2.3552E-2</v>
      </c>
      <c r="M212" t="s">
        <v>28</v>
      </c>
      <c r="N212">
        <v>1.9602000000000001E-2</v>
      </c>
      <c r="O212" t="s">
        <v>29</v>
      </c>
      <c r="P212">
        <v>-2.5439E-2</v>
      </c>
      <c r="Q212" t="s">
        <v>30</v>
      </c>
      <c r="R212">
        <v>-0.38212600000000002</v>
      </c>
      <c r="S212" t="s">
        <v>31</v>
      </c>
      <c r="T212">
        <v>0.59869000000000006</v>
      </c>
      <c r="U212" t="s">
        <v>32</v>
      </c>
      <c r="V212">
        <v>3.7887999999999998E-2</v>
      </c>
      <c r="W212" t="s">
        <v>33</v>
      </c>
      <c r="X212">
        <v>0.164188</v>
      </c>
      <c r="Y212" t="s">
        <v>34</v>
      </c>
      <c r="Z212">
        <v>0.104183</v>
      </c>
      <c r="AA212" t="s">
        <v>35</v>
      </c>
      <c r="AB212">
        <v>9.5116999999999993E-2</v>
      </c>
      <c r="AC212" t="s">
        <v>36</v>
      </c>
      <c r="AD212">
        <v>0.26991100000000001</v>
      </c>
      <c r="AE212" t="s">
        <v>37</v>
      </c>
      <c r="AF212">
        <v>0.26155299999999998</v>
      </c>
      <c r="AG212" t="s">
        <v>38</v>
      </c>
      <c r="AH212">
        <v>0.96903499999999998</v>
      </c>
      <c r="AI212" t="s">
        <v>39</v>
      </c>
      <c r="AJ212">
        <v>0.76841000000000004</v>
      </c>
      <c r="AK212" t="s">
        <v>40</v>
      </c>
      <c r="AL212">
        <v>0.78449100000000005</v>
      </c>
      <c r="AM212" t="s">
        <v>41</v>
      </c>
      <c r="AN212">
        <v>27.609863000000001</v>
      </c>
      <c r="AO212" t="s">
        <v>42</v>
      </c>
      <c r="AP212">
        <v>15.433287999999999</v>
      </c>
    </row>
    <row r="213" spans="1:42" x14ac:dyDescent="0.3">
      <c r="A213" t="s">
        <v>22</v>
      </c>
      <c r="B213">
        <v>2.1299980000000001</v>
      </c>
      <c r="C213" t="s">
        <v>23</v>
      </c>
      <c r="D213">
        <v>1.033431</v>
      </c>
      <c r="E213" t="s">
        <v>24</v>
      </c>
      <c r="F213">
        <v>1.1000509999999999</v>
      </c>
      <c r="G213" t="s">
        <v>25</v>
      </c>
      <c r="H213">
        <v>0.91616900000000001</v>
      </c>
      <c r="I213" t="s">
        <v>26</v>
      </c>
      <c r="J213">
        <v>4.8700000000000002E-4</v>
      </c>
      <c r="K213" t="s">
        <v>27</v>
      </c>
      <c r="L213">
        <v>2.3536999999999999E-2</v>
      </c>
      <c r="M213" t="s">
        <v>28</v>
      </c>
      <c r="N213">
        <v>1.9602000000000001E-2</v>
      </c>
      <c r="O213" t="s">
        <v>29</v>
      </c>
      <c r="P213">
        <v>-2.4531000000000001E-2</v>
      </c>
      <c r="Q213" t="s">
        <v>30</v>
      </c>
      <c r="R213">
        <v>-0.37860100000000002</v>
      </c>
      <c r="S213" t="s">
        <v>31</v>
      </c>
      <c r="T213">
        <v>0.59869000000000006</v>
      </c>
      <c r="U213" t="s">
        <v>32</v>
      </c>
      <c r="V213">
        <v>3.7745000000000001E-2</v>
      </c>
      <c r="W213" t="s">
        <v>33</v>
      </c>
      <c r="X213">
        <v>0.16427800000000001</v>
      </c>
      <c r="Y213" t="s">
        <v>34</v>
      </c>
      <c r="Z213">
        <v>0.104183</v>
      </c>
      <c r="AA213" t="s">
        <v>35</v>
      </c>
      <c r="AB213">
        <v>9.4759999999999997E-2</v>
      </c>
      <c r="AC213" t="s">
        <v>36</v>
      </c>
      <c r="AD213">
        <v>0.26985199999999998</v>
      </c>
      <c r="AE213" t="s">
        <v>37</v>
      </c>
      <c r="AF213">
        <v>0.26155299999999998</v>
      </c>
      <c r="AG213" t="s">
        <v>38</v>
      </c>
      <c r="AH213">
        <v>0.96924699999999997</v>
      </c>
      <c r="AI213" t="s">
        <v>39</v>
      </c>
      <c r="AJ213">
        <v>0.76852799999999999</v>
      </c>
      <c r="AK213" t="s">
        <v>40</v>
      </c>
      <c r="AL213">
        <v>0.78449100000000005</v>
      </c>
      <c r="AM213" t="s">
        <v>41</v>
      </c>
      <c r="AN213">
        <v>27.740099000000001</v>
      </c>
      <c r="AO213" t="s">
        <v>42</v>
      </c>
      <c r="AP213">
        <v>15.499304</v>
      </c>
    </row>
    <row r="214" spans="1:42" x14ac:dyDescent="0.3">
      <c r="A214" t="s">
        <v>22</v>
      </c>
      <c r="B214">
        <v>2.1399979999999998</v>
      </c>
      <c r="C214" t="s">
        <v>23</v>
      </c>
      <c r="D214">
        <v>1.0332600000000001</v>
      </c>
      <c r="E214" t="s">
        <v>24</v>
      </c>
      <c r="F214">
        <v>1.0993919999999999</v>
      </c>
      <c r="G214" t="s">
        <v>25</v>
      </c>
      <c r="H214">
        <v>0.91616900000000001</v>
      </c>
      <c r="I214" t="s">
        <v>26</v>
      </c>
      <c r="J214">
        <v>4.84E-4</v>
      </c>
      <c r="K214" t="s">
        <v>27</v>
      </c>
      <c r="L214">
        <v>2.3522999999999999E-2</v>
      </c>
      <c r="M214" t="s">
        <v>28</v>
      </c>
      <c r="N214">
        <v>1.9602000000000001E-2</v>
      </c>
      <c r="O214" t="s">
        <v>29</v>
      </c>
      <c r="P214">
        <v>-2.3621E-2</v>
      </c>
      <c r="Q214" t="s">
        <v>30</v>
      </c>
      <c r="R214">
        <v>-0.37509999999999999</v>
      </c>
      <c r="S214" t="s">
        <v>31</v>
      </c>
      <c r="T214">
        <v>0.59869000000000006</v>
      </c>
      <c r="U214" t="s">
        <v>32</v>
      </c>
      <c r="V214">
        <v>3.7603999999999999E-2</v>
      </c>
      <c r="W214" t="s">
        <v>33</v>
      </c>
      <c r="X214">
        <v>0.16436799999999999</v>
      </c>
      <c r="Y214" t="s">
        <v>34</v>
      </c>
      <c r="Z214">
        <v>0.104183</v>
      </c>
      <c r="AA214" t="s">
        <v>35</v>
      </c>
      <c r="AB214">
        <v>9.4405000000000003E-2</v>
      </c>
      <c r="AC214" t="s">
        <v>36</v>
      </c>
      <c r="AD214">
        <v>0.26979300000000001</v>
      </c>
      <c r="AE214" t="s">
        <v>37</v>
      </c>
      <c r="AF214">
        <v>0.26155299999999998</v>
      </c>
      <c r="AG214" t="s">
        <v>38</v>
      </c>
      <c r="AH214">
        <v>0.96945700000000001</v>
      </c>
      <c r="AI214" t="s">
        <v>39</v>
      </c>
      <c r="AJ214">
        <v>0.76864299999999997</v>
      </c>
      <c r="AK214" t="s">
        <v>40</v>
      </c>
      <c r="AL214">
        <v>0.78449100000000005</v>
      </c>
      <c r="AM214" t="s">
        <v>41</v>
      </c>
      <c r="AN214">
        <v>27.870332999999999</v>
      </c>
      <c r="AO214" t="s">
        <v>42</v>
      </c>
      <c r="AP214">
        <v>15.565325</v>
      </c>
    </row>
    <row r="215" spans="1:42" x14ac:dyDescent="0.3">
      <c r="A215" t="s">
        <v>22</v>
      </c>
      <c r="B215">
        <v>2.1499980000000001</v>
      </c>
      <c r="C215" t="s">
        <v>23</v>
      </c>
      <c r="D215">
        <v>1.033088</v>
      </c>
      <c r="E215" t="s">
        <v>24</v>
      </c>
      <c r="F215">
        <v>1.098738</v>
      </c>
      <c r="G215" t="s">
        <v>25</v>
      </c>
      <c r="H215">
        <v>0.91616900000000001</v>
      </c>
      <c r="I215" t="s">
        <v>26</v>
      </c>
      <c r="J215">
        <v>4.8099999999999998E-4</v>
      </c>
      <c r="K215" t="s">
        <v>27</v>
      </c>
      <c r="L215">
        <v>2.3508999999999999E-2</v>
      </c>
      <c r="M215" t="s">
        <v>28</v>
      </c>
      <c r="N215">
        <v>1.9602000000000001E-2</v>
      </c>
      <c r="O215" t="s">
        <v>29</v>
      </c>
      <c r="P215">
        <v>-2.2707000000000001E-2</v>
      </c>
      <c r="Q215" t="s">
        <v>30</v>
      </c>
      <c r="R215">
        <v>-0.37162099999999998</v>
      </c>
      <c r="S215" t="s">
        <v>31</v>
      </c>
      <c r="T215">
        <v>0.59869000000000006</v>
      </c>
      <c r="U215" t="s">
        <v>32</v>
      </c>
      <c r="V215">
        <v>3.7463000000000003E-2</v>
      </c>
      <c r="W215" t="s">
        <v>33</v>
      </c>
      <c r="X215">
        <v>0.16445799999999999</v>
      </c>
      <c r="Y215" t="s">
        <v>34</v>
      </c>
      <c r="Z215">
        <v>0.104183</v>
      </c>
      <c r="AA215" t="s">
        <v>35</v>
      </c>
      <c r="AB215">
        <v>9.4051999999999997E-2</v>
      </c>
      <c r="AC215" t="s">
        <v>36</v>
      </c>
      <c r="AD215">
        <v>0.26973599999999998</v>
      </c>
      <c r="AE215" t="s">
        <v>37</v>
      </c>
      <c r="AF215">
        <v>0.26155299999999998</v>
      </c>
      <c r="AG215" t="s">
        <v>38</v>
      </c>
      <c r="AH215">
        <v>0.969665</v>
      </c>
      <c r="AI215" t="s">
        <v>39</v>
      </c>
      <c r="AJ215">
        <v>0.76875599999999999</v>
      </c>
      <c r="AK215" t="s">
        <v>40</v>
      </c>
      <c r="AL215">
        <v>0.78449100000000005</v>
      </c>
      <c r="AM215" t="s">
        <v>41</v>
      </c>
      <c r="AN215">
        <v>28.000568000000001</v>
      </c>
      <c r="AO215" t="s">
        <v>42</v>
      </c>
      <c r="AP215">
        <v>15.631351</v>
      </c>
    </row>
    <row r="216" spans="1:42" x14ac:dyDescent="0.3">
      <c r="A216" t="s">
        <v>22</v>
      </c>
      <c r="B216">
        <v>2.1599979999999999</v>
      </c>
      <c r="C216" t="s">
        <v>23</v>
      </c>
      <c r="D216">
        <v>1.0329159999999999</v>
      </c>
      <c r="E216" t="s">
        <v>24</v>
      </c>
      <c r="F216">
        <v>1.098088</v>
      </c>
      <c r="G216" t="s">
        <v>25</v>
      </c>
      <c r="H216">
        <v>0.91616900000000001</v>
      </c>
      <c r="I216" t="s">
        <v>26</v>
      </c>
      <c r="J216">
        <v>4.7800000000000002E-4</v>
      </c>
      <c r="K216" t="s">
        <v>27</v>
      </c>
      <c r="L216">
        <v>2.3494999999999999E-2</v>
      </c>
      <c r="M216" t="s">
        <v>28</v>
      </c>
      <c r="N216">
        <v>1.9602000000000001E-2</v>
      </c>
      <c r="O216" t="s">
        <v>29</v>
      </c>
      <c r="P216">
        <v>-2.1791000000000001E-2</v>
      </c>
      <c r="Q216" t="s">
        <v>30</v>
      </c>
      <c r="R216">
        <v>-0.36816700000000002</v>
      </c>
      <c r="S216" t="s">
        <v>31</v>
      </c>
      <c r="T216">
        <v>0.59869000000000006</v>
      </c>
      <c r="U216" t="s">
        <v>32</v>
      </c>
      <c r="V216">
        <v>3.7324000000000003E-2</v>
      </c>
      <c r="W216" t="s">
        <v>33</v>
      </c>
      <c r="X216">
        <v>0.164549</v>
      </c>
      <c r="Y216" t="s">
        <v>34</v>
      </c>
      <c r="Z216">
        <v>0.104183</v>
      </c>
      <c r="AA216" t="s">
        <v>35</v>
      </c>
      <c r="AB216">
        <v>9.3701000000000007E-2</v>
      </c>
      <c r="AC216" t="s">
        <v>36</v>
      </c>
      <c r="AD216">
        <v>0.26967799999999997</v>
      </c>
      <c r="AE216" t="s">
        <v>37</v>
      </c>
      <c r="AF216">
        <v>0.26155299999999998</v>
      </c>
      <c r="AG216" t="s">
        <v>38</v>
      </c>
      <c r="AH216">
        <v>0.96987100000000004</v>
      </c>
      <c r="AI216" t="s">
        <v>39</v>
      </c>
      <c r="AJ216">
        <v>0.76886900000000002</v>
      </c>
      <c r="AK216" t="s">
        <v>40</v>
      </c>
      <c r="AL216">
        <v>0.78449100000000005</v>
      </c>
      <c r="AM216" t="s">
        <v>41</v>
      </c>
      <c r="AN216">
        <v>28.130804000000001</v>
      </c>
      <c r="AO216" t="s">
        <v>42</v>
      </c>
      <c r="AP216">
        <v>15.697387000000001</v>
      </c>
    </row>
    <row r="217" spans="1:42" x14ac:dyDescent="0.3">
      <c r="A217" t="s">
        <v>22</v>
      </c>
      <c r="B217">
        <v>2.1699980000000001</v>
      </c>
      <c r="C217" t="s">
        <v>23</v>
      </c>
      <c r="D217">
        <v>1.032742</v>
      </c>
      <c r="E217" t="s">
        <v>24</v>
      </c>
      <c r="F217">
        <v>1.097442</v>
      </c>
      <c r="G217" t="s">
        <v>25</v>
      </c>
      <c r="H217">
        <v>0.91616900000000001</v>
      </c>
      <c r="I217" t="s">
        <v>26</v>
      </c>
      <c r="J217">
        <v>4.75E-4</v>
      </c>
      <c r="K217" t="s">
        <v>27</v>
      </c>
      <c r="L217">
        <v>2.3481999999999999E-2</v>
      </c>
      <c r="M217" t="s">
        <v>28</v>
      </c>
      <c r="N217">
        <v>1.9602000000000001E-2</v>
      </c>
      <c r="O217" t="s">
        <v>29</v>
      </c>
      <c r="P217">
        <v>-2.0871000000000001E-2</v>
      </c>
      <c r="Q217" t="s">
        <v>30</v>
      </c>
      <c r="R217">
        <v>-0.364736</v>
      </c>
      <c r="S217" t="s">
        <v>31</v>
      </c>
      <c r="T217">
        <v>0.59869000000000006</v>
      </c>
      <c r="U217" t="s">
        <v>32</v>
      </c>
      <c r="V217">
        <v>3.7185000000000003E-2</v>
      </c>
      <c r="W217" t="s">
        <v>33</v>
      </c>
      <c r="X217">
        <v>0.16464000000000001</v>
      </c>
      <c r="Y217" t="s">
        <v>34</v>
      </c>
      <c r="Z217">
        <v>0.104183</v>
      </c>
      <c r="AA217" t="s">
        <v>35</v>
      </c>
      <c r="AB217">
        <v>9.3353000000000005E-2</v>
      </c>
      <c r="AC217" t="s">
        <v>36</v>
      </c>
      <c r="AD217">
        <v>0.26962199999999997</v>
      </c>
      <c r="AE217" t="s">
        <v>37</v>
      </c>
      <c r="AF217">
        <v>0.26155299999999998</v>
      </c>
      <c r="AG217" t="s">
        <v>38</v>
      </c>
      <c r="AH217">
        <v>0.97007500000000002</v>
      </c>
      <c r="AI217" t="s">
        <v>39</v>
      </c>
      <c r="AJ217">
        <v>0.76898100000000003</v>
      </c>
      <c r="AK217" t="s">
        <v>40</v>
      </c>
      <c r="AL217">
        <v>0.78449100000000005</v>
      </c>
      <c r="AM217" t="s">
        <v>41</v>
      </c>
      <c r="AN217">
        <v>28.261040000000001</v>
      </c>
      <c r="AO217" t="s">
        <v>42</v>
      </c>
      <c r="AP217">
        <v>15.763427999999999</v>
      </c>
    </row>
    <row r="218" spans="1:42" x14ac:dyDescent="0.3">
      <c r="A218" t="s">
        <v>22</v>
      </c>
      <c r="B218">
        <v>2.1799979999999999</v>
      </c>
      <c r="C218" t="s">
        <v>23</v>
      </c>
      <c r="D218">
        <v>1.0325690000000001</v>
      </c>
      <c r="E218" t="s">
        <v>24</v>
      </c>
      <c r="F218">
        <v>1.0968009999999999</v>
      </c>
      <c r="G218" t="s">
        <v>25</v>
      </c>
      <c r="H218">
        <v>0.91616900000000001</v>
      </c>
      <c r="I218" t="s">
        <v>26</v>
      </c>
      <c r="J218">
        <v>4.7199999999999998E-4</v>
      </c>
      <c r="K218" t="s">
        <v>27</v>
      </c>
      <c r="L218">
        <v>2.3467999999999999E-2</v>
      </c>
      <c r="M218" t="s">
        <v>28</v>
      </c>
      <c r="N218">
        <v>1.9602000000000001E-2</v>
      </c>
      <c r="O218" t="s">
        <v>29</v>
      </c>
      <c r="P218">
        <v>-1.9949000000000001E-2</v>
      </c>
      <c r="Q218" t="s">
        <v>30</v>
      </c>
      <c r="R218">
        <v>-0.36132700000000001</v>
      </c>
      <c r="S218" t="s">
        <v>31</v>
      </c>
      <c r="T218">
        <v>0.59869000000000006</v>
      </c>
      <c r="U218" t="s">
        <v>32</v>
      </c>
      <c r="V218">
        <v>3.7046999999999997E-2</v>
      </c>
      <c r="W218" t="s">
        <v>33</v>
      </c>
      <c r="X218">
        <v>0.16473099999999999</v>
      </c>
      <c r="Y218" t="s">
        <v>34</v>
      </c>
      <c r="Z218">
        <v>0.104183</v>
      </c>
      <c r="AA218" t="s">
        <v>35</v>
      </c>
      <c r="AB218">
        <v>9.3007000000000006E-2</v>
      </c>
      <c r="AC218" t="s">
        <v>36</v>
      </c>
      <c r="AD218">
        <v>0.269565</v>
      </c>
      <c r="AE218" t="s">
        <v>37</v>
      </c>
      <c r="AF218">
        <v>0.26155299999999998</v>
      </c>
      <c r="AG218" t="s">
        <v>38</v>
      </c>
      <c r="AH218">
        <v>0.97027699999999995</v>
      </c>
      <c r="AI218" t="s">
        <v>39</v>
      </c>
      <c r="AJ218">
        <v>0.769092</v>
      </c>
      <c r="AK218" t="s">
        <v>40</v>
      </c>
      <c r="AL218">
        <v>0.78449100000000005</v>
      </c>
      <c r="AM218" t="s">
        <v>41</v>
      </c>
      <c r="AN218">
        <v>28.391273000000002</v>
      </c>
      <c r="AO218" t="s">
        <v>42</v>
      </c>
      <c r="AP218">
        <v>15.829476</v>
      </c>
    </row>
    <row r="219" spans="1:42" x14ac:dyDescent="0.3">
      <c r="A219" t="s">
        <v>22</v>
      </c>
      <c r="B219">
        <v>2.1899980000000001</v>
      </c>
      <c r="C219" t="s">
        <v>23</v>
      </c>
      <c r="D219">
        <v>1.032395</v>
      </c>
      <c r="E219" t="s">
        <v>24</v>
      </c>
      <c r="F219">
        <v>1.0961639999999999</v>
      </c>
      <c r="G219" t="s">
        <v>25</v>
      </c>
      <c r="H219">
        <v>0.91616900000000001</v>
      </c>
      <c r="I219" t="s">
        <v>26</v>
      </c>
      <c r="J219">
        <v>4.6900000000000002E-4</v>
      </c>
      <c r="K219" t="s">
        <v>27</v>
      </c>
      <c r="L219">
        <v>2.3453999999999999E-2</v>
      </c>
      <c r="M219" t="s">
        <v>28</v>
      </c>
      <c r="N219">
        <v>1.9602000000000001E-2</v>
      </c>
      <c r="O219" t="s">
        <v>29</v>
      </c>
      <c r="P219">
        <v>-1.9023999999999999E-2</v>
      </c>
      <c r="Q219" t="s">
        <v>30</v>
      </c>
      <c r="R219">
        <v>-0.35794100000000001</v>
      </c>
      <c r="S219" t="s">
        <v>31</v>
      </c>
      <c r="T219">
        <v>0.59869000000000006</v>
      </c>
      <c r="U219" t="s">
        <v>32</v>
      </c>
      <c r="V219">
        <v>3.6909999999999998E-2</v>
      </c>
      <c r="W219" t="s">
        <v>33</v>
      </c>
      <c r="X219">
        <v>0.164823</v>
      </c>
      <c r="Y219" t="s">
        <v>34</v>
      </c>
      <c r="Z219">
        <v>0.104183</v>
      </c>
      <c r="AA219" t="s">
        <v>35</v>
      </c>
      <c r="AB219">
        <v>9.2663999999999996E-2</v>
      </c>
      <c r="AC219" t="s">
        <v>36</v>
      </c>
      <c r="AD219">
        <v>0.26951000000000003</v>
      </c>
      <c r="AE219" t="s">
        <v>37</v>
      </c>
      <c r="AF219">
        <v>0.26155299999999998</v>
      </c>
      <c r="AG219" t="s">
        <v>38</v>
      </c>
      <c r="AH219">
        <v>0.97047700000000003</v>
      </c>
      <c r="AI219" t="s">
        <v>39</v>
      </c>
      <c r="AJ219">
        <v>0.76920200000000005</v>
      </c>
      <c r="AK219" t="s">
        <v>40</v>
      </c>
      <c r="AL219">
        <v>0.78449100000000005</v>
      </c>
      <c r="AM219" t="s">
        <v>41</v>
      </c>
      <c r="AN219">
        <v>28.521509000000002</v>
      </c>
      <c r="AO219" t="s">
        <v>42</v>
      </c>
      <c r="AP219">
        <v>15.895531</v>
      </c>
    </row>
    <row r="220" spans="1:42" x14ac:dyDescent="0.3">
      <c r="A220" t="s">
        <v>22</v>
      </c>
      <c r="B220">
        <v>2.1999979999999999</v>
      </c>
      <c r="C220" t="s">
        <v>23</v>
      </c>
      <c r="D220">
        <v>1.0322199999999999</v>
      </c>
      <c r="E220" t="s">
        <v>24</v>
      </c>
      <c r="F220">
        <v>1.095531</v>
      </c>
      <c r="G220" t="s">
        <v>25</v>
      </c>
      <c r="H220">
        <v>0.91616900000000001</v>
      </c>
      <c r="I220" t="s">
        <v>26</v>
      </c>
      <c r="J220">
        <v>4.66E-4</v>
      </c>
      <c r="K220" t="s">
        <v>27</v>
      </c>
      <c r="L220">
        <v>2.3441E-2</v>
      </c>
      <c r="M220" t="s">
        <v>28</v>
      </c>
      <c r="N220">
        <v>1.9602000000000001E-2</v>
      </c>
      <c r="O220" t="s">
        <v>29</v>
      </c>
      <c r="P220">
        <v>-1.8096000000000001E-2</v>
      </c>
      <c r="Q220" t="s">
        <v>30</v>
      </c>
      <c r="R220">
        <v>-0.354578</v>
      </c>
      <c r="S220" t="s">
        <v>31</v>
      </c>
      <c r="T220">
        <v>0.59869000000000006</v>
      </c>
      <c r="U220" t="s">
        <v>32</v>
      </c>
      <c r="V220">
        <v>3.6774000000000001E-2</v>
      </c>
      <c r="W220" t="s">
        <v>33</v>
      </c>
      <c r="X220">
        <v>0.16491500000000001</v>
      </c>
      <c r="Y220" t="s">
        <v>34</v>
      </c>
      <c r="Z220">
        <v>0.104183</v>
      </c>
      <c r="AA220" t="s">
        <v>35</v>
      </c>
      <c r="AB220">
        <v>9.2322000000000001E-2</v>
      </c>
      <c r="AC220" t="s">
        <v>36</v>
      </c>
      <c r="AD220">
        <v>0.269455</v>
      </c>
      <c r="AE220" t="s">
        <v>37</v>
      </c>
      <c r="AF220">
        <v>0.26155299999999998</v>
      </c>
      <c r="AG220" t="s">
        <v>38</v>
      </c>
      <c r="AH220">
        <v>0.97067499999999995</v>
      </c>
      <c r="AI220" t="s">
        <v>39</v>
      </c>
      <c r="AJ220">
        <v>0.76930900000000002</v>
      </c>
      <c r="AK220" t="s">
        <v>40</v>
      </c>
      <c r="AL220">
        <v>0.78449100000000005</v>
      </c>
      <c r="AM220" t="s">
        <v>41</v>
      </c>
      <c r="AN220">
        <v>28.651744999999998</v>
      </c>
      <c r="AO220" t="s">
        <v>42</v>
      </c>
      <c r="AP220">
        <v>15.961594</v>
      </c>
    </row>
    <row r="221" spans="1:42" x14ac:dyDescent="0.3">
      <c r="A221" t="s">
        <v>22</v>
      </c>
      <c r="B221">
        <v>2.2099980000000001</v>
      </c>
      <c r="C221" t="s">
        <v>23</v>
      </c>
      <c r="D221">
        <v>1.0320450000000001</v>
      </c>
      <c r="E221" t="s">
        <v>24</v>
      </c>
      <c r="F221">
        <v>1.094902</v>
      </c>
      <c r="G221" t="s">
        <v>25</v>
      </c>
      <c r="H221">
        <v>0.91616900000000001</v>
      </c>
      <c r="I221" t="s">
        <v>26</v>
      </c>
      <c r="J221">
        <v>4.64E-4</v>
      </c>
      <c r="K221" t="s">
        <v>27</v>
      </c>
      <c r="L221">
        <v>2.3427E-2</v>
      </c>
      <c r="M221" t="s">
        <v>28</v>
      </c>
      <c r="N221">
        <v>1.9602000000000001E-2</v>
      </c>
      <c r="O221" t="s">
        <v>29</v>
      </c>
      <c r="P221">
        <v>-1.7167000000000002E-2</v>
      </c>
      <c r="Q221" t="s">
        <v>30</v>
      </c>
      <c r="R221">
        <v>-0.35123599999999999</v>
      </c>
      <c r="S221" t="s">
        <v>31</v>
      </c>
      <c r="T221">
        <v>0.59869000000000006</v>
      </c>
      <c r="U221" t="s">
        <v>32</v>
      </c>
      <c r="V221">
        <v>3.6638999999999998E-2</v>
      </c>
      <c r="W221" t="s">
        <v>33</v>
      </c>
      <c r="X221">
        <v>0.16500799999999999</v>
      </c>
      <c r="Y221" t="s">
        <v>34</v>
      </c>
      <c r="Z221">
        <v>0.104183</v>
      </c>
      <c r="AA221" t="s">
        <v>35</v>
      </c>
      <c r="AB221">
        <v>9.1982999999999995E-2</v>
      </c>
      <c r="AC221" t="s">
        <v>36</v>
      </c>
      <c r="AD221">
        <v>0.26939999999999997</v>
      </c>
      <c r="AE221" t="s">
        <v>37</v>
      </c>
      <c r="AF221">
        <v>0.26155299999999998</v>
      </c>
      <c r="AG221" t="s">
        <v>38</v>
      </c>
      <c r="AH221">
        <v>0.97087199999999996</v>
      </c>
      <c r="AI221" t="s">
        <v>39</v>
      </c>
      <c r="AJ221">
        <v>0.76941700000000002</v>
      </c>
      <c r="AK221" t="s">
        <v>40</v>
      </c>
      <c r="AL221">
        <v>0.78449100000000005</v>
      </c>
      <c r="AM221" t="s">
        <v>41</v>
      </c>
      <c r="AN221">
        <v>28.781980999999998</v>
      </c>
      <c r="AO221" t="s">
        <v>42</v>
      </c>
      <c r="AP221">
        <v>16.027660000000001</v>
      </c>
    </row>
    <row r="222" spans="1:42" x14ac:dyDescent="0.3">
      <c r="A222" t="s">
        <v>22</v>
      </c>
      <c r="B222">
        <v>2.2199979999999999</v>
      </c>
      <c r="C222" t="s">
        <v>23</v>
      </c>
      <c r="D222">
        <v>1.0318700000000001</v>
      </c>
      <c r="E222" t="s">
        <v>24</v>
      </c>
      <c r="F222">
        <v>1.0942780000000001</v>
      </c>
      <c r="G222" t="s">
        <v>25</v>
      </c>
      <c r="H222">
        <v>0.91616900000000001</v>
      </c>
      <c r="I222" t="s">
        <v>26</v>
      </c>
      <c r="J222">
        <v>4.6099999999999998E-4</v>
      </c>
      <c r="K222" t="s">
        <v>27</v>
      </c>
      <c r="L222">
        <v>2.3414000000000001E-2</v>
      </c>
      <c r="M222" t="s">
        <v>28</v>
      </c>
      <c r="N222">
        <v>1.9602000000000001E-2</v>
      </c>
      <c r="O222" t="s">
        <v>29</v>
      </c>
      <c r="P222">
        <v>-1.6233999999999998E-2</v>
      </c>
      <c r="Q222" t="s">
        <v>30</v>
      </c>
      <c r="R222">
        <v>-0.34791699999999998</v>
      </c>
      <c r="S222" t="s">
        <v>31</v>
      </c>
      <c r="T222">
        <v>0.59869000000000006</v>
      </c>
      <c r="U222" t="s">
        <v>32</v>
      </c>
      <c r="V222">
        <v>3.6505000000000003E-2</v>
      </c>
      <c r="W222" t="s">
        <v>33</v>
      </c>
      <c r="X222">
        <v>0.165101</v>
      </c>
      <c r="Y222" t="s">
        <v>34</v>
      </c>
      <c r="Z222">
        <v>0.104183</v>
      </c>
      <c r="AA222" t="s">
        <v>35</v>
      </c>
      <c r="AB222">
        <v>9.1646000000000005E-2</v>
      </c>
      <c r="AC222" t="s">
        <v>36</v>
      </c>
      <c r="AD222">
        <v>0.26934599999999997</v>
      </c>
      <c r="AE222" t="s">
        <v>37</v>
      </c>
      <c r="AF222">
        <v>0.26155299999999998</v>
      </c>
      <c r="AG222" t="s">
        <v>38</v>
      </c>
      <c r="AH222">
        <v>0.97106599999999998</v>
      </c>
      <c r="AI222" t="s">
        <v>39</v>
      </c>
      <c r="AJ222">
        <v>0.76952299999999996</v>
      </c>
      <c r="AK222" t="s">
        <v>40</v>
      </c>
      <c r="AL222">
        <v>0.78449100000000005</v>
      </c>
      <c r="AM222" t="s">
        <v>41</v>
      </c>
      <c r="AN222">
        <v>28.912213999999999</v>
      </c>
      <c r="AO222" t="s">
        <v>42</v>
      </c>
      <c r="AP222">
        <v>16.093734999999999</v>
      </c>
    </row>
    <row r="223" spans="1:42" x14ac:dyDescent="0.3">
      <c r="A223" t="s">
        <v>22</v>
      </c>
      <c r="B223">
        <v>2.2299980000000001</v>
      </c>
      <c r="C223" t="s">
        <v>23</v>
      </c>
      <c r="D223">
        <v>1.0316940000000001</v>
      </c>
      <c r="E223" t="s">
        <v>24</v>
      </c>
      <c r="F223">
        <v>1.0936570000000001</v>
      </c>
      <c r="G223" t="s">
        <v>25</v>
      </c>
      <c r="H223">
        <v>0.91616900000000001</v>
      </c>
      <c r="I223" t="s">
        <v>26</v>
      </c>
      <c r="J223">
        <v>4.5800000000000002E-4</v>
      </c>
      <c r="K223" t="s">
        <v>27</v>
      </c>
      <c r="L223">
        <v>2.3401000000000002E-2</v>
      </c>
      <c r="M223" t="s">
        <v>28</v>
      </c>
      <c r="N223">
        <v>1.9602000000000001E-2</v>
      </c>
      <c r="O223" t="s">
        <v>29</v>
      </c>
      <c r="P223">
        <v>-1.5299E-2</v>
      </c>
      <c r="Q223" t="s">
        <v>30</v>
      </c>
      <c r="R223">
        <v>-0.34461900000000001</v>
      </c>
      <c r="S223" t="s">
        <v>31</v>
      </c>
      <c r="T223">
        <v>0.59869000000000006</v>
      </c>
      <c r="U223" t="s">
        <v>32</v>
      </c>
      <c r="V223">
        <v>3.6372000000000002E-2</v>
      </c>
      <c r="W223" t="s">
        <v>33</v>
      </c>
      <c r="X223">
        <v>0.16519400000000001</v>
      </c>
      <c r="Y223" t="s">
        <v>34</v>
      </c>
      <c r="Z223">
        <v>0.104183</v>
      </c>
      <c r="AA223" t="s">
        <v>35</v>
      </c>
      <c r="AB223">
        <v>9.1311000000000003E-2</v>
      </c>
      <c r="AC223" t="s">
        <v>36</v>
      </c>
      <c r="AD223">
        <v>0.269293</v>
      </c>
      <c r="AE223" t="s">
        <v>37</v>
      </c>
      <c r="AF223">
        <v>0.26155299999999998</v>
      </c>
      <c r="AG223" t="s">
        <v>38</v>
      </c>
      <c r="AH223">
        <v>0.97125899999999998</v>
      </c>
      <c r="AI223" t="s">
        <v>39</v>
      </c>
      <c r="AJ223">
        <v>0.76962799999999998</v>
      </c>
      <c r="AK223" t="s">
        <v>40</v>
      </c>
      <c r="AL223">
        <v>0.78449100000000005</v>
      </c>
      <c r="AM223" t="s">
        <v>41</v>
      </c>
      <c r="AN223">
        <v>29.042449999999999</v>
      </c>
      <c r="AO223" t="s">
        <v>42</v>
      </c>
      <c r="AP223">
        <v>16.159817</v>
      </c>
    </row>
    <row r="224" spans="1:42" x14ac:dyDescent="0.3">
      <c r="A224" t="s">
        <v>22</v>
      </c>
      <c r="B224">
        <v>2.2399979999999999</v>
      </c>
      <c r="C224" t="s">
        <v>23</v>
      </c>
      <c r="D224">
        <v>1.0315179999999999</v>
      </c>
      <c r="E224" t="s">
        <v>24</v>
      </c>
      <c r="F224">
        <v>1.0930409999999999</v>
      </c>
      <c r="G224" t="s">
        <v>25</v>
      </c>
      <c r="H224">
        <v>0.91616900000000001</v>
      </c>
      <c r="I224" t="s">
        <v>26</v>
      </c>
      <c r="J224">
        <v>4.5600000000000003E-4</v>
      </c>
      <c r="K224" t="s">
        <v>27</v>
      </c>
      <c r="L224">
        <v>2.3387000000000002E-2</v>
      </c>
      <c r="M224" t="s">
        <v>28</v>
      </c>
      <c r="N224">
        <v>1.9602000000000001E-2</v>
      </c>
      <c r="O224" t="s">
        <v>29</v>
      </c>
      <c r="P224">
        <v>-1.4362E-2</v>
      </c>
      <c r="Q224" t="s">
        <v>30</v>
      </c>
      <c r="R224">
        <v>-0.34134399999999998</v>
      </c>
      <c r="S224" t="s">
        <v>31</v>
      </c>
      <c r="T224">
        <v>0.59869000000000006</v>
      </c>
      <c r="U224" t="s">
        <v>32</v>
      </c>
      <c r="V224">
        <v>3.6239E-2</v>
      </c>
      <c r="W224" t="s">
        <v>33</v>
      </c>
      <c r="X224">
        <v>0.16528699999999999</v>
      </c>
      <c r="Y224" t="s">
        <v>34</v>
      </c>
      <c r="Z224">
        <v>0.104183</v>
      </c>
      <c r="AA224" t="s">
        <v>35</v>
      </c>
      <c r="AB224">
        <v>9.0979000000000004E-2</v>
      </c>
      <c r="AC224" t="s">
        <v>36</v>
      </c>
      <c r="AD224">
        <v>0.26923999999999998</v>
      </c>
      <c r="AE224" t="s">
        <v>37</v>
      </c>
      <c r="AF224">
        <v>0.26155299999999998</v>
      </c>
      <c r="AG224" t="s">
        <v>38</v>
      </c>
      <c r="AH224">
        <v>0.97144900000000001</v>
      </c>
      <c r="AI224" t="s">
        <v>39</v>
      </c>
      <c r="AJ224">
        <v>0.76973199999999997</v>
      </c>
      <c r="AK224" t="s">
        <v>40</v>
      </c>
      <c r="AL224">
        <v>0.78449100000000005</v>
      </c>
      <c r="AM224" t="s">
        <v>41</v>
      </c>
      <c r="AN224">
        <v>29.172685999999999</v>
      </c>
      <c r="AO224" t="s">
        <v>42</v>
      </c>
      <c r="AP224">
        <v>16.225905999999998</v>
      </c>
    </row>
    <row r="225" spans="1:42" x14ac:dyDescent="0.3">
      <c r="A225" t="s">
        <v>22</v>
      </c>
      <c r="B225">
        <v>2.2499980000000002</v>
      </c>
      <c r="C225" t="s">
        <v>23</v>
      </c>
      <c r="D225">
        <v>1.0313410000000001</v>
      </c>
      <c r="E225" t="s">
        <v>24</v>
      </c>
      <c r="F225">
        <v>1.092428</v>
      </c>
      <c r="G225" t="s">
        <v>25</v>
      </c>
      <c r="H225">
        <v>0.91616900000000001</v>
      </c>
      <c r="I225" t="s">
        <v>26</v>
      </c>
      <c r="J225">
        <v>4.5300000000000001E-4</v>
      </c>
      <c r="K225" t="s">
        <v>27</v>
      </c>
      <c r="L225">
        <v>2.3373999999999999E-2</v>
      </c>
      <c r="M225" t="s">
        <v>28</v>
      </c>
      <c r="N225">
        <v>1.9602000000000001E-2</v>
      </c>
      <c r="O225" t="s">
        <v>29</v>
      </c>
      <c r="P225">
        <v>-1.3424999999999999E-2</v>
      </c>
      <c r="Q225" t="s">
        <v>30</v>
      </c>
      <c r="R225">
        <v>-0.33808899999999997</v>
      </c>
      <c r="S225" t="s">
        <v>31</v>
      </c>
      <c r="T225">
        <v>0.59869000000000006</v>
      </c>
      <c r="U225" t="s">
        <v>32</v>
      </c>
      <c r="V225">
        <v>3.6107E-2</v>
      </c>
      <c r="W225" t="s">
        <v>33</v>
      </c>
      <c r="X225">
        <v>0.165381</v>
      </c>
      <c r="Y225" t="s">
        <v>34</v>
      </c>
      <c r="Z225">
        <v>0.104183</v>
      </c>
      <c r="AA225" t="s">
        <v>35</v>
      </c>
      <c r="AB225">
        <v>9.0648000000000006E-2</v>
      </c>
      <c r="AC225" t="s">
        <v>36</v>
      </c>
      <c r="AD225">
        <v>0.26918799999999998</v>
      </c>
      <c r="AE225" t="s">
        <v>37</v>
      </c>
      <c r="AF225">
        <v>0.26155299999999998</v>
      </c>
      <c r="AG225" t="s">
        <v>38</v>
      </c>
      <c r="AH225">
        <v>0.971638</v>
      </c>
      <c r="AI225" t="s">
        <v>39</v>
      </c>
      <c r="AJ225">
        <v>0.76983500000000005</v>
      </c>
      <c r="AK225" t="s">
        <v>40</v>
      </c>
      <c r="AL225">
        <v>0.78449100000000005</v>
      </c>
      <c r="AM225" t="s">
        <v>41</v>
      </c>
      <c r="AN225">
        <v>29.302921000000001</v>
      </c>
      <c r="AO225" t="s">
        <v>42</v>
      </c>
      <c r="AP225">
        <v>16.292003999999999</v>
      </c>
    </row>
    <row r="226" spans="1:42" x14ac:dyDescent="0.3">
      <c r="A226" t="s">
        <v>22</v>
      </c>
      <c r="B226">
        <v>2.259998</v>
      </c>
      <c r="C226" t="s">
        <v>23</v>
      </c>
      <c r="D226">
        <v>1.031164</v>
      </c>
      <c r="E226" t="s">
        <v>24</v>
      </c>
      <c r="F226">
        <v>1.09182</v>
      </c>
      <c r="G226" t="s">
        <v>25</v>
      </c>
      <c r="H226">
        <v>0.91616900000000001</v>
      </c>
      <c r="I226" t="s">
        <v>26</v>
      </c>
      <c r="J226">
        <v>4.4999999999999999E-4</v>
      </c>
      <c r="K226" t="s">
        <v>27</v>
      </c>
      <c r="L226">
        <v>2.3361E-2</v>
      </c>
      <c r="M226" t="s">
        <v>28</v>
      </c>
      <c r="N226">
        <v>1.9602000000000001E-2</v>
      </c>
      <c r="O226" t="s">
        <v>29</v>
      </c>
      <c r="P226">
        <v>-1.2482999999999999E-2</v>
      </c>
      <c r="Q226" t="s">
        <v>30</v>
      </c>
      <c r="R226">
        <v>-0.33485500000000001</v>
      </c>
      <c r="S226" t="s">
        <v>31</v>
      </c>
      <c r="T226">
        <v>0.59869000000000006</v>
      </c>
      <c r="U226" t="s">
        <v>32</v>
      </c>
      <c r="V226">
        <v>3.5977000000000002E-2</v>
      </c>
      <c r="W226" t="s">
        <v>33</v>
      </c>
      <c r="X226">
        <v>0.16547500000000001</v>
      </c>
      <c r="Y226" t="s">
        <v>34</v>
      </c>
      <c r="Z226">
        <v>0.104183</v>
      </c>
      <c r="AA226" t="s">
        <v>35</v>
      </c>
      <c r="AB226">
        <v>9.0319999999999998E-2</v>
      </c>
      <c r="AC226" t="s">
        <v>36</v>
      </c>
      <c r="AD226">
        <v>0.26913599999999999</v>
      </c>
      <c r="AE226" t="s">
        <v>37</v>
      </c>
      <c r="AF226">
        <v>0.26155299999999998</v>
      </c>
      <c r="AG226" t="s">
        <v>38</v>
      </c>
      <c r="AH226">
        <v>0.97182599999999997</v>
      </c>
      <c r="AI226" t="s">
        <v>39</v>
      </c>
      <c r="AJ226">
        <v>0.76993699999999998</v>
      </c>
      <c r="AK226" t="s">
        <v>40</v>
      </c>
      <c r="AL226">
        <v>0.78449100000000005</v>
      </c>
      <c r="AM226" t="s">
        <v>41</v>
      </c>
      <c r="AN226">
        <v>29.433154999999999</v>
      </c>
      <c r="AO226" t="s">
        <v>42</v>
      </c>
      <c r="AP226">
        <v>16.358104999999998</v>
      </c>
    </row>
    <row r="227" spans="1:42" x14ac:dyDescent="0.3">
      <c r="A227" t="s">
        <v>22</v>
      </c>
      <c r="B227">
        <v>2.2699980000000002</v>
      </c>
      <c r="C227" t="s">
        <v>23</v>
      </c>
      <c r="D227">
        <v>1.0309870000000001</v>
      </c>
      <c r="E227" t="s">
        <v>24</v>
      </c>
      <c r="F227">
        <v>1.091215</v>
      </c>
      <c r="G227" t="s">
        <v>25</v>
      </c>
      <c r="H227">
        <v>0.91616900000000001</v>
      </c>
      <c r="I227" t="s">
        <v>26</v>
      </c>
      <c r="J227">
        <v>4.4799999999999999E-4</v>
      </c>
      <c r="K227" t="s">
        <v>27</v>
      </c>
      <c r="L227">
        <v>2.3348000000000001E-2</v>
      </c>
      <c r="M227" t="s">
        <v>28</v>
      </c>
      <c r="N227">
        <v>1.9602000000000001E-2</v>
      </c>
      <c r="O227" t="s">
        <v>29</v>
      </c>
      <c r="P227">
        <v>-1.154E-2</v>
      </c>
      <c r="Q227" t="s">
        <v>30</v>
      </c>
      <c r="R227">
        <v>-0.33164300000000002</v>
      </c>
      <c r="S227" t="s">
        <v>31</v>
      </c>
      <c r="T227">
        <v>0.59869000000000006</v>
      </c>
      <c r="U227" t="s">
        <v>32</v>
      </c>
      <c r="V227">
        <v>3.5846999999999997E-2</v>
      </c>
      <c r="W227" t="s">
        <v>33</v>
      </c>
      <c r="X227">
        <v>0.16556999999999999</v>
      </c>
      <c r="Y227" t="s">
        <v>34</v>
      </c>
      <c r="Z227">
        <v>0.104183</v>
      </c>
      <c r="AA227" t="s">
        <v>35</v>
      </c>
      <c r="AB227">
        <v>8.9993000000000004E-2</v>
      </c>
      <c r="AC227" t="s">
        <v>36</v>
      </c>
      <c r="AD227">
        <v>0.26908399999999999</v>
      </c>
      <c r="AE227" t="s">
        <v>37</v>
      </c>
      <c r="AF227">
        <v>0.26155299999999998</v>
      </c>
      <c r="AG227" t="s">
        <v>38</v>
      </c>
      <c r="AH227">
        <v>0.97201099999999996</v>
      </c>
      <c r="AI227" t="s">
        <v>39</v>
      </c>
      <c r="AJ227">
        <v>0.770038</v>
      </c>
      <c r="AK227" t="s">
        <v>40</v>
      </c>
      <c r="AL227">
        <v>0.78449100000000005</v>
      </c>
      <c r="AM227" t="s">
        <v>41</v>
      </c>
      <c r="AN227">
        <v>29.563390999999999</v>
      </c>
      <c r="AO227" t="s">
        <v>42</v>
      </c>
      <c r="AP227">
        <v>16.424215</v>
      </c>
    </row>
    <row r="228" spans="1:42" x14ac:dyDescent="0.3">
      <c r="A228" t="s">
        <v>22</v>
      </c>
      <c r="B228">
        <v>2.279998</v>
      </c>
      <c r="C228" t="s">
        <v>23</v>
      </c>
      <c r="D228">
        <v>1.0308090000000001</v>
      </c>
      <c r="E228" t="s">
        <v>24</v>
      </c>
      <c r="F228">
        <v>1.0906149999999999</v>
      </c>
      <c r="G228" t="s">
        <v>25</v>
      </c>
      <c r="H228">
        <v>0.91616900000000001</v>
      </c>
      <c r="I228" t="s">
        <v>26</v>
      </c>
      <c r="J228">
        <v>4.4499999999999997E-4</v>
      </c>
      <c r="K228" t="s">
        <v>27</v>
      </c>
      <c r="L228">
        <v>2.3335000000000002E-2</v>
      </c>
      <c r="M228" t="s">
        <v>28</v>
      </c>
      <c r="N228">
        <v>1.9602000000000001E-2</v>
      </c>
      <c r="O228" t="s">
        <v>29</v>
      </c>
      <c r="P228">
        <v>-1.0596E-2</v>
      </c>
      <c r="Q228" t="s">
        <v>30</v>
      </c>
      <c r="R228">
        <v>-0.32845200000000002</v>
      </c>
      <c r="S228" t="s">
        <v>31</v>
      </c>
      <c r="T228">
        <v>0.59869000000000006</v>
      </c>
      <c r="U228" t="s">
        <v>32</v>
      </c>
      <c r="V228">
        <v>3.5716999999999999E-2</v>
      </c>
      <c r="W228" t="s">
        <v>33</v>
      </c>
      <c r="X228">
        <v>0.16566500000000001</v>
      </c>
      <c r="Y228" t="s">
        <v>34</v>
      </c>
      <c r="Z228">
        <v>0.104183</v>
      </c>
      <c r="AA228" t="s">
        <v>35</v>
      </c>
      <c r="AB228">
        <v>8.9668999999999999E-2</v>
      </c>
      <c r="AC228" t="s">
        <v>36</v>
      </c>
      <c r="AD228">
        <v>0.269034</v>
      </c>
      <c r="AE228" t="s">
        <v>37</v>
      </c>
      <c r="AF228">
        <v>0.26155299999999998</v>
      </c>
      <c r="AG228" t="s">
        <v>38</v>
      </c>
      <c r="AH228">
        <v>0.97219500000000003</v>
      </c>
      <c r="AI228" t="s">
        <v>39</v>
      </c>
      <c r="AJ228">
        <v>0.77013799999999999</v>
      </c>
      <c r="AK228" t="s">
        <v>40</v>
      </c>
      <c r="AL228">
        <v>0.78449100000000005</v>
      </c>
      <c r="AM228" t="s">
        <v>41</v>
      </c>
      <c r="AN228">
        <v>29.693625999999998</v>
      </c>
      <c r="AO228" t="s">
        <v>42</v>
      </c>
      <c r="AP228">
        <v>16.490334000000001</v>
      </c>
    </row>
    <row r="229" spans="1:42" x14ac:dyDescent="0.3">
      <c r="A229" t="s">
        <v>22</v>
      </c>
      <c r="B229">
        <v>2.2899980000000002</v>
      </c>
      <c r="C229" t="s">
        <v>23</v>
      </c>
      <c r="D229">
        <v>1.0306310000000001</v>
      </c>
      <c r="E229" t="s">
        <v>24</v>
      </c>
      <c r="F229">
        <v>1.0900179999999999</v>
      </c>
      <c r="G229" t="s">
        <v>25</v>
      </c>
      <c r="H229">
        <v>0.91616900000000001</v>
      </c>
      <c r="I229" t="s">
        <v>26</v>
      </c>
      <c r="J229">
        <v>4.4299999999999998E-4</v>
      </c>
      <c r="K229" t="s">
        <v>27</v>
      </c>
      <c r="L229">
        <v>2.3323E-2</v>
      </c>
      <c r="M229" t="s">
        <v>28</v>
      </c>
      <c r="N229">
        <v>1.9602000000000001E-2</v>
      </c>
      <c r="O229" t="s">
        <v>29</v>
      </c>
      <c r="P229">
        <v>-9.6520000000000009E-3</v>
      </c>
      <c r="Q229" t="s">
        <v>30</v>
      </c>
      <c r="R229">
        <v>-0.32528099999999999</v>
      </c>
      <c r="S229" t="s">
        <v>31</v>
      </c>
      <c r="T229">
        <v>0.59869000000000006</v>
      </c>
      <c r="U229" t="s">
        <v>32</v>
      </c>
      <c r="V229">
        <v>3.5589000000000003E-2</v>
      </c>
      <c r="W229" t="s">
        <v>33</v>
      </c>
      <c r="X229">
        <v>0.16575999999999999</v>
      </c>
      <c r="Y229" t="s">
        <v>34</v>
      </c>
      <c r="Z229">
        <v>0.104183</v>
      </c>
      <c r="AA229" t="s">
        <v>35</v>
      </c>
      <c r="AB229">
        <v>8.9346999999999996E-2</v>
      </c>
      <c r="AC229" t="s">
        <v>36</v>
      </c>
      <c r="AD229">
        <v>0.26898300000000003</v>
      </c>
      <c r="AE229" t="s">
        <v>37</v>
      </c>
      <c r="AF229">
        <v>0.26155299999999998</v>
      </c>
      <c r="AG229" t="s">
        <v>38</v>
      </c>
      <c r="AH229">
        <v>0.97237700000000005</v>
      </c>
      <c r="AI229" t="s">
        <v>39</v>
      </c>
      <c r="AJ229">
        <v>0.77023699999999995</v>
      </c>
      <c r="AK229" t="s">
        <v>40</v>
      </c>
      <c r="AL229">
        <v>0.78449100000000005</v>
      </c>
      <c r="AM229" t="s">
        <v>41</v>
      </c>
      <c r="AN229">
        <v>29.823861999999998</v>
      </c>
      <c r="AO229" t="s">
        <v>42</v>
      </c>
      <c r="AP229">
        <v>16.556457999999999</v>
      </c>
    </row>
    <row r="230" spans="1:42" x14ac:dyDescent="0.3">
      <c r="A230" t="s">
        <v>22</v>
      </c>
      <c r="B230">
        <v>2.299998</v>
      </c>
      <c r="C230" t="s">
        <v>23</v>
      </c>
      <c r="D230">
        <v>1.0304530000000001</v>
      </c>
      <c r="E230" t="s">
        <v>24</v>
      </c>
      <c r="F230">
        <v>1.089426</v>
      </c>
      <c r="G230" t="s">
        <v>25</v>
      </c>
      <c r="H230">
        <v>0.91616900000000001</v>
      </c>
      <c r="I230" t="s">
        <v>26</v>
      </c>
      <c r="J230">
        <v>4.4000000000000002E-4</v>
      </c>
      <c r="K230" t="s">
        <v>27</v>
      </c>
      <c r="L230">
        <v>2.3310000000000001E-2</v>
      </c>
      <c r="M230" t="s">
        <v>28</v>
      </c>
      <c r="N230">
        <v>1.9602000000000001E-2</v>
      </c>
      <c r="O230" t="s">
        <v>29</v>
      </c>
      <c r="P230">
        <v>-8.7030000000000007E-3</v>
      </c>
      <c r="Q230" t="s">
        <v>30</v>
      </c>
      <c r="R230">
        <v>-0.322131</v>
      </c>
      <c r="S230" t="s">
        <v>31</v>
      </c>
      <c r="T230">
        <v>0.59869000000000006</v>
      </c>
      <c r="U230" t="s">
        <v>32</v>
      </c>
      <c r="V230">
        <v>3.5462E-2</v>
      </c>
      <c r="W230" t="s">
        <v>33</v>
      </c>
      <c r="X230">
        <v>0.165856</v>
      </c>
      <c r="Y230" t="s">
        <v>34</v>
      </c>
      <c r="Z230">
        <v>0.104183</v>
      </c>
      <c r="AA230" t="s">
        <v>35</v>
      </c>
      <c r="AB230">
        <v>8.9026999999999995E-2</v>
      </c>
      <c r="AC230" t="s">
        <v>36</v>
      </c>
      <c r="AD230">
        <v>0.26893299999999998</v>
      </c>
      <c r="AE230" t="s">
        <v>37</v>
      </c>
      <c r="AF230">
        <v>0.26155299999999998</v>
      </c>
      <c r="AG230" t="s">
        <v>38</v>
      </c>
      <c r="AH230">
        <v>0.972557</v>
      </c>
      <c r="AI230" t="s">
        <v>39</v>
      </c>
      <c r="AJ230">
        <v>0.77033499999999999</v>
      </c>
      <c r="AK230" t="s">
        <v>40</v>
      </c>
      <c r="AL230">
        <v>0.78449100000000005</v>
      </c>
      <c r="AM230" t="s">
        <v>41</v>
      </c>
      <c r="AN230">
        <v>29.954096</v>
      </c>
      <c r="AO230" t="s">
        <v>42</v>
      </c>
      <c r="AP230">
        <v>16.622586999999999</v>
      </c>
    </row>
    <row r="231" spans="1:42" x14ac:dyDescent="0.3">
      <c r="A231" t="s">
        <v>22</v>
      </c>
      <c r="B231">
        <v>2.3099980000000002</v>
      </c>
      <c r="C231" t="s">
        <v>23</v>
      </c>
      <c r="D231">
        <v>1.0302739999999999</v>
      </c>
      <c r="E231" t="s">
        <v>24</v>
      </c>
      <c r="F231">
        <v>1.0888370000000001</v>
      </c>
      <c r="G231" t="s">
        <v>25</v>
      </c>
      <c r="H231">
        <v>0.91616900000000001</v>
      </c>
      <c r="I231" t="s">
        <v>26</v>
      </c>
      <c r="J231">
        <v>4.37E-4</v>
      </c>
      <c r="K231" t="s">
        <v>27</v>
      </c>
      <c r="L231">
        <v>2.3296999999999998E-2</v>
      </c>
      <c r="M231" t="s">
        <v>28</v>
      </c>
      <c r="N231">
        <v>1.9602000000000001E-2</v>
      </c>
      <c r="O231" t="s">
        <v>29</v>
      </c>
      <c r="P231">
        <v>-7.7530000000000003E-3</v>
      </c>
      <c r="Q231" t="s">
        <v>30</v>
      </c>
      <c r="R231">
        <v>-0.31900000000000001</v>
      </c>
      <c r="S231" t="s">
        <v>31</v>
      </c>
      <c r="T231">
        <v>0.59869000000000006</v>
      </c>
      <c r="U231" t="s">
        <v>32</v>
      </c>
      <c r="V231">
        <v>3.5334999999999998E-2</v>
      </c>
      <c r="W231" t="s">
        <v>33</v>
      </c>
      <c r="X231">
        <v>0.16595099999999999</v>
      </c>
      <c r="Y231" t="s">
        <v>34</v>
      </c>
      <c r="Z231">
        <v>0.104183</v>
      </c>
      <c r="AA231" t="s">
        <v>35</v>
      </c>
      <c r="AB231">
        <v>8.8708999999999996E-2</v>
      </c>
      <c r="AC231" t="s">
        <v>36</v>
      </c>
      <c r="AD231">
        <v>0.26888400000000001</v>
      </c>
      <c r="AE231" t="s">
        <v>37</v>
      </c>
      <c r="AF231">
        <v>0.26155299999999998</v>
      </c>
      <c r="AG231" t="s">
        <v>38</v>
      </c>
      <c r="AH231">
        <v>0.97273600000000005</v>
      </c>
      <c r="AI231" t="s">
        <v>39</v>
      </c>
      <c r="AJ231">
        <v>0.77043200000000001</v>
      </c>
      <c r="AK231" t="s">
        <v>40</v>
      </c>
      <c r="AL231">
        <v>0.78449100000000005</v>
      </c>
      <c r="AM231" t="s">
        <v>41</v>
      </c>
      <c r="AN231">
        <v>30.084332</v>
      </c>
      <c r="AO231" t="s">
        <v>42</v>
      </c>
      <c r="AP231">
        <v>16.688725999999999</v>
      </c>
    </row>
    <row r="232" spans="1:42" x14ac:dyDescent="0.3">
      <c r="A232" t="s">
        <v>22</v>
      </c>
      <c r="B232">
        <v>2.319998</v>
      </c>
      <c r="C232" t="s">
        <v>23</v>
      </c>
      <c r="D232">
        <v>1.0300959999999999</v>
      </c>
      <c r="E232" t="s">
        <v>24</v>
      </c>
      <c r="F232">
        <v>1.088252</v>
      </c>
      <c r="G232" t="s">
        <v>25</v>
      </c>
      <c r="H232">
        <v>0.91616900000000001</v>
      </c>
      <c r="I232" t="s">
        <v>26</v>
      </c>
      <c r="J232">
        <v>4.35E-4</v>
      </c>
      <c r="K232" t="s">
        <v>27</v>
      </c>
      <c r="L232">
        <v>2.3285E-2</v>
      </c>
      <c r="M232" t="s">
        <v>28</v>
      </c>
      <c r="N232">
        <v>1.9602000000000001E-2</v>
      </c>
      <c r="O232" t="s">
        <v>29</v>
      </c>
      <c r="P232">
        <v>-6.8040000000000002E-3</v>
      </c>
      <c r="Q232" t="s">
        <v>30</v>
      </c>
      <c r="R232">
        <v>-0.31589099999999998</v>
      </c>
      <c r="S232" t="s">
        <v>31</v>
      </c>
      <c r="T232">
        <v>0.59869000000000006</v>
      </c>
      <c r="U232" t="s">
        <v>32</v>
      </c>
      <c r="V232">
        <v>3.5208999999999997E-2</v>
      </c>
      <c r="W232" t="s">
        <v>33</v>
      </c>
      <c r="X232">
        <v>0.166047</v>
      </c>
      <c r="Y232" t="s">
        <v>34</v>
      </c>
      <c r="Z232">
        <v>0.104183</v>
      </c>
      <c r="AA232" t="s">
        <v>35</v>
      </c>
      <c r="AB232">
        <v>8.8392999999999999E-2</v>
      </c>
      <c r="AC232" t="s">
        <v>36</v>
      </c>
      <c r="AD232">
        <v>0.26883499999999999</v>
      </c>
      <c r="AE232" t="s">
        <v>37</v>
      </c>
      <c r="AF232">
        <v>0.26155299999999998</v>
      </c>
      <c r="AG232" t="s">
        <v>38</v>
      </c>
      <c r="AH232">
        <v>0.97291300000000003</v>
      </c>
      <c r="AI232" t="s">
        <v>39</v>
      </c>
      <c r="AJ232">
        <v>0.77052799999999999</v>
      </c>
      <c r="AK232" t="s">
        <v>40</v>
      </c>
      <c r="AL232">
        <v>0.78449100000000005</v>
      </c>
      <c r="AM232" t="s">
        <v>41</v>
      </c>
      <c r="AN232">
        <v>30.214566999999999</v>
      </c>
      <c r="AO232" t="s">
        <v>42</v>
      </c>
      <c r="AP232">
        <v>16.754873</v>
      </c>
    </row>
    <row r="233" spans="1:42" x14ac:dyDescent="0.3">
      <c r="A233" t="s">
        <v>22</v>
      </c>
      <c r="B233">
        <v>2.3299979999999998</v>
      </c>
      <c r="C233" t="s">
        <v>23</v>
      </c>
      <c r="D233">
        <v>1.029917</v>
      </c>
      <c r="E233" t="s">
        <v>24</v>
      </c>
      <c r="F233">
        <v>1.0876699999999999</v>
      </c>
      <c r="G233" t="s">
        <v>25</v>
      </c>
      <c r="H233">
        <v>0.91616900000000001</v>
      </c>
      <c r="I233" t="s">
        <v>26</v>
      </c>
      <c r="J233">
        <v>4.3199999999999998E-4</v>
      </c>
      <c r="K233" t="s">
        <v>27</v>
      </c>
      <c r="L233">
        <v>2.3272000000000001E-2</v>
      </c>
      <c r="M233" t="s">
        <v>28</v>
      </c>
      <c r="N233">
        <v>1.9602000000000001E-2</v>
      </c>
      <c r="O233" t="s">
        <v>29</v>
      </c>
      <c r="P233">
        <v>-5.8529999999999997E-3</v>
      </c>
      <c r="Q233" t="s">
        <v>30</v>
      </c>
      <c r="R233">
        <v>-0.31280000000000002</v>
      </c>
      <c r="S233" t="s">
        <v>31</v>
      </c>
      <c r="T233">
        <v>0.59869000000000006</v>
      </c>
      <c r="U233" t="s">
        <v>32</v>
      </c>
      <c r="V233">
        <v>3.5083999999999997E-2</v>
      </c>
      <c r="W233" t="s">
        <v>33</v>
      </c>
      <c r="X233">
        <v>0.16614399999999999</v>
      </c>
      <c r="Y233" t="s">
        <v>34</v>
      </c>
      <c r="Z233">
        <v>0.104183</v>
      </c>
      <c r="AA233" t="s">
        <v>35</v>
      </c>
      <c r="AB233">
        <v>8.8079000000000005E-2</v>
      </c>
      <c r="AC233" t="s">
        <v>36</v>
      </c>
      <c r="AD233">
        <v>0.26878600000000002</v>
      </c>
      <c r="AE233" t="s">
        <v>37</v>
      </c>
      <c r="AF233">
        <v>0.26155299999999998</v>
      </c>
      <c r="AG233" t="s">
        <v>38</v>
      </c>
      <c r="AH233">
        <v>0.97308899999999998</v>
      </c>
      <c r="AI233" t="s">
        <v>39</v>
      </c>
      <c r="AJ233">
        <v>0.77062299999999995</v>
      </c>
      <c r="AK233" t="s">
        <v>40</v>
      </c>
      <c r="AL233">
        <v>0.78449100000000005</v>
      </c>
      <c r="AM233" t="s">
        <v>41</v>
      </c>
      <c r="AN233">
        <v>30.344802999999999</v>
      </c>
      <c r="AO233" t="s">
        <v>42</v>
      </c>
      <c r="AP233">
        <v>16.821024000000001</v>
      </c>
    </row>
    <row r="234" spans="1:42" x14ac:dyDescent="0.3">
      <c r="A234" t="s">
        <v>22</v>
      </c>
      <c r="B234">
        <v>2.339998</v>
      </c>
      <c r="C234" t="s">
        <v>23</v>
      </c>
      <c r="D234">
        <v>1.0297369999999999</v>
      </c>
      <c r="E234" t="s">
        <v>24</v>
      </c>
      <c r="F234">
        <v>1.0870919999999999</v>
      </c>
      <c r="G234" t="s">
        <v>25</v>
      </c>
      <c r="H234">
        <v>0.91616900000000001</v>
      </c>
      <c r="I234" t="s">
        <v>26</v>
      </c>
      <c r="J234">
        <v>4.2999999999999999E-4</v>
      </c>
      <c r="K234" t="s">
        <v>27</v>
      </c>
      <c r="L234">
        <v>2.3259999999999999E-2</v>
      </c>
      <c r="M234" t="s">
        <v>28</v>
      </c>
      <c r="N234">
        <v>1.9602000000000001E-2</v>
      </c>
      <c r="O234" t="s">
        <v>29</v>
      </c>
      <c r="P234">
        <v>-4.8989999999999997E-3</v>
      </c>
      <c r="Q234" t="s">
        <v>30</v>
      </c>
      <c r="R234">
        <v>-0.30973000000000001</v>
      </c>
      <c r="S234" t="s">
        <v>31</v>
      </c>
      <c r="T234">
        <v>0.59869000000000006</v>
      </c>
      <c r="U234" t="s">
        <v>32</v>
      </c>
      <c r="V234">
        <v>3.4959999999999998E-2</v>
      </c>
      <c r="W234" t="s">
        <v>33</v>
      </c>
      <c r="X234">
        <v>0.166241</v>
      </c>
      <c r="Y234" t="s">
        <v>34</v>
      </c>
      <c r="Z234">
        <v>0.104183</v>
      </c>
      <c r="AA234" t="s">
        <v>35</v>
      </c>
      <c r="AB234">
        <v>8.7766999999999998E-2</v>
      </c>
      <c r="AC234" t="s">
        <v>36</v>
      </c>
      <c r="AD234">
        <v>0.26873900000000001</v>
      </c>
      <c r="AE234" t="s">
        <v>37</v>
      </c>
      <c r="AF234">
        <v>0.26155299999999998</v>
      </c>
      <c r="AG234" t="s">
        <v>38</v>
      </c>
      <c r="AH234">
        <v>0.97326199999999996</v>
      </c>
      <c r="AI234" t="s">
        <v>39</v>
      </c>
      <c r="AJ234">
        <v>0.77071699999999999</v>
      </c>
      <c r="AK234" t="s">
        <v>40</v>
      </c>
      <c r="AL234">
        <v>0.78449100000000005</v>
      </c>
      <c r="AM234" t="s">
        <v>41</v>
      </c>
      <c r="AN234">
        <v>30.475038999999999</v>
      </c>
      <c r="AO234" t="s">
        <v>42</v>
      </c>
      <c r="AP234">
        <v>16.887186</v>
      </c>
    </row>
    <row r="235" spans="1:42" x14ac:dyDescent="0.3">
      <c r="A235" t="s">
        <v>22</v>
      </c>
      <c r="B235">
        <v>2.3499979999999998</v>
      </c>
      <c r="C235" t="s">
        <v>23</v>
      </c>
      <c r="D235">
        <v>1.029558</v>
      </c>
      <c r="E235" t="s">
        <v>24</v>
      </c>
      <c r="F235">
        <v>1.0865180000000001</v>
      </c>
      <c r="G235" t="s">
        <v>25</v>
      </c>
      <c r="H235">
        <v>0.91616900000000001</v>
      </c>
      <c r="I235" t="s">
        <v>26</v>
      </c>
      <c r="J235">
        <v>4.28E-4</v>
      </c>
      <c r="K235" t="s">
        <v>27</v>
      </c>
      <c r="L235">
        <v>2.3248000000000001E-2</v>
      </c>
      <c r="M235" t="s">
        <v>28</v>
      </c>
      <c r="N235">
        <v>1.9602000000000001E-2</v>
      </c>
      <c r="O235" t="s">
        <v>29</v>
      </c>
      <c r="P235">
        <v>-3.9439999999999996E-3</v>
      </c>
      <c r="Q235" t="s">
        <v>30</v>
      </c>
      <c r="R235">
        <v>-0.30667899999999998</v>
      </c>
      <c r="S235" t="s">
        <v>31</v>
      </c>
      <c r="T235">
        <v>0.59869000000000006</v>
      </c>
      <c r="U235" t="s">
        <v>32</v>
      </c>
      <c r="V235">
        <v>3.4835999999999999E-2</v>
      </c>
      <c r="W235" t="s">
        <v>33</v>
      </c>
      <c r="X235">
        <v>0.16633800000000001</v>
      </c>
      <c r="Y235" t="s">
        <v>34</v>
      </c>
      <c r="Z235">
        <v>0.104183</v>
      </c>
      <c r="AA235" t="s">
        <v>35</v>
      </c>
      <c r="AB235">
        <v>8.7456999999999993E-2</v>
      </c>
      <c r="AC235" t="s">
        <v>36</v>
      </c>
      <c r="AD235">
        <v>0.26869100000000001</v>
      </c>
      <c r="AE235" t="s">
        <v>37</v>
      </c>
      <c r="AF235">
        <v>0.26155299999999998</v>
      </c>
      <c r="AG235" t="s">
        <v>38</v>
      </c>
      <c r="AH235">
        <v>0.97343500000000005</v>
      </c>
      <c r="AI235" t="s">
        <v>39</v>
      </c>
      <c r="AJ235">
        <v>0.77081</v>
      </c>
      <c r="AK235" t="s">
        <v>40</v>
      </c>
      <c r="AL235">
        <v>0.78449100000000005</v>
      </c>
      <c r="AM235" t="s">
        <v>41</v>
      </c>
      <c r="AN235">
        <v>30.605271999999999</v>
      </c>
      <c r="AO235" t="s">
        <v>42</v>
      </c>
      <c r="AP235">
        <v>16.953354000000001</v>
      </c>
    </row>
    <row r="236" spans="1:42" x14ac:dyDescent="0.3">
      <c r="A236" t="s">
        <v>22</v>
      </c>
      <c r="B236">
        <v>2.359998</v>
      </c>
      <c r="C236" t="s">
        <v>23</v>
      </c>
      <c r="D236">
        <v>1.0293779999999999</v>
      </c>
      <c r="E236" t="s">
        <v>24</v>
      </c>
      <c r="F236">
        <v>1.0859479999999999</v>
      </c>
      <c r="G236" t="s">
        <v>25</v>
      </c>
      <c r="H236">
        <v>0.91616900000000001</v>
      </c>
      <c r="I236" t="s">
        <v>26</v>
      </c>
      <c r="J236">
        <v>4.2499999999999998E-4</v>
      </c>
      <c r="K236" t="s">
        <v>27</v>
      </c>
      <c r="L236">
        <v>2.3236E-2</v>
      </c>
      <c r="M236" t="s">
        <v>28</v>
      </c>
      <c r="N236">
        <v>1.9602000000000001E-2</v>
      </c>
      <c r="O236" t="s">
        <v>29</v>
      </c>
      <c r="P236">
        <v>-2.9889999999999999E-3</v>
      </c>
      <c r="Q236" t="s">
        <v>30</v>
      </c>
      <c r="R236">
        <v>-0.303647</v>
      </c>
      <c r="S236" t="s">
        <v>31</v>
      </c>
      <c r="T236">
        <v>0.59869000000000006</v>
      </c>
      <c r="U236" t="s">
        <v>32</v>
      </c>
      <c r="V236">
        <v>3.4714000000000002E-2</v>
      </c>
      <c r="W236" t="s">
        <v>33</v>
      </c>
      <c r="X236">
        <v>0.166435</v>
      </c>
      <c r="Y236" t="s">
        <v>34</v>
      </c>
      <c r="Z236">
        <v>0.104183</v>
      </c>
      <c r="AA236" t="s">
        <v>35</v>
      </c>
      <c r="AB236">
        <v>8.7149000000000004E-2</v>
      </c>
      <c r="AC236" t="s">
        <v>36</v>
      </c>
      <c r="AD236">
        <v>0.26864399999999999</v>
      </c>
      <c r="AE236" t="s">
        <v>37</v>
      </c>
      <c r="AF236">
        <v>0.26155299999999998</v>
      </c>
      <c r="AG236" t="s">
        <v>38</v>
      </c>
      <c r="AH236">
        <v>0.97360500000000005</v>
      </c>
      <c r="AI236" t="s">
        <v>39</v>
      </c>
      <c r="AJ236">
        <v>0.770903</v>
      </c>
      <c r="AK236" t="s">
        <v>40</v>
      </c>
      <c r="AL236">
        <v>0.78449100000000005</v>
      </c>
      <c r="AM236" t="s">
        <v>41</v>
      </c>
      <c r="AN236">
        <v>30.735507999999999</v>
      </c>
      <c r="AO236" t="s">
        <v>42</v>
      </c>
      <c r="AP236">
        <v>17.019527</v>
      </c>
    </row>
    <row r="237" spans="1:42" x14ac:dyDescent="0.3">
      <c r="A237" t="s">
        <v>22</v>
      </c>
      <c r="B237">
        <v>2.3699979999999998</v>
      </c>
      <c r="C237" t="s">
        <v>23</v>
      </c>
      <c r="D237">
        <v>1.0291980000000001</v>
      </c>
      <c r="E237" t="s">
        <v>24</v>
      </c>
      <c r="F237">
        <v>1.0853809999999999</v>
      </c>
      <c r="G237" t="s">
        <v>25</v>
      </c>
      <c r="H237">
        <v>0.91616900000000001</v>
      </c>
      <c r="I237" t="s">
        <v>26</v>
      </c>
      <c r="J237">
        <v>4.2299999999999998E-4</v>
      </c>
      <c r="K237" t="s">
        <v>27</v>
      </c>
      <c r="L237">
        <v>2.3223000000000001E-2</v>
      </c>
      <c r="M237" t="s">
        <v>28</v>
      </c>
      <c r="N237">
        <v>1.9602000000000001E-2</v>
      </c>
      <c r="O237" t="s">
        <v>29</v>
      </c>
      <c r="P237">
        <v>-2.0339999999999998E-3</v>
      </c>
      <c r="Q237" t="s">
        <v>30</v>
      </c>
      <c r="R237">
        <v>-0.30063499999999999</v>
      </c>
      <c r="S237" t="s">
        <v>31</v>
      </c>
      <c r="T237">
        <v>0.59869000000000006</v>
      </c>
      <c r="U237" t="s">
        <v>32</v>
      </c>
      <c r="V237">
        <v>3.4591999999999998E-2</v>
      </c>
      <c r="W237" t="s">
        <v>33</v>
      </c>
      <c r="X237">
        <v>0.16653200000000001</v>
      </c>
      <c r="Y237" t="s">
        <v>34</v>
      </c>
      <c r="Z237">
        <v>0.104183</v>
      </c>
      <c r="AA237" t="s">
        <v>35</v>
      </c>
      <c r="AB237">
        <v>8.6843000000000004E-2</v>
      </c>
      <c r="AC237" t="s">
        <v>36</v>
      </c>
      <c r="AD237">
        <v>0.26859699999999997</v>
      </c>
      <c r="AE237" t="s">
        <v>37</v>
      </c>
      <c r="AF237">
        <v>0.26155299999999998</v>
      </c>
      <c r="AG237" t="s">
        <v>38</v>
      </c>
      <c r="AH237">
        <v>0.97377400000000003</v>
      </c>
      <c r="AI237" t="s">
        <v>39</v>
      </c>
      <c r="AJ237">
        <v>0.77099399999999996</v>
      </c>
      <c r="AK237" t="s">
        <v>40</v>
      </c>
      <c r="AL237">
        <v>0.78449100000000005</v>
      </c>
      <c r="AM237" t="s">
        <v>41</v>
      </c>
      <c r="AN237">
        <v>30.865743999999999</v>
      </c>
      <c r="AO237" t="s">
        <v>42</v>
      </c>
      <c r="AP237">
        <v>17.085709000000001</v>
      </c>
    </row>
    <row r="238" spans="1:42" x14ac:dyDescent="0.3">
      <c r="A238" t="s">
        <v>22</v>
      </c>
      <c r="B238">
        <v>2.3799980000000001</v>
      </c>
      <c r="C238" t="s">
        <v>23</v>
      </c>
      <c r="D238">
        <v>1.029018</v>
      </c>
      <c r="E238" t="s">
        <v>24</v>
      </c>
      <c r="F238">
        <v>1.0848180000000001</v>
      </c>
      <c r="G238" t="s">
        <v>25</v>
      </c>
      <c r="H238">
        <v>0.91616900000000001</v>
      </c>
      <c r="I238" t="s">
        <v>26</v>
      </c>
      <c r="J238">
        <v>4.2000000000000002E-4</v>
      </c>
      <c r="K238" t="s">
        <v>27</v>
      </c>
      <c r="L238">
        <v>2.3210999999999999E-2</v>
      </c>
      <c r="M238" t="s">
        <v>28</v>
      </c>
      <c r="N238">
        <v>1.9602000000000001E-2</v>
      </c>
      <c r="O238" t="s">
        <v>29</v>
      </c>
      <c r="P238">
        <v>-1.0759999999999999E-3</v>
      </c>
      <c r="Q238" t="s">
        <v>30</v>
      </c>
      <c r="R238">
        <v>-0.29764099999999999</v>
      </c>
      <c r="S238" t="s">
        <v>31</v>
      </c>
      <c r="T238">
        <v>0.59869000000000006</v>
      </c>
      <c r="U238" t="s">
        <v>32</v>
      </c>
      <c r="V238">
        <v>3.4471000000000002E-2</v>
      </c>
      <c r="W238" t="s">
        <v>33</v>
      </c>
      <c r="X238">
        <v>0.16663</v>
      </c>
      <c r="Y238" t="s">
        <v>34</v>
      </c>
      <c r="Z238">
        <v>0.104183</v>
      </c>
      <c r="AA238" t="s">
        <v>35</v>
      </c>
      <c r="AB238">
        <v>8.6539000000000005E-2</v>
      </c>
      <c r="AC238" t="s">
        <v>36</v>
      </c>
      <c r="AD238">
        <v>0.26855099999999998</v>
      </c>
      <c r="AE238" t="s">
        <v>37</v>
      </c>
      <c r="AF238">
        <v>0.26155299999999998</v>
      </c>
      <c r="AG238" t="s">
        <v>38</v>
      </c>
      <c r="AH238">
        <v>0.97394199999999997</v>
      </c>
      <c r="AI238" t="s">
        <v>39</v>
      </c>
      <c r="AJ238">
        <v>0.77108399999999999</v>
      </c>
      <c r="AK238" t="s">
        <v>40</v>
      </c>
      <c r="AL238">
        <v>0.78449100000000005</v>
      </c>
      <c r="AM238" t="s">
        <v>41</v>
      </c>
      <c r="AN238">
        <v>30.995978999999998</v>
      </c>
      <c r="AO238" t="s">
        <v>42</v>
      </c>
      <c r="AP238">
        <v>17.151897000000002</v>
      </c>
    </row>
    <row r="239" spans="1:42" x14ac:dyDescent="0.3">
      <c r="A239" t="s">
        <v>22</v>
      </c>
      <c r="B239">
        <v>2.3899979999999998</v>
      </c>
      <c r="C239" t="s">
        <v>23</v>
      </c>
      <c r="D239">
        <v>1.0288379999999999</v>
      </c>
      <c r="E239" t="s">
        <v>24</v>
      </c>
      <c r="F239">
        <v>1.0842579999999999</v>
      </c>
      <c r="G239" t="s">
        <v>25</v>
      </c>
      <c r="H239">
        <v>0.91616900000000001</v>
      </c>
      <c r="I239" t="s">
        <v>26</v>
      </c>
      <c r="J239">
        <v>4.1800000000000002E-4</v>
      </c>
      <c r="K239" t="s">
        <v>27</v>
      </c>
      <c r="L239">
        <v>2.3199000000000001E-2</v>
      </c>
      <c r="M239" t="s">
        <v>28</v>
      </c>
      <c r="N239">
        <v>1.9602000000000001E-2</v>
      </c>
      <c r="O239" t="s">
        <v>29</v>
      </c>
      <c r="P239">
        <v>-1.18E-4</v>
      </c>
      <c r="Q239" t="s">
        <v>30</v>
      </c>
      <c r="R239">
        <v>-0.29466700000000001</v>
      </c>
      <c r="S239" t="s">
        <v>31</v>
      </c>
      <c r="T239">
        <v>0.59869000000000006</v>
      </c>
      <c r="U239" t="s">
        <v>32</v>
      </c>
      <c r="V239">
        <v>3.4349999999999999E-2</v>
      </c>
      <c r="W239" t="s">
        <v>33</v>
      </c>
      <c r="X239">
        <v>0.16672799999999999</v>
      </c>
      <c r="Y239" t="s">
        <v>34</v>
      </c>
      <c r="Z239">
        <v>0.104183</v>
      </c>
      <c r="AA239" t="s">
        <v>35</v>
      </c>
      <c r="AB239">
        <v>8.6235999999999993E-2</v>
      </c>
      <c r="AC239" t="s">
        <v>36</v>
      </c>
      <c r="AD239">
        <v>0.26850499999999999</v>
      </c>
      <c r="AE239" t="s">
        <v>37</v>
      </c>
      <c r="AF239">
        <v>0.26155299999999998</v>
      </c>
      <c r="AG239" t="s">
        <v>38</v>
      </c>
      <c r="AH239">
        <v>0.97410799999999997</v>
      </c>
      <c r="AI239" t="s">
        <v>39</v>
      </c>
      <c r="AJ239">
        <v>0.77117400000000003</v>
      </c>
      <c r="AK239" t="s">
        <v>40</v>
      </c>
      <c r="AL239">
        <v>0.78449100000000005</v>
      </c>
      <c r="AM239" t="s">
        <v>41</v>
      </c>
      <c r="AN239">
        <v>31.126213</v>
      </c>
      <c r="AO239" t="s">
        <v>42</v>
      </c>
      <c r="AP239">
        <v>17.218094000000001</v>
      </c>
    </row>
    <row r="240" spans="1:42" x14ac:dyDescent="0.3">
      <c r="A240" t="s">
        <v>22</v>
      </c>
      <c r="B240">
        <v>2.3999980000000001</v>
      </c>
      <c r="C240" t="s">
        <v>23</v>
      </c>
      <c r="D240">
        <v>1.0286569999999999</v>
      </c>
      <c r="E240" t="s">
        <v>24</v>
      </c>
      <c r="F240">
        <v>1.0837019999999999</v>
      </c>
      <c r="G240" t="s">
        <v>25</v>
      </c>
      <c r="H240">
        <v>0.91616900000000001</v>
      </c>
      <c r="I240" t="s">
        <v>26</v>
      </c>
      <c r="J240">
        <v>4.1599999999999997E-4</v>
      </c>
      <c r="K240" t="s">
        <v>27</v>
      </c>
      <c r="L240">
        <v>2.3186999999999999E-2</v>
      </c>
      <c r="M240" t="s">
        <v>28</v>
      </c>
      <c r="N240">
        <v>1.9602000000000001E-2</v>
      </c>
      <c r="O240" t="s">
        <v>29</v>
      </c>
      <c r="P240">
        <v>8.4099999999999995E-4</v>
      </c>
      <c r="Q240" t="s">
        <v>30</v>
      </c>
      <c r="R240">
        <v>-0.291711</v>
      </c>
      <c r="S240" t="s">
        <v>31</v>
      </c>
      <c r="T240">
        <v>0.59869000000000006</v>
      </c>
      <c r="U240" t="s">
        <v>32</v>
      </c>
      <c r="V240">
        <v>3.4230999999999998E-2</v>
      </c>
      <c r="W240" t="s">
        <v>33</v>
      </c>
      <c r="X240">
        <v>0.166827</v>
      </c>
      <c r="Y240" t="s">
        <v>34</v>
      </c>
      <c r="Z240">
        <v>0.104183</v>
      </c>
      <c r="AA240" t="s">
        <v>35</v>
      </c>
      <c r="AB240">
        <v>8.5935999999999998E-2</v>
      </c>
      <c r="AC240" t="s">
        <v>36</v>
      </c>
      <c r="AD240">
        <v>0.26845999999999998</v>
      </c>
      <c r="AE240" t="s">
        <v>37</v>
      </c>
      <c r="AF240">
        <v>0.26155299999999998</v>
      </c>
      <c r="AG240" t="s">
        <v>38</v>
      </c>
      <c r="AH240">
        <v>0.97427200000000003</v>
      </c>
      <c r="AI240" t="s">
        <v>39</v>
      </c>
      <c r="AJ240">
        <v>0.77126300000000003</v>
      </c>
      <c r="AK240" t="s">
        <v>40</v>
      </c>
      <c r="AL240">
        <v>0.78449100000000005</v>
      </c>
      <c r="AM240" t="s">
        <v>41</v>
      </c>
      <c r="AN240">
        <v>31.256449</v>
      </c>
      <c r="AO240" t="s">
        <v>42</v>
      </c>
      <c r="AP240">
        <v>17.284298</v>
      </c>
    </row>
    <row r="241" spans="1:42" x14ac:dyDescent="0.3">
      <c r="A241" t="s">
        <v>22</v>
      </c>
      <c r="B241">
        <v>2.4099979999999999</v>
      </c>
      <c r="C241" t="s">
        <v>23</v>
      </c>
      <c r="D241">
        <v>1.0284770000000001</v>
      </c>
      <c r="E241" t="s">
        <v>24</v>
      </c>
      <c r="F241">
        <v>1.0831489999999999</v>
      </c>
      <c r="G241" t="s">
        <v>25</v>
      </c>
      <c r="H241">
        <v>0.91616900000000001</v>
      </c>
      <c r="I241" t="s">
        <v>26</v>
      </c>
      <c r="J241">
        <v>4.1300000000000001E-4</v>
      </c>
      <c r="K241" t="s">
        <v>27</v>
      </c>
      <c r="L241">
        <v>2.3175999999999999E-2</v>
      </c>
      <c r="M241" t="s">
        <v>28</v>
      </c>
      <c r="N241">
        <v>1.9602000000000001E-2</v>
      </c>
      <c r="O241" t="s">
        <v>29</v>
      </c>
      <c r="P241">
        <v>1.799E-3</v>
      </c>
      <c r="Q241" t="s">
        <v>30</v>
      </c>
      <c r="R241">
        <v>-0.28877399999999998</v>
      </c>
      <c r="S241" t="s">
        <v>31</v>
      </c>
      <c r="T241">
        <v>0.59869000000000006</v>
      </c>
      <c r="U241" t="s">
        <v>32</v>
      </c>
      <c r="V241">
        <v>3.4112000000000003E-2</v>
      </c>
      <c r="W241" t="s">
        <v>33</v>
      </c>
      <c r="X241">
        <v>0.16692599999999999</v>
      </c>
      <c r="Y241" t="s">
        <v>34</v>
      </c>
      <c r="Z241">
        <v>0.104183</v>
      </c>
      <c r="AA241" t="s">
        <v>35</v>
      </c>
      <c r="AB241">
        <v>8.5638000000000006E-2</v>
      </c>
      <c r="AC241" t="s">
        <v>36</v>
      </c>
      <c r="AD241">
        <v>0.26841500000000001</v>
      </c>
      <c r="AE241" t="s">
        <v>37</v>
      </c>
      <c r="AF241">
        <v>0.26155299999999998</v>
      </c>
      <c r="AG241" t="s">
        <v>38</v>
      </c>
      <c r="AH241">
        <v>0.97443500000000005</v>
      </c>
      <c r="AI241" t="s">
        <v>39</v>
      </c>
      <c r="AJ241">
        <v>0.77135100000000001</v>
      </c>
      <c r="AK241" t="s">
        <v>40</v>
      </c>
      <c r="AL241">
        <v>0.78449100000000005</v>
      </c>
      <c r="AM241" t="s">
        <v>41</v>
      </c>
      <c r="AN241">
        <v>31.386683999999999</v>
      </c>
      <c r="AO241" t="s">
        <v>42</v>
      </c>
      <c r="AP241">
        <v>17.35051</v>
      </c>
    </row>
    <row r="242" spans="1:42" x14ac:dyDescent="0.3">
      <c r="A242" t="s">
        <v>22</v>
      </c>
      <c r="B242">
        <v>2.4199980000000001</v>
      </c>
      <c r="C242" t="s">
        <v>23</v>
      </c>
      <c r="D242">
        <v>1.0282960000000001</v>
      </c>
      <c r="E242" t="s">
        <v>24</v>
      </c>
      <c r="F242">
        <v>1.0826</v>
      </c>
      <c r="G242" t="s">
        <v>25</v>
      </c>
      <c r="H242">
        <v>0.91616900000000001</v>
      </c>
      <c r="I242" t="s">
        <v>26</v>
      </c>
      <c r="J242">
        <v>4.1100000000000002E-4</v>
      </c>
      <c r="K242" t="s">
        <v>27</v>
      </c>
      <c r="L242">
        <v>2.3164000000000001E-2</v>
      </c>
      <c r="M242" t="s">
        <v>28</v>
      </c>
      <c r="N242">
        <v>1.9602000000000001E-2</v>
      </c>
      <c r="O242" t="s">
        <v>29</v>
      </c>
      <c r="P242">
        <v>2.7599999999999999E-3</v>
      </c>
      <c r="Q242" t="s">
        <v>30</v>
      </c>
      <c r="R242">
        <v>-0.28585500000000003</v>
      </c>
      <c r="S242" t="s">
        <v>31</v>
      </c>
      <c r="T242">
        <v>0.59869000000000006</v>
      </c>
      <c r="U242" t="s">
        <v>32</v>
      </c>
      <c r="V242">
        <v>3.3993000000000002E-2</v>
      </c>
      <c r="W242" t="s">
        <v>33</v>
      </c>
      <c r="X242">
        <v>0.16702500000000001</v>
      </c>
      <c r="Y242" t="s">
        <v>34</v>
      </c>
      <c r="Z242">
        <v>0.104183</v>
      </c>
      <c r="AA242" t="s">
        <v>35</v>
      </c>
      <c r="AB242">
        <v>8.5341E-2</v>
      </c>
      <c r="AC242" t="s">
        <v>36</v>
      </c>
      <c r="AD242">
        <v>0.26837100000000003</v>
      </c>
      <c r="AE242" t="s">
        <v>37</v>
      </c>
      <c r="AF242">
        <v>0.26155299999999998</v>
      </c>
      <c r="AG242" t="s">
        <v>38</v>
      </c>
      <c r="AH242">
        <v>0.97459700000000005</v>
      </c>
      <c r="AI242" t="s">
        <v>39</v>
      </c>
      <c r="AJ242">
        <v>0.77143799999999996</v>
      </c>
      <c r="AK242" t="s">
        <v>40</v>
      </c>
      <c r="AL242">
        <v>0.78449100000000005</v>
      </c>
      <c r="AM242" t="s">
        <v>41</v>
      </c>
      <c r="AN242">
        <v>31.516919999999999</v>
      </c>
      <c r="AO242" t="s">
        <v>42</v>
      </c>
      <c r="AP242">
        <v>17.416727000000002</v>
      </c>
    </row>
    <row r="243" spans="1:42" x14ac:dyDescent="0.3">
      <c r="A243" t="s">
        <v>22</v>
      </c>
      <c r="B243">
        <v>2.4299979999999999</v>
      </c>
      <c r="C243" t="s">
        <v>23</v>
      </c>
      <c r="D243">
        <v>1.028116</v>
      </c>
      <c r="E243" t="s">
        <v>24</v>
      </c>
      <c r="F243">
        <v>1.0820540000000001</v>
      </c>
      <c r="G243" t="s">
        <v>25</v>
      </c>
      <c r="H243">
        <v>0.91616900000000001</v>
      </c>
      <c r="I243" t="s">
        <v>26</v>
      </c>
      <c r="J243">
        <v>4.0900000000000002E-4</v>
      </c>
      <c r="K243" t="s">
        <v>27</v>
      </c>
      <c r="L243">
        <v>2.3151999999999999E-2</v>
      </c>
      <c r="M243" t="s">
        <v>28</v>
      </c>
      <c r="N243">
        <v>1.9602000000000001E-2</v>
      </c>
      <c r="O243" t="s">
        <v>29</v>
      </c>
      <c r="P243">
        <v>3.7190000000000001E-3</v>
      </c>
      <c r="Q243" t="s">
        <v>30</v>
      </c>
      <c r="R243">
        <v>-0.28295399999999998</v>
      </c>
      <c r="S243" t="s">
        <v>31</v>
      </c>
      <c r="T243">
        <v>0.59869000000000006</v>
      </c>
      <c r="U243" t="s">
        <v>32</v>
      </c>
      <c r="V243">
        <v>3.3876000000000003E-2</v>
      </c>
      <c r="W243" t="s">
        <v>33</v>
      </c>
      <c r="X243">
        <v>0.16712399999999999</v>
      </c>
      <c r="Y243" t="s">
        <v>34</v>
      </c>
      <c r="Z243">
        <v>0.104183</v>
      </c>
      <c r="AA243" t="s">
        <v>35</v>
      </c>
      <c r="AB243">
        <v>8.5045999999999997E-2</v>
      </c>
      <c r="AC243" t="s">
        <v>36</v>
      </c>
      <c r="AD243">
        <v>0.26832600000000001</v>
      </c>
      <c r="AE243" t="s">
        <v>37</v>
      </c>
      <c r="AF243">
        <v>0.26155299999999998</v>
      </c>
      <c r="AG243" t="s">
        <v>38</v>
      </c>
      <c r="AH243">
        <v>0.97475699999999998</v>
      </c>
      <c r="AI243" t="s">
        <v>39</v>
      </c>
      <c r="AJ243">
        <v>0.77152299999999996</v>
      </c>
      <c r="AK243" t="s">
        <v>40</v>
      </c>
      <c r="AL243">
        <v>0.78449100000000005</v>
      </c>
      <c r="AM243" t="s">
        <v>41</v>
      </c>
      <c r="AN243">
        <v>31.647154</v>
      </c>
      <c r="AO243" t="s">
        <v>42</v>
      </c>
      <c r="AP243">
        <v>17.482953999999999</v>
      </c>
    </row>
    <row r="244" spans="1:42" x14ac:dyDescent="0.3">
      <c r="A244" t="s">
        <v>22</v>
      </c>
      <c r="B244">
        <v>2.4399980000000001</v>
      </c>
      <c r="C244" t="s">
        <v>23</v>
      </c>
      <c r="D244">
        <v>1.027935</v>
      </c>
      <c r="E244" t="s">
        <v>24</v>
      </c>
      <c r="F244">
        <v>1.081512</v>
      </c>
      <c r="G244" t="s">
        <v>25</v>
      </c>
      <c r="H244">
        <v>0.91616900000000001</v>
      </c>
      <c r="I244" t="s">
        <v>26</v>
      </c>
      <c r="J244">
        <v>4.0700000000000003E-4</v>
      </c>
      <c r="K244" t="s">
        <v>27</v>
      </c>
      <c r="L244">
        <v>2.3140999999999998E-2</v>
      </c>
      <c r="M244" t="s">
        <v>28</v>
      </c>
      <c r="N244">
        <v>1.9602000000000001E-2</v>
      </c>
      <c r="O244" t="s">
        <v>29</v>
      </c>
      <c r="P244">
        <v>4.6810000000000003E-3</v>
      </c>
      <c r="Q244" t="s">
        <v>30</v>
      </c>
      <c r="R244">
        <v>-0.28007100000000001</v>
      </c>
      <c r="S244" t="s">
        <v>31</v>
      </c>
      <c r="T244">
        <v>0.59869000000000006</v>
      </c>
      <c r="U244" t="s">
        <v>32</v>
      </c>
      <c r="V244">
        <v>3.3758999999999997E-2</v>
      </c>
      <c r="W244" t="s">
        <v>33</v>
      </c>
      <c r="X244">
        <v>0.16722300000000001</v>
      </c>
      <c r="Y244" t="s">
        <v>34</v>
      </c>
      <c r="Z244">
        <v>0.104183</v>
      </c>
      <c r="AA244" t="s">
        <v>35</v>
      </c>
      <c r="AB244">
        <v>8.4752999999999995E-2</v>
      </c>
      <c r="AC244" t="s">
        <v>36</v>
      </c>
      <c r="AD244">
        <v>0.26828200000000002</v>
      </c>
      <c r="AE244" t="s">
        <v>37</v>
      </c>
      <c r="AF244">
        <v>0.26155299999999998</v>
      </c>
      <c r="AG244" t="s">
        <v>38</v>
      </c>
      <c r="AH244">
        <v>0.974916</v>
      </c>
      <c r="AI244" t="s">
        <v>39</v>
      </c>
      <c r="AJ244">
        <v>0.77161000000000002</v>
      </c>
      <c r="AK244" t="s">
        <v>40</v>
      </c>
      <c r="AL244">
        <v>0.78449100000000005</v>
      </c>
      <c r="AM244" t="s">
        <v>41</v>
      </c>
      <c r="AN244">
        <v>31.77739</v>
      </c>
      <c r="AO244" t="s">
        <v>42</v>
      </c>
      <c r="AP244">
        <v>17.549187</v>
      </c>
    </row>
    <row r="245" spans="1:42" x14ac:dyDescent="0.3">
      <c r="A245" t="s">
        <v>22</v>
      </c>
      <c r="B245">
        <v>2.4499979999999999</v>
      </c>
      <c r="C245" t="s">
        <v>23</v>
      </c>
      <c r="D245">
        <v>1.0277540000000001</v>
      </c>
      <c r="E245" t="s">
        <v>24</v>
      </c>
      <c r="F245">
        <v>1.080973</v>
      </c>
      <c r="G245" t="s">
        <v>25</v>
      </c>
      <c r="H245">
        <v>0.91616900000000001</v>
      </c>
      <c r="I245" t="s">
        <v>26</v>
      </c>
      <c r="J245">
        <v>4.0400000000000001E-4</v>
      </c>
      <c r="K245" t="s">
        <v>27</v>
      </c>
      <c r="L245">
        <v>2.3129E-2</v>
      </c>
      <c r="M245" t="s">
        <v>28</v>
      </c>
      <c r="N245">
        <v>1.9602000000000001E-2</v>
      </c>
      <c r="O245" t="s">
        <v>29</v>
      </c>
      <c r="P245">
        <v>5.6420000000000003E-3</v>
      </c>
      <c r="Q245" t="s">
        <v>30</v>
      </c>
      <c r="R245">
        <v>-0.27720699999999998</v>
      </c>
      <c r="S245" t="s">
        <v>31</v>
      </c>
      <c r="T245">
        <v>0.59869000000000006</v>
      </c>
      <c r="U245" t="s">
        <v>32</v>
      </c>
      <c r="V245">
        <v>3.3642999999999999E-2</v>
      </c>
      <c r="W245" t="s">
        <v>33</v>
      </c>
      <c r="X245">
        <v>0.167323</v>
      </c>
      <c r="Y245" t="s">
        <v>34</v>
      </c>
      <c r="Z245">
        <v>0.104183</v>
      </c>
      <c r="AA245" t="s">
        <v>35</v>
      </c>
      <c r="AB245">
        <v>8.4461999999999995E-2</v>
      </c>
      <c r="AC245" t="s">
        <v>36</v>
      </c>
      <c r="AD245">
        <v>0.26823900000000001</v>
      </c>
      <c r="AE245" t="s">
        <v>37</v>
      </c>
      <c r="AF245">
        <v>0.26155299999999998</v>
      </c>
      <c r="AG245" t="s">
        <v>38</v>
      </c>
      <c r="AH245">
        <v>0.97507299999999997</v>
      </c>
      <c r="AI245" t="s">
        <v>39</v>
      </c>
      <c r="AJ245">
        <v>0.77169399999999999</v>
      </c>
      <c r="AK245" t="s">
        <v>40</v>
      </c>
      <c r="AL245">
        <v>0.78449100000000005</v>
      </c>
      <c r="AM245" t="s">
        <v>41</v>
      </c>
      <c r="AN245">
        <v>31.907624999999999</v>
      </c>
      <c r="AO245" t="s">
        <v>42</v>
      </c>
      <c r="AP245">
        <v>17.615427</v>
      </c>
    </row>
    <row r="246" spans="1:42" x14ac:dyDescent="0.3">
      <c r="A246" t="s">
        <v>22</v>
      </c>
      <c r="B246">
        <v>2.4599980000000001</v>
      </c>
      <c r="C246" t="s">
        <v>23</v>
      </c>
      <c r="D246">
        <v>1.0275730000000001</v>
      </c>
      <c r="E246" t="s">
        <v>24</v>
      </c>
      <c r="F246">
        <v>1.0804370000000001</v>
      </c>
      <c r="G246" t="s">
        <v>25</v>
      </c>
      <c r="H246">
        <v>0.91616900000000001</v>
      </c>
      <c r="I246" t="s">
        <v>26</v>
      </c>
      <c r="J246">
        <v>4.0200000000000001E-4</v>
      </c>
      <c r="K246" t="s">
        <v>27</v>
      </c>
      <c r="L246">
        <v>2.3118E-2</v>
      </c>
      <c r="M246" t="s">
        <v>28</v>
      </c>
      <c r="N246">
        <v>1.9602000000000001E-2</v>
      </c>
      <c r="O246" t="s">
        <v>29</v>
      </c>
      <c r="P246">
        <v>6.6039999999999996E-3</v>
      </c>
      <c r="Q246" t="s">
        <v>30</v>
      </c>
      <c r="R246">
        <v>-0.27435900000000002</v>
      </c>
      <c r="S246" t="s">
        <v>31</v>
      </c>
      <c r="T246">
        <v>0.59869000000000006</v>
      </c>
      <c r="U246" t="s">
        <v>32</v>
      </c>
      <c r="V246">
        <v>3.3528000000000002E-2</v>
      </c>
      <c r="W246" t="s">
        <v>33</v>
      </c>
      <c r="X246">
        <v>0.16742299999999999</v>
      </c>
      <c r="Y246" t="s">
        <v>34</v>
      </c>
      <c r="Z246">
        <v>0.104183</v>
      </c>
      <c r="AA246" t="s">
        <v>35</v>
      </c>
      <c r="AB246">
        <v>8.4171999999999997E-2</v>
      </c>
      <c r="AC246" t="s">
        <v>36</v>
      </c>
      <c r="AD246">
        <v>0.26819700000000002</v>
      </c>
      <c r="AE246" t="s">
        <v>37</v>
      </c>
      <c r="AF246">
        <v>0.26155299999999998</v>
      </c>
      <c r="AG246" t="s">
        <v>38</v>
      </c>
      <c r="AH246">
        <v>0.97522900000000001</v>
      </c>
      <c r="AI246" t="s">
        <v>39</v>
      </c>
      <c r="AJ246">
        <v>0.77177600000000002</v>
      </c>
      <c r="AK246" t="s">
        <v>40</v>
      </c>
      <c r="AL246">
        <v>0.78449100000000005</v>
      </c>
      <c r="AM246" t="s">
        <v>41</v>
      </c>
      <c r="AN246">
        <v>32.037860999999999</v>
      </c>
      <c r="AO246" t="s">
        <v>42</v>
      </c>
      <c r="AP246">
        <v>17.681674999999998</v>
      </c>
    </row>
    <row r="247" spans="1:42" x14ac:dyDescent="0.3">
      <c r="A247" t="s">
        <v>22</v>
      </c>
      <c r="B247">
        <v>2.4699979999999999</v>
      </c>
      <c r="C247" t="s">
        <v>23</v>
      </c>
      <c r="D247">
        <v>1.0273920000000001</v>
      </c>
      <c r="E247" t="s">
        <v>24</v>
      </c>
      <c r="F247">
        <v>1.0799049999999999</v>
      </c>
      <c r="G247" t="s">
        <v>25</v>
      </c>
      <c r="H247">
        <v>0.91616900000000001</v>
      </c>
      <c r="I247" t="s">
        <v>26</v>
      </c>
      <c r="J247">
        <v>4.0000000000000002E-4</v>
      </c>
      <c r="K247" t="s">
        <v>27</v>
      </c>
      <c r="L247">
        <v>2.3106000000000002E-2</v>
      </c>
      <c r="M247" t="s">
        <v>28</v>
      </c>
      <c r="N247">
        <v>1.9602000000000001E-2</v>
      </c>
      <c r="O247" t="s">
        <v>29</v>
      </c>
      <c r="P247">
        <v>7.5659999999999998E-3</v>
      </c>
      <c r="Q247" t="s">
        <v>30</v>
      </c>
      <c r="R247">
        <v>-0.27152999999999999</v>
      </c>
      <c r="S247" t="s">
        <v>31</v>
      </c>
      <c r="T247">
        <v>0.59869000000000006</v>
      </c>
      <c r="U247" t="s">
        <v>32</v>
      </c>
      <c r="V247">
        <v>3.3412999999999998E-2</v>
      </c>
      <c r="W247" t="s">
        <v>33</v>
      </c>
      <c r="X247">
        <v>0.16752300000000001</v>
      </c>
      <c r="Y247" t="s">
        <v>34</v>
      </c>
      <c r="Z247">
        <v>0.104183</v>
      </c>
      <c r="AA247" t="s">
        <v>35</v>
      </c>
      <c r="AB247">
        <v>8.3885000000000001E-2</v>
      </c>
      <c r="AC247" t="s">
        <v>36</v>
      </c>
      <c r="AD247">
        <v>0.268154</v>
      </c>
      <c r="AE247" t="s">
        <v>37</v>
      </c>
      <c r="AF247">
        <v>0.26155299999999998</v>
      </c>
      <c r="AG247" t="s">
        <v>38</v>
      </c>
      <c r="AH247">
        <v>0.975383</v>
      </c>
      <c r="AI247" t="s">
        <v>39</v>
      </c>
      <c r="AJ247">
        <v>0.77185999999999999</v>
      </c>
      <c r="AK247" t="s">
        <v>40</v>
      </c>
      <c r="AL247">
        <v>0.78449100000000005</v>
      </c>
      <c r="AM247" t="s">
        <v>41</v>
      </c>
      <c r="AN247">
        <v>32.168095000000001</v>
      </c>
      <c r="AO247" t="s">
        <v>42</v>
      </c>
      <c r="AP247">
        <v>17.747931000000001</v>
      </c>
    </row>
    <row r="248" spans="1:42" x14ac:dyDescent="0.3">
      <c r="A248" t="s">
        <v>22</v>
      </c>
      <c r="B248">
        <v>2.4799980000000001</v>
      </c>
      <c r="C248" t="s">
        <v>23</v>
      </c>
      <c r="D248">
        <v>1.0272110000000001</v>
      </c>
      <c r="E248" t="s">
        <v>24</v>
      </c>
      <c r="F248">
        <v>1.0793759999999999</v>
      </c>
      <c r="G248" t="s">
        <v>25</v>
      </c>
      <c r="H248">
        <v>0.91616900000000001</v>
      </c>
      <c r="I248" t="s">
        <v>26</v>
      </c>
      <c r="J248">
        <v>3.9800000000000002E-4</v>
      </c>
      <c r="K248" t="s">
        <v>27</v>
      </c>
      <c r="L248">
        <v>2.3095000000000001E-2</v>
      </c>
      <c r="M248" t="s">
        <v>28</v>
      </c>
      <c r="N248">
        <v>1.9602000000000001E-2</v>
      </c>
      <c r="O248" t="s">
        <v>29</v>
      </c>
      <c r="P248">
        <v>8.5280000000000009E-3</v>
      </c>
      <c r="Q248" t="s">
        <v>30</v>
      </c>
      <c r="R248">
        <v>-0.26871699999999998</v>
      </c>
      <c r="S248" t="s">
        <v>31</v>
      </c>
      <c r="T248">
        <v>0.59869000000000006</v>
      </c>
      <c r="U248" t="s">
        <v>32</v>
      </c>
      <c r="V248">
        <v>3.3300000000000003E-2</v>
      </c>
      <c r="W248" t="s">
        <v>33</v>
      </c>
      <c r="X248">
        <v>0.167624</v>
      </c>
      <c r="Y248" t="s">
        <v>34</v>
      </c>
      <c r="Z248">
        <v>0.104183</v>
      </c>
      <c r="AA248" t="s">
        <v>35</v>
      </c>
      <c r="AB248">
        <v>8.3599000000000007E-2</v>
      </c>
      <c r="AC248" t="s">
        <v>36</v>
      </c>
      <c r="AD248">
        <v>0.26811200000000002</v>
      </c>
      <c r="AE248" t="s">
        <v>37</v>
      </c>
      <c r="AF248">
        <v>0.26155299999999998</v>
      </c>
      <c r="AG248" t="s">
        <v>38</v>
      </c>
      <c r="AH248">
        <v>0.97553599999999996</v>
      </c>
      <c r="AI248" t="s">
        <v>39</v>
      </c>
      <c r="AJ248">
        <v>0.77194300000000005</v>
      </c>
      <c r="AK248" t="s">
        <v>40</v>
      </c>
      <c r="AL248">
        <v>0.78449100000000005</v>
      </c>
      <c r="AM248" t="s">
        <v>41</v>
      </c>
      <c r="AN248">
        <v>32.298332000000002</v>
      </c>
      <c r="AO248" t="s">
        <v>42</v>
      </c>
      <c r="AP248">
        <v>17.814191999999998</v>
      </c>
    </row>
    <row r="249" spans="1:42" x14ac:dyDescent="0.3">
      <c r="A249" t="s">
        <v>22</v>
      </c>
      <c r="B249">
        <v>2.4899979999999999</v>
      </c>
      <c r="C249" t="s">
        <v>23</v>
      </c>
      <c r="D249">
        <v>1.0270300000000001</v>
      </c>
      <c r="E249" t="s">
        <v>24</v>
      </c>
      <c r="F249">
        <v>1.0788500000000001</v>
      </c>
      <c r="G249" t="s">
        <v>25</v>
      </c>
      <c r="H249">
        <v>0.91616900000000001</v>
      </c>
      <c r="I249" t="s">
        <v>26</v>
      </c>
      <c r="J249">
        <v>3.9599999999999998E-4</v>
      </c>
      <c r="K249" t="s">
        <v>27</v>
      </c>
      <c r="L249">
        <v>2.3084E-2</v>
      </c>
      <c r="M249" t="s">
        <v>28</v>
      </c>
      <c r="N249">
        <v>1.9602000000000001E-2</v>
      </c>
      <c r="O249" t="s">
        <v>29</v>
      </c>
      <c r="P249">
        <v>9.4900000000000002E-3</v>
      </c>
      <c r="Q249" t="s">
        <v>30</v>
      </c>
      <c r="R249">
        <v>-0.26592199999999999</v>
      </c>
      <c r="S249" t="s">
        <v>31</v>
      </c>
      <c r="T249">
        <v>0.59869000000000006</v>
      </c>
      <c r="U249" t="s">
        <v>32</v>
      </c>
      <c r="V249">
        <v>3.3186E-2</v>
      </c>
      <c r="W249" t="s">
        <v>33</v>
      </c>
      <c r="X249">
        <v>0.16772500000000001</v>
      </c>
      <c r="Y249" t="s">
        <v>34</v>
      </c>
      <c r="Z249">
        <v>0.104183</v>
      </c>
      <c r="AA249" t="s">
        <v>35</v>
      </c>
      <c r="AB249">
        <v>8.3315E-2</v>
      </c>
      <c r="AC249" t="s">
        <v>36</v>
      </c>
      <c r="AD249">
        <v>0.26806999999999997</v>
      </c>
      <c r="AE249" t="s">
        <v>37</v>
      </c>
      <c r="AF249">
        <v>0.26155299999999998</v>
      </c>
      <c r="AG249" t="s">
        <v>38</v>
      </c>
      <c r="AH249">
        <v>0.975688</v>
      </c>
      <c r="AI249" t="s">
        <v>39</v>
      </c>
      <c r="AJ249">
        <v>0.77202400000000004</v>
      </c>
      <c r="AK249" t="s">
        <v>40</v>
      </c>
      <c r="AL249">
        <v>0.78449100000000005</v>
      </c>
      <c r="AM249" t="s">
        <v>41</v>
      </c>
      <c r="AN249">
        <v>32.428566000000004</v>
      </c>
      <c r="AO249" t="s">
        <v>42</v>
      </c>
      <c r="AP249">
        <v>17.880461</v>
      </c>
    </row>
    <row r="250" spans="1:42" x14ac:dyDescent="0.3">
      <c r="A250" t="s">
        <v>22</v>
      </c>
      <c r="B250">
        <v>2.4999980000000002</v>
      </c>
      <c r="C250" t="s">
        <v>23</v>
      </c>
      <c r="D250">
        <v>1.026848</v>
      </c>
      <c r="E250" t="s">
        <v>24</v>
      </c>
      <c r="F250">
        <v>1.078327</v>
      </c>
      <c r="G250" t="s">
        <v>25</v>
      </c>
      <c r="H250">
        <v>0.91616900000000001</v>
      </c>
      <c r="I250" t="s">
        <v>26</v>
      </c>
      <c r="J250">
        <v>3.9399999999999998E-4</v>
      </c>
      <c r="K250" t="s">
        <v>27</v>
      </c>
      <c r="L250">
        <v>2.3071999999999999E-2</v>
      </c>
      <c r="M250" t="s">
        <v>28</v>
      </c>
      <c r="N250">
        <v>1.9602000000000001E-2</v>
      </c>
      <c r="O250" t="s">
        <v>29</v>
      </c>
      <c r="P250">
        <v>1.0454E-2</v>
      </c>
      <c r="Q250" t="s">
        <v>30</v>
      </c>
      <c r="R250">
        <v>-0.26314399999999999</v>
      </c>
      <c r="S250" t="s">
        <v>31</v>
      </c>
      <c r="T250">
        <v>0.59869000000000006</v>
      </c>
      <c r="U250" t="s">
        <v>32</v>
      </c>
      <c r="V250">
        <v>3.3073999999999999E-2</v>
      </c>
      <c r="W250" t="s">
        <v>33</v>
      </c>
      <c r="X250">
        <v>0.167826</v>
      </c>
      <c r="Y250" t="s">
        <v>34</v>
      </c>
      <c r="Z250">
        <v>0.104183</v>
      </c>
      <c r="AA250" t="s">
        <v>35</v>
      </c>
      <c r="AB250">
        <v>8.3032999999999996E-2</v>
      </c>
      <c r="AC250" t="s">
        <v>36</v>
      </c>
      <c r="AD250">
        <v>0.26802900000000002</v>
      </c>
      <c r="AE250" t="s">
        <v>37</v>
      </c>
      <c r="AF250">
        <v>0.26155299999999998</v>
      </c>
      <c r="AG250" t="s">
        <v>38</v>
      </c>
      <c r="AH250">
        <v>0.97583799999999998</v>
      </c>
      <c r="AI250" t="s">
        <v>39</v>
      </c>
      <c r="AJ250">
        <v>0.77210500000000004</v>
      </c>
      <c r="AK250" t="s">
        <v>40</v>
      </c>
      <c r="AL250">
        <v>0.78449100000000005</v>
      </c>
      <c r="AM250" t="s">
        <v>41</v>
      </c>
      <c r="AN250">
        <v>32.558799999999998</v>
      </c>
      <c r="AO250" t="s">
        <v>42</v>
      </c>
      <c r="AP250">
        <v>17.946736999999999</v>
      </c>
    </row>
    <row r="251" spans="1:42" x14ac:dyDescent="0.3">
      <c r="A251" t="s">
        <v>22</v>
      </c>
      <c r="B251">
        <v>2.509998</v>
      </c>
      <c r="C251" t="s">
        <v>23</v>
      </c>
      <c r="D251">
        <v>1.026667</v>
      </c>
      <c r="E251" t="s">
        <v>24</v>
      </c>
      <c r="F251">
        <v>1.0778080000000001</v>
      </c>
      <c r="G251" t="s">
        <v>25</v>
      </c>
      <c r="H251">
        <v>0.91616900000000001</v>
      </c>
      <c r="I251" t="s">
        <v>26</v>
      </c>
      <c r="J251">
        <v>3.9100000000000002E-4</v>
      </c>
      <c r="K251" t="s">
        <v>27</v>
      </c>
      <c r="L251">
        <v>2.3061000000000002E-2</v>
      </c>
      <c r="M251" t="s">
        <v>28</v>
      </c>
      <c r="N251">
        <v>1.9602000000000001E-2</v>
      </c>
      <c r="O251" t="s">
        <v>29</v>
      </c>
      <c r="P251">
        <v>1.1417999999999999E-2</v>
      </c>
      <c r="Q251" t="s">
        <v>30</v>
      </c>
      <c r="R251">
        <v>-0.26038299999999998</v>
      </c>
      <c r="S251" t="s">
        <v>31</v>
      </c>
      <c r="T251">
        <v>0.59869000000000006</v>
      </c>
      <c r="U251" t="s">
        <v>32</v>
      </c>
      <c r="V251">
        <v>3.2961999999999998E-2</v>
      </c>
      <c r="W251" t="s">
        <v>33</v>
      </c>
      <c r="X251">
        <v>0.16792699999999999</v>
      </c>
      <c r="Y251" t="s">
        <v>34</v>
      </c>
      <c r="Z251">
        <v>0.104183</v>
      </c>
      <c r="AA251" t="s">
        <v>35</v>
      </c>
      <c r="AB251">
        <v>8.2752000000000006E-2</v>
      </c>
      <c r="AC251" t="s">
        <v>36</v>
      </c>
      <c r="AD251">
        <v>0.267988</v>
      </c>
      <c r="AE251" t="s">
        <v>37</v>
      </c>
      <c r="AF251">
        <v>0.26155299999999998</v>
      </c>
      <c r="AG251" t="s">
        <v>38</v>
      </c>
      <c r="AH251">
        <v>0.97598799999999997</v>
      </c>
      <c r="AI251" t="s">
        <v>39</v>
      </c>
      <c r="AJ251">
        <v>0.77218500000000001</v>
      </c>
      <c r="AK251" t="s">
        <v>40</v>
      </c>
      <c r="AL251">
        <v>0.78449100000000005</v>
      </c>
      <c r="AM251" t="s">
        <v>41</v>
      </c>
      <c r="AN251">
        <v>32.689036999999999</v>
      </c>
      <c r="AO251" t="s">
        <v>42</v>
      </c>
      <c r="AP251">
        <v>18.013023</v>
      </c>
    </row>
    <row r="252" spans="1:42" x14ac:dyDescent="0.3">
      <c r="A252" t="s">
        <v>22</v>
      </c>
      <c r="B252">
        <v>2.5199980000000002</v>
      </c>
      <c r="C252" t="s">
        <v>23</v>
      </c>
      <c r="D252">
        <v>1.026486</v>
      </c>
      <c r="E252" t="s">
        <v>24</v>
      </c>
      <c r="F252">
        <v>1.077291</v>
      </c>
      <c r="G252" t="s">
        <v>25</v>
      </c>
      <c r="H252">
        <v>0.91616900000000001</v>
      </c>
      <c r="I252" t="s">
        <v>26</v>
      </c>
      <c r="J252">
        <v>3.8900000000000002E-4</v>
      </c>
      <c r="K252" t="s">
        <v>27</v>
      </c>
      <c r="L252">
        <v>2.3050000000000001E-2</v>
      </c>
      <c r="M252" t="s">
        <v>28</v>
      </c>
      <c r="N252">
        <v>1.9602000000000001E-2</v>
      </c>
      <c r="O252" t="s">
        <v>29</v>
      </c>
      <c r="P252">
        <v>1.2378999999999999E-2</v>
      </c>
      <c r="Q252" t="s">
        <v>30</v>
      </c>
      <c r="R252">
        <v>-0.25763900000000001</v>
      </c>
      <c r="S252" t="s">
        <v>31</v>
      </c>
      <c r="T252">
        <v>0.59869000000000006</v>
      </c>
      <c r="U252" t="s">
        <v>32</v>
      </c>
      <c r="V252">
        <v>3.2850999999999998E-2</v>
      </c>
      <c r="W252" t="s">
        <v>33</v>
      </c>
      <c r="X252">
        <v>0.16802900000000001</v>
      </c>
      <c r="Y252" t="s">
        <v>34</v>
      </c>
      <c r="Z252">
        <v>0.104183</v>
      </c>
      <c r="AA252" t="s">
        <v>35</v>
      </c>
      <c r="AB252">
        <v>8.2473000000000005E-2</v>
      </c>
      <c r="AC252" t="s">
        <v>36</v>
      </c>
      <c r="AD252">
        <v>0.26794800000000002</v>
      </c>
      <c r="AE252" t="s">
        <v>37</v>
      </c>
      <c r="AF252">
        <v>0.26155299999999998</v>
      </c>
      <c r="AG252" t="s">
        <v>38</v>
      </c>
      <c r="AH252">
        <v>0.97613499999999997</v>
      </c>
      <c r="AI252" t="s">
        <v>39</v>
      </c>
      <c r="AJ252">
        <v>0.77226399999999995</v>
      </c>
      <c r="AK252" t="s">
        <v>40</v>
      </c>
      <c r="AL252">
        <v>0.78449100000000005</v>
      </c>
      <c r="AM252" t="s">
        <v>41</v>
      </c>
      <c r="AN252">
        <v>32.819271000000001</v>
      </c>
      <c r="AO252" t="s">
        <v>42</v>
      </c>
      <c r="AP252">
        <v>18.079317</v>
      </c>
    </row>
    <row r="253" spans="1:42" x14ac:dyDescent="0.3">
      <c r="A253" t="s">
        <v>22</v>
      </c>
      <c r="B253">
        <v>2.529998</v>
      </c>
      <c r="C253" t="s">
        <v>23</v>
      </c>
      <c r="D253">
        <v>1.026305</v>
      </c>
      <c r="E253" t="s">
        <v>24</v>
      </c>
      <c r="F253">
        <v>1.076778</v>
      </c>
      <c r="G253" t="s">
        <v>25</v>
      </c>
      <c r="H253">
        <v>0.91616900000000001</v>
      </c>
      <c r="I253" t="s">
        <v>26</v>
      </c>
      <c r="J253">
        <v>3.8699999999999997E-4</v>
      </c>
      <c r="K253" t="s">
        <v>27</v>
      </c>
      <c r="L253">
        <v>2.3039E-2</v>
      </c>
      <c r="M253" t="s">
        <v>28</v>
      </c>
      <c r="N253">
        <v>1.9602000000000001E-2</v>
      </c>
      <c r="O253" t="s">
        <v>29</v>
      </c>
      <c r="P253">
        <v>1.3343000000000001E-2</v>
      </c>
      <c r="Q253" t="s">
        <v>30</v>
      </c>
      <c r="R253">
        <v>-0.25491200000000003</v>
      </c>
      <c r="S253" t="s">
        <v>31</v>
      </c>
      <c r="T253">
        <v>0.59869000000000006</v>
      </c>
      <c r="U253" t="s">
        <v>32</v>
      </c>
      <c r="V253">
        <v>3.2740999999999999E-2</v>
      </c>
      <c r="W253" t="s">
        <v>33</v>
      </c>
      <c r="X253">
        <v>0.16813</v>
      </c>
      <c r="Y253" t="s">
        <v>34</v>
      </c>
      <c r="Z253">
        <v>0.104183</v>
      </c>
      <c r="AA253" t="s">
        <v>35</v>
      </c>
      <c r="AB253">
        <v>8.2196000000000005E-2</v>
      </c>
      <c r="AC253" t="s">
        <v>36</v>
      </c>
      <c r="AD253">
        <v>0.26790799999999998</v>
      </c>
      <c r="AE253" t="s">
        <v>37</v>
      </c>
      <c r="AF253">
        <v>0.26155299999999998</v>
      </c>
      <c r="AG253" t="s">
        <v>38</v>
      </c>
      <c r="AH253">
        <v>0.97628199999999998</v>
      </c>
      <c r="AI253" t="s">
        <v>39</v>
      </c>
      <c r="AJ253">
        <v>0.77234100000000006</v>
      </c>
      <c r="AK253" t="s">
        <v>40</v>
      </c>
      <c r="AL253">
        <v>0.78449100000000005</v>
      </c>
      <c r="AM253" t="s">
        <v>41</v>
      </c>
      <c r="AN253">
        <v>32.949505000000002</v>
      </c>
      <c r="AO253" t="s">
        <v>42</v>
      </c>
      <c r="AP253">
        <v>18.145613000000001</v>
      </c>
    </row>
    <row r="254" spans="1:42" x14ac:dyDescent="0.3">
      <c r="A254" t="s">
        <v>22</v>
      </c>
      <c r="B254">
        <v>2.5399980000000002</v>
      </c>
      <c r="C254" t="s">
        <v>23</v>
      </c>
      <c r="D254">
        <v>1.026124</v>
      </c>
      <c r="E254" t="s">
        <v>24</v>
      </c>
      <c r="F254">
        <v>1.076268</v>
      </c>
      <c r="G254" t="s">
        <v>25</v>
      </c>
      <c r="H254">
        <v>0.91616900000000001</v>
      </c>
      <c r="I254" t="s">
        <v>26</v>
      </c>
      <c r="J254">
        <v>3.8499999999999998E-4</v>
      </c>
      <c r="K254" t="s">
        <v>27</v>
      </c>
      <c r="L254">
        <v>2.3028E-2</v>
      </c>
      <c r="M254" t="s">
        <v>28</v>
      </c>
      <c r="N254">
        <v>1.9602000000000001E-2</v>
      </c>
      <c r="O254" t="s">
        <v>29</v>
      </c>
      <c r="P254">
        <v>1.4305E-2</v>
      </c>
      <c r="Q254" t="s">
        <v>30</v>
      </c>
      <c r="R254">
        <v>-0.25220100000000001</v>
      </c>
      <c r="S254" t="s">
        <v>31</v>
      </c>
      <c r="T254">
        <v>0.59869000000000006</v>
      </c>
      <c r="U254" t="s">
        <v>32</v>
      </c>
      <c r="V254">
        <v>3.2631E-2</v>
      </c>
      <c r="W254" t="s">
        <v>33</v>
      </c>
      <c r="X254">
        <v>0.16823199999999999</v>
      </c>
      <c r="Y254" t="s">
        <v>34</v>
      </c>
      <c r="Z254">
        <v>0.104183</v>
      </c>
      <c r="AA254" t="s">
        <v>35</v>
      </c>
      <c r="AB254">
        <v>8.1920000000000007E-2</v>
      </c>
      <c r="AC254" t="s">
        <v>36</v>
      </c>
      <c r="AD254">
        <v>0.26786700000000002</v>
      </c>
      <c r="AE254" t="s">
        <v>37</v>
      </c>
      <c r="AF254">
        <v>0.26155299999999998</v>
      </c>
      <c r="AG254" t="s">
        <v>38</v>
      </c>
      <c r="AH254">
        <v>0.97642700000000004</v>
      </c>
      <c r="AI254" t="s">
        <v>39</v>
      </c>
      <c r="AJ254">
        <v>0.77242</v>
      </c>
      <c r="AK254" t="s">
        <v>40</v>
      </c>
      <c r="AL254">
        <v>0.78449100000000005</v>
      </c>
      <c r="AM254" t="s">
        <v>41</v>
      </c>
      <c r="AN254">
        <v>33.079742000000003</v>
      </c>
      <c r="AO254" t="s">
        <v>42</v>
      </c>
      <c r="AP254">
        <v>18.211919999999999</v>
      </c>
    </row>
    <row r="255" spans="1:42" x14ac:dyDescent="0.3">
      <c r="A255" t="s">
        <v>22</v>
      </c>
      <c r="B255">
        <v>2.549998</v>
      </c>
      <c r="C255" t="s">
        <v>23</v>
      </c>
      <c r="D255">
        <v>1.025943</v>
      </c>
      <c r="E255" t="s">
        <v>24</v>
      </c>
      <c r="F255">
        <v>1.075761</v>
      </c>
      <c r="G255" t="s">
        <v>25</v>
      </c>
      <c r="H255">
        <v>0.91616900000000001</v>
      </c>
      <c r="I255" t="s">
        <v>26</v>
      </c>
      <c r="J255">
        <v>3.8299999999999999E-4</v>
      </c>
      <c r="K255" t="s">
        <v>27</v>
      </c>
      <c r="L255">
        <v>2.3018E-2</v>
      </c>
      <c r="M255" t="s">
        <v>28</v>
      </c>
      <c r="N255">
        <v>1.9602000000000001E-2</v>
      </c>
      <c r="O255" t="s">
        <v>29</v>
      </c>
      <c r="P255">
        <v>1.5268E-2</v>
      </c>
      <c r="Q255" t="s">
        <v>30</v>
      </c>
      <c r="R255">
        <v>-0.24950600000000001</v>
      </c>
      <c r="S255" t="s">
        <v>31</v>
      </c>
      <c r="T255">
        <v>0.59869000000000006</v>
      </c>
      <c r="U255" t="s">
        <v>32</v>
      </c>
      <c r="V255">
        <v>3.2522000000000002E-2</v>
      </c>
      <c r="W255" t="s">
        <v>33</v>
      </c>
      <c r="X255">
        <v>0.16833400000000001</v>
      </c>
      <c r="Y255" t="s">
        <v>34</v>
      </c>
      <c r="Z255">
        <v>0.104183</v>
      </c>
      <c r="AA255" t="s">
        <v>35</v>
      </c>
      <c r="AB255">
        <v>8.1646999999999997E-2</v>
      </c>
      <c r="AC255" t="s">
        <v>36</v>
      </c>
      <c r="AD255">
        <v>0.26782800000000001</v>
      </c>
      <c r="AE255" t="s">
        <v>37</v>
      </c>
      <c r="AF255">
        <v>0.26155299999999998</v>
      </c>
      <c r="AG255" t="s">
        <v>38</v>
      </c>
      <c r="AH255">
        <v>0.97657099999999997</v>
      </c>
      <c r="AI255" t="s">
        <v>39</v>
      </c>
      <c r="AJ255">
        <v>0.77249699999999999</v>
      </c>
      <c r="AK255" t="s">
        <v>40</v>
      </c>
      <c r="AL255">
        <v>0.78449100000000005</v>
      </c>
      <c r="AM255" t="s">
        <v>41</v>
      </c>
      <c r="AN255">
        <v>33.209975999999997</v>
      </c>
      <c r="AO255" t="s">
        <v>42</v>
      </c>
      <c r="AP255">
        <v>18.278233</v>
      </c>
    </row>
    <row r="256" spans="1:42" x14ac:dyDescent="0.3">
      <c r="A256" t="s">
        <v>22</v>
      </c>
      <c r="B256">
        <v>2.5599980000000002</v>
      </c>
      <c r="C256" t="s">
        <v>23</v>
      </c>
      <c r="D256">
        <v>1.0257620000000001</v>
      </c>
      <c r="E256" t="s">
        <v>24</v>
      </c>
      <c r="F256">
        <v>1.0752569999999999</v>
      </c>
      <c r="G256" t="s">
        <v>25</v>
      </c>
      <c r="H256">
        <v>0.91616900000000001</v>
      </c>
      <c r="I256" t="s">
        <v>26</v>
      </c>
      <c r="J256">
        <v>3.8099999999999999E-4</v>
      </c>
      <c r="K256" t="s">
        <v>27</v>
      </c>
      <c r="L256">
        <v>2.3007E-2</v>
      </c>
      <c r="M256" t="s">
        <v>28</v>
      </c>
      <c r="N256">
        <v>1.9602000000000001E-2</v>
      </c>
      <c r="O256" t="s">
        <v>29</v>
      </c>
      <c r="P256">
        <v>1.6230000000000001E-2</v>
      </c>
      <c r="Q256" t="s">
        <v>30</v>
      </c>
      <c r="R256">
        <v>-0.24682699999999999</v>
      </c>
      <c r="S256" t="s">
        <v>31</v>
      </c>
      <c r="T256">
        <v>0.59869000000000006</v>
      </c>
      <c r="U256" t="s">
        <v>32</v>
      </c>
      <c r="V256">
        <v>3.2412999999999997E-2</v>
      </c>
      <c r="W256" t="s">
        <v>33</v>
      </c>
      <c r="X256">
        <v>0.168437</v>
      </c>
      <c r="Y256" t="s">
        <v>34</v>
      </c>
      <c r="Z256">
        <v>0.104183</v>
      </c>
      <c r="AA256" t="s">
        <v>35</v>
      </c>
      <c r="AB256">
        <v>8.1374000000000002E-2</v>
      </c>
      <c r="AC256" t="s">
        <v>36</v>
      </c>
      <c r="AD256">
        <v>0.267789</v>
      </c>
      <c r="AE256" t="s">
        <v>37</v>
      </c>
      <c r="AF256">
        <v>0.26155299999999998</v>
      </c>
      <c r="AG256" t="s">
        <v>38</v>
      </c>
      <c r="AH256">
        <v>0.97671300000000005</v>
      </c>
      <c r="AI256" t="s">
        <v>39</v>
      </c>
      <c r="AJ256">
        <v>0.77257299999999995</v>
      </c>
      <c r="AK256" t="s">
        <v>40</v>
      </c>
      <c r="AL256">
        <v>0.78449100000000005</v>
      </c>
      <c r="AM256" t="s">
        <v>41</v>
      </c>
      <c r="AN256">
        <v>33.340214000000003</v>
      </c>
      <c r="AO256" t="s">
        <v>42</v>
      </c>
      <c r="AP256">
        <v>18.344553000000001</v>
      </c>
    </row>
    <row r="257" spans="1:42" x14ac:dyDescent="0.3">
      <c r="A257" t="s">
        <v>22</v>
      </c>
      <c r="B257">
        <v>2.569998</v>
      </c>
      <c r="C257" t="s">
        <v>23</v>
      </c>
      <c r="D257">
        <v>1.0255810000000001</v>
      </c>
      <c r="E257" t="s">
        <v>24</v>
      </c>
      <c r="F257">
        <v>1.074756</v>
      </c>
      <c r="G257" t="s">
        <v>25</v>
      </c>
      <c r="H257">
        <v>0.91616900000000001</v>
      </c>
      <c r="I257" t="s">
        <v>26</v>
      </c>
      <c r="J257">
        <v>3.79E-4</v>
      </c>
      <c r="K257" t="s">
        <v>27</v>
      </c>
      <c r="L257">
        <v>2.2995999999999999E-2</v>
      </c>
      <c r="M257" t="s">
        <v>28</v>
      </c>
      <c r="N257">
        <v>1.9602000000000001E-2</v>
      </c>
      <c r="O257" t="s">
        <v>29</v>
      </c>
      <c r="P257">
        <v>1.7191000000000001E-2</v>
      </c>
      <c r="Q257" t="s">
        <v>30</v>
      </c>
      <c r="R257">
        <v>-0.24416599999999999</v>
      </c>
      <c r="S257" t="s">
        <v>31</v>
      </c>
      <c r="T257">
        <v>0.59869000000000006</v>
      </c>
      <c r="U257" t="s">
        <v>32</v>
      </c>
      <c r="V257">
        <v>3.2306000000000001E-2</v>
      </c>
      <c r="W257" t="s">
        <v>33</v>
      </c>
      <c r="X257">
        <v>0.16854</v>
      </c>
      <c r="Y257" t="s">
        <v>34</v>
      </c>
      <c r="Z257">
        <v>0.104183</v>
      </c>
      <c r="AA257" t="s">
        <v>35</v>
      </c>
      <c r="AB257">
        <v>8.1103999999999996E-2</v>
      </c>
      <c r="AC257" t="s">
        <v>36</v>
      </c>
      <c r="AD257">
        <v>0.26774999999999999</v>
      </c>
      <c r="AE257" t="s">
        <v>37</v>
      </c>
      <c r="AF257">
        <v>0.26155299999999998</v>
      </c>
      <c r="AG257" t="s">
        <v>38</v>
      </c>
      <c r="AH257">
        <v>0.97685500000000003</v>
      </c>
      <c r="AI257" t="s">
        <v>39</v>
      </c>
      <c r="AJ257">
        <v>0.77264900000000003</v>
      </c>
      <c r="AK257" t="s">
        <v>40</v>
      </c>
      <c r="AL257">
        <v>0.78449100000000005</v>
      </c>
      <c r="AM257" t="s">
        <v>41</v>
      </c>
      <c r="AN257">
        <v>33.470447999999998</v>
      </c>
      <c r="AO257" t="s">
        <v>42</v>
      </c>
      <c r="AP257">
        <v>18.410885</v>
      </c>
    </row>
    <row r="258" spans="1:42" x14ac:dyDescent="0.3">
      <c r="A258" t="s">
        <v>22</v>
      </c>
      <c r="B258">
        <v>2.5799979999999998</v>
      </c>
      <c r="C258" t="s">
        <v>23</v>
      </c>
      <c r="D258">
        <v>1.0253989999999999</v>
      </c>
      <c r="E258" t="s">
        <v>24</v>
      </c>
      <c r="F258">
        <v>1.0742579999999999</v>
      </c>
      <c r="G258" t="s">
        <v>25</v>
      </c>
      <c r="H258">
        <v>0.91616900000000001</v>
      </c>
      <c r="I258" t="s">
        <v>26</v>
      </c>
      <c r="J258">
        <v>3.77E-4</v>
      </c>
      <c r="K258" t="s">
        <v>27</v>
      </c>
      <c r="L258">
        <v>2.2984999999999998E-2</v>
      </c>
      <c r="M258" t="s">
        <v>28</v>
      </c>
      <c r="N258">
        <v>1.9602000000000001E-2</v>
      </c>
      <c r="O258" t="s">
        <v>29</v>
      </c>
      <c r="P258">
        <v>1.8155999999999999E-2</v>
      </c>
      <c r="Q258" t="s">
        <v>30</v>
      </c>
      <c r="R258">
        <v>-0.24151900000000001</v>
      </c>
      <c r="S258" t="s">
        <v>31</v>
      </c>
      <c r="T258">
        <v>0.59869000000000006</v>
      </c>
      <c r="U258" t="s">
        <v>32</v>
      </c>
      <c r="V258">
        <v>3.2198999999999998E-2</v>
      </c>
      <c r="W258" t="s">
        <v>33</v>
      </c>
      <c r="X258">
        <v>0.16864199999999999</v>
      </c>
      <c r="Y258" t="s">
        <v>34</v>
      </c>
      <c r="Z258">
        <v>0.104183</v>
      </c>
      <c r="AA258" t="s">
        <v>35</v>
      </c>
      <c r="AB258">
        <v>8.0835000000000004E-2</v>
      </c>
      <c r="AC258" t="s">
        <v>36</v>
      </c>
      <c r="AD258">
        <v>0.26771200000000001</v>
      </c>
      <c r="AE258" t="s">
        <v>37</v>
      </c>
      <c r="AF258">
        <v>0.26155299999999998</v>
      </c>
      <c r="AG258" t="s">
        <v>38</v>
      </c>
      <c r="AH258">
        <v>0.97699499999999995</v>
      </c>
      <c r="AI258" t="s">
        <v>39</v>
      </c>
      <c r="AJ258">
        <v>0.77272399999999997</v>
      </c>
      <c r="AK258" t="s">
        <v>40</v>
      </c>
      <c r="AL258">
        <v>0.78449100000000005</v>
      </c>
      <c r="AM258" t="s">
        <v>41</v>
      </c>
      <c r="AN258">
        <v>33.600681000000002</v>
      </c>
      <c r="AO258" t="s">
        <v>42</v>
      </c>
      <c r="AP258">
        <v>18.477221</v>
      </c>
    </row>
    <row r="259" spans="1:42" x14ac:dyDescent="0.3">
      <c r="A259" t="s">
        <v>22</v>
      </c>
      <c r="B259">
        <v>2.589998</v>
      </c>
      <c r="C259" t="s">
        <v>23</v>
      </c>
      <c r="D259">
        <v>1.0252190000000001</v>
      </c>
      <c r="E259" t="s">
        <v>24</v>
      </c>
      <c r="F259">
        <v>1.073763</v>
      </c>
      <c r="G259" t="s">
        <v>25</v>
      </c>
      <c r="H259">
        <v>0.91616900000000001</v>
      </c>
      <c r="I259" t="s">
        <v>26</v>
      </c>
      <c r="J259">
        <v>3.7500000000000001E-4</v>
      </c>
      <c r="K259" t="s">
        <v>27</v>
      </c>
      <c r="L259">
        <v>2.2974999999999999E-2</v>
      </c>
      <c r="M259" t="s">
        <v>28</v>
      </c>
      <c r="N259">
        <v>1.9602000000000001E-2</v>
      </c>
      <c r="O259" t="s">
        <v>29</v>
      </c>
      <c r="P259">
        <v>1.9115E-2</v>
      </c>
      <c r="Q259" t="s">
        <v>30</v>
      </c>
      <c r="R259">
        <v>-0.23888899999999999</v>
      </c>
      <c r="S259" t="s">
        <v>31</v>
      </c>
      <c r="T259">
        <v>0.59869000000000006</v>
      </c>
      <c r="U259" t="s">
        <v>32</v>
      </c>
      <c r="V259">
        <v>3.2092000000000002E-2</v>
      </c>
      <c r="W259" t="s">
        <v>33</v>
      </c>
      <c r="X259">
        <v>0.16874600000000001</v>
      </c>
      <c r="Y259" t="s">
        <v>34</v>
      </c>
      <c r="Z259">
        <v>0.104183</v>
      </c>
      <c r="AA259" t="s">
        <v>35</v>
      </c>
      <c r="AB259">
        <v>8.0568000000000001E-2</v>
      </c>
      <c r="AC259" t="s">
        <v>36</v>
      </c>
      <c r="AD259">
        <v>0.26767400000000002</v>
      </c>
      <c r="AE259" t="s">
        <v>37</v>
      </c>
      <c r="AF259">
        <v>0.26155299999999998</v>
      </c>
      <c r="AG259" t="s">
        <v>38</v>
      </c>
      <c r="AH259">
        <v>0.97713399999999995</v>
      </c>
      <c r="AI259" t="s">
        <v>39</v>
      </c>
      <c r="AJ259">
        <v>0.77279699999999996</v>
      </c>
      <c r="AK259" t="s">
        <v>40</v>
      </c>
      <c r="AL259">
        <v>0.78449100000000005</v>
      </c>
      <c r="AM259" t="s">
        <v>41</v>
      </c>
      <c r="AN259">
        <v>33.730919</v>
      </c>
      <c r="AO259" t="s">
        <v>42</v>
      </c>
      <c r="AP259">
        <v>18.543562000000001</v>
      </c>
    </row>
    <row r="260" spans="1:42" x14ac:dyDescent="0.3">
      <c r="A260" t="s">
        <v>22</v>
      </c>
      <c r="B260">
        <v>2.5999979999999998</v>
      </c>
      <c r="C260" t="s">
        <v>23</v>
      </c>
      <c r="D260">
        <v>1.0250379999999999</v>
      </c>
      <c r="E260" t="s">
        <v>24</v>
      </c>
      <c r="F260">
        <v>1.0732710000000001</v>
      </c>
      <c r="G260" t="s">
        <v>25</v>
      </c>
      <c r="H260">
        <v>0.91616900000000001</v>
      </c>
      <c r="I260" t="s">
        <v>26</v>
      </c>
      <c r="J260">
        <v>3.7300000000000001E-4</v>
      </c>
      <c r="K260" t="s">
        <v>27</v>
      </c>
      <c r="L260">
        <v>2.2963999999999998E-2</v>
      </c>
      <c r="M260" t="s">
        <v>28</v>
      </c>
      <c r="N260">
        <v>1.9602000000000001E-2</v>
      </c>
      <c r="O260" t="s">
        <v>29</v>
      </c>
      <c r="P260">
        <v>2.0077000000000001E-2</v>
      </c>
      <c r="Q260" t="s">
        <v>30</v>
      </c>
      <c r="R260">
        <v>-0.23627300000000001</v>
      </c>
      <c r="S260" t="s">
        <v>31</v>
      </c>
      <c r="T260">
        <v>0.59869000000000006</v>
      </c>
      <c r="U260" t="s">
        <v>32</v>
      </c>
      <c r="V260">
        <v>3.1986000000000001E-2</v>
      </c>
      <c r="W260" t="s">
        <v>33</v>
      </c>
      <c r="X260">
        <v>0.168849</v>
      </c>
      <c r="Y260" t="s">
        <v>34</v>
      </c>
      <c r="Z260">
        <v>0.104183</v>
      </c>
      <c r="AA260" t="s">
        <v>35</v>
      </c>
      <c r="AB260">
        <v>8.0301999999999998E-2</v>
      </c>
      <c r="AC260" t="s">
        <v>36</v>
      </c>
      <c r="AD260">
        <v>0.26763599999999999</v>
      </c>
      <c r="AE260" t="s">
        <v>37</v>
      </c>
      <c r="AF260">
        <v>0.26155299999999998</v>
      </c>
      <c r="AG260" t="s">
        <v>38</v>
      </c>
      <c r="AH260">
        <v>0.977271</v>
      </c>
      <c r="AI260" t="s">
        <v>39</v>
      </c>
      <c r="AJ260">
        <v>0.77287099999999997</v>
      </c>
      <c r="AK260" t="s">
        <v>40</v>
      </c>
      <c r="AL260">
        <v>0.78449100000000005</v>
      </c>
      <c r="AM260" t="s">
        <v>41</v>
      </c>
      <c r="AN260">
        <v>33.861153000000002</v>
      </c>
      <c r="AO260" t="s">
        <v>42</v>
      </c>
      <c r="AP260">
        <v>18.609911</v>
      </c>
    </row>
    <row r="261" spans="1:42" x14ac:dyDescent="0.3">
      <c r="A261" t="s">
        <v>22</v>
      </c>
      <c r="B261">
        <v>2.609998</v>
      </c>
      <c r="C261" t="s">
        <v>23</v>
      </c>
      <c r="D261">
        <v>1.0248569999999999</v>
      </c>
      <c r="E261" t="s">
        <v>24</v>
      </c>
      <c r="F261">
        <v>1.0727819999999999</v>
      </c>
      <c r="G261" t="s">
        <v>25</v>
      </c>
      <c r="H261">
        <v>0.91616900000000001</v>
      </c>
      <c r="I261" t="s">
        <v>26</v>
      </c>
      <c r="J261">
        <v>3.7100000000000002E-4</v>
      </c>
      <c r="K261" t="s">
        <v>27</v>
      </c>
      <c r="L261">
        <v>2.2953999999999999E-2</v>
      </c>
      <c r="M261" t="s">
        <v>28</v>
      </c>
      <c r="N261">
        <v>1.9602000000000001E-2</v>
      </c>
      <c r="O261" t="s">
        <v>29</v>
      </c>
      <c r="P261">
        <v>2.1038000000000001E-2</v>
      </c>
      <c r="Q261" t="s">
        <v>30</v>
      </c>
      <c r="R261">
        <v>-0.23367399999999999</v>
      </c>
      <c r="S261" t="s">
        <v>31</v>
      </c>
      <c r="T261">
        <v>0.59869000000000006</v>
      </c>
      <c r="U261" t="s">
        <v>32</v>
      </c>
      <c r="V261">
        <v>3.1881E-2</v>
      </c>
      <c r="W261" t="s">
        <v>33</v>
      </c>
      <c r="X261">
        <v>0.16895199999999999</v>
      </c>
      <c r="Y261" t="s">
        <v>34</v>
      </c>
      <c r="Z261">
        <v>0.104183</v>
      </c>
      <c r="AA261" t="s">
        <v>35</v>
      </c>
      <c r="AB261">
        <v>8.0037999999999998E-2</v>
      </c>
      <c r="AC261" t="s">
        <v>36</v>
      </c>
      <c r="AD261">
        <v>0.267598</v>
      </c>
      <c r="AE261" t="s">
        <v>37</v>
      </c>
      <c r="AF261">
        <v>0.26155299999999998</v>
      </c>
      <c r="AG261" t="s">
        <v>38</v>
      </c>
      <c r="AH261">
        <v>0.97740800000000005</v>
      </c>
      <c r="AI261" t="s">
        <v>39</v>
      </c>
      <c r="AJ261">
        <v>0.77294399999999996</v>
      </c>
      <c r="AK261" t="s">
        <v>40</v>
      </c>
      <c r="AL261">
        <v>0.78449100000000005</v>
      </c>
      <c r="AM261" t="s">
        <v>41</v>
      </c>
      <c r="AN261">
        <v>33.991385999999999</v>
      </c>
      <c r="AO261" t="s">
        <v>42</v>
      </c>
      <c r="AP261">
        <v>18.676269999999999</v>
      </c>
    </row>
    <row r="262" spans="1:42" x14ac:dyDescent="0.3">
      <c r="A262" t="s">
        <v>22</v>
      </c>
      <c r="B262">
        <v>2.6199979999999998</v>
      </c>
      <c r="C262" t="s">
        <v>23</v>
      </c>
      <c r="D262">
        <v>1.0246759999999999</v>
      </c>
      <c r="E262" t="s">
        <v>24</v>
      </c>
      <c r="F262">
        <v>1.0722959999999999</v>
      </c>
      <c r="G262" t="s">
        <v>25</v>
      </c>
      <c r="H262">
        <v>0.91616900000000001</v>
      </c>
      <c r="I262" t="s">
        <v>26</v>
      </c>
      <c r="J262">
        <v>3.6900000000000002E-4</v>
      </c>
      <c r="K262" t="s">
        <v>27</v>
      </c>
      <c r="L262">
        <v>2.2943000000000002E-2</v>
      </c>
      <c r="M262" t="s">
        <v>28</v>
      </c>
      <c r="N262">
        <v>1.9602000000000001E-2</v>
      </c>
      <c r="O262" t="s">
        <v>29</v>
      </c>
      <c r="P262">
        <v>2.1998E-2</v>
      </c>
      <c r="Q262" t="s">
        <v>30</v>
      </c>
      <c r="R262">
        <v>-0.23109099999999999</v>
      </c>
      <c r="S262" t="s">
        <v>31</v>
      </c>
      <c r="T262">
        <v>0.59869000000000006</v>
      </c>
      <c r="U262" t="s">
        <v>32</v>
      </c>
      <c r="V262">
        <v>3.1777E-2</v>
      </c>
      <c r="W262" t="s">
        <v>33</v>
      </c>
      <c r="X262">
        <v>0.16905600000000001</v>
      </c>
      <c r="Y262" t="s">
        <v>34</v>
      </c>
      <c r="Z262">
        <v>0.104183</v>
      </c>
      <c r="AA262" t="s">
        <v>35</v>
      </c>
      <c r="AB262">
        <v>7.9774999999999999E-2</v>
      </c>
      <c r="AC262" t="s">
        <v>36</v>
      </c>
      <c r="AD262">
        <v>0.26756099999999999</v>
      </c>
      <c r="AE262" t="s">
        <v>37</v>
      </c>
      <c r="AF262">
        <v>0.26155299999999998</v>
      </c>
      <c r="AG262" t="s">
        <v>38</v>
      </c>
      <c r="AH262">
        <v>0.97754300000000005</v>
      </c>
      <c r="AI262" t="s">
        <v>39</v>
      </c>
      <c r="AJ262">
        <v>0.77301600000000004</v>
      </c>
      <c r="AK262" t="s">
        <v>40</v>
      </c>
      <c r="AL262">
        <v>0.78449100000000005</v>
      </c>
      <c r="AM262" t="s">
        <v>41</v>
      </c>
      <c r="AN262">
        <v>34.121623999999997</v>
      </c>
      <c r="AO262" t="s">
        <v>42</v>
      </c>
      <c r="AP262">
        <v>18.742633999999999</v>
      </c>
    </row>
    <row r="263" spans="1:42" x14ac:dyDescent="0.3">
      <c r="A263" t="s">
        <v>22</v>
      </c>
      <c r="B263">
        <v>2.6299980000000001</v>
      </c>
      <c r="C263" t="s">
        <v>23</v>
      </c>
      <c r="D263">
        <v>1.0244960000000001</v>
      </c>
      <c r="E263" t="s">
        <v>24</v>
      </c>
      <c r="F263">
        <v>1.0718129999999999</v>
      </c>
      <c r="G263" t="s">
        <v>25</v>
      </c>
      <c r="H263">
        <v>0.91616900000000001</v>
      </c>
      <c r="I263" t="s">
        <v>26</v>
      </c>
      <c r="J263">
        <v>3.6699999999999998E-4</v>
      </c>
      <c r="K263" t="s">
        <v>27</v>
      </c>
      <c r="L263">
        <v>2.2932999999999999E-2</v>
      </c>
      <c r="M263" t="s">
        <v>28</v>
      </c>
      <c r="N263">
        <v>1.9602000000000001E-2</v>
      </c>
      <c r="O263" t="s">
        <v>29</v>
      </c>
      <c r="P263">
        <v>2.2957999999999999E-2</v>
      </c>
      <c r="Q263" t="s">
        <v>30</v>
      </c>
      <c r="R263">
        <v>-0.228522</v>
      </c>
      <c r="S263" t="s">
        <v>31</v>
      </c>
      <c r="T263">
        <v>0.59869000000000006</v>
      </c>
      <c r="U263" t="s">
        <v>32</v>
      </c>
      <c r="V263">
        <v>3.1673E-2</v>
      </c>
      <c r="W263" t="s">
        <v>33</v>
      </c>
      <c r="X263">
        <v>0.16916</v>
      </c>
      <c r="Y263" t="s">
        <v>34</v>
      </c>
      <c r="Z263">
        <v>0.104183</v>
      </c>
      <c r="AA263" t="s">
        <v>35</v>
      </c>
      <c r="AB263">
        <v>7.9514000000000001E-2</v>
      </c>
      <c r="AC263" t="s">
        <v>36</v>
      </c>
      <c r="AD263">
        <v>0.26752500000000001</v>
      </c>
      <c r="AE263" t="s">
        <v>37</v>
      </c>
      <c r="AF263">
        <v>0.26155299999999998</v>
      </c>
      <c r="AG263" t="s">
        <v>38</v>
      </c>
      <c r="AH263">
        <v>0.97767800000000005</v>
      </c>
      <c r="AI263" t="s">
        <v>39</v>
      </c>
      <c r="AJ263">
        <v>0.77308699999999997</v>
      </c>
      <c r="AK263" t="s">
        <v>40</v>
      </c>
      <c r="AL263">
        <v>0.78449100000000005</v>
      </c>
      <c r="AM263" t="s">
        <v>41</v>
      </c>
      <c r="AN263">
        <v>34.251857999999999</v>
      </c>
      <c r="AO263" t="s">
        <v>42</v>
      </c>
      <c r="AP263">
        <v>18.809007999999999</v>
      </c>
    </row>
    <row r="264" spans="1:42" x14ac:dyDescent="0.3">
      <c r="A264" t="s">
        <v>22</v>
      </c>
      <c r="B264">
        <v>2.6399979999999998</v>
      </c>
      <c r="C264" t="s">
        <v>23</v>
      </c>
      <c r="D264">
        <v>1.0243150000000001</v>
      </c>
      <c r="E264" t="s">
        <v>24</v>
      </c>
      <c r="F264">
        <v>1.071332</v>
      </c>
      <c r="G264" t="s">
        <v>25</v>
      </c>
      <c r="H264">
        <v>0.91616900000000001</v>
      </c>
      <c r="I264" t="s">
        <v>26</v>
      </c>
      <c r="J264">
        <v>3.6600000000000001E-4</v>
      </c>
      <c r="K264" t="s">
        <v>27</v>
      </c>
      <c r="L264">
        <v>2.2922999999999999E-2</v>
      </c>
      <c r="M264" t="s">
        <v>28</v>
      </c>
      <c r="N264">
        <v>1.9602000000000001E-2</v>
      </c>
      <c r="O264" t="s">
        <v>29</v>
      </c>
      <c r="P264">
        <v>2.3917999999999998E-2</v>
      </c>
      <c r="Q264" t="s">
        <v>30</v>
      </c>
      <c r="R264">
        <v>-0.225968</v>
      </c>
      <c r="S264" t="s">
        <v>31</v>
      </c>
      <c r="T264">
        <v>0.59869000000000006</v>
      </c>
      <c r="U264" t="s">
        <v>32</v>
      </c>
      <c r="V264">
        <v>3.1569E-2</v>
      </c>
      <c r="W264" t="s">
        <v>33</v>
      </c>
      <c r="X264">
        <v>0.169264</v>
      </c>
      <c r="Y264" t="s">
        <v>34</v>
      </c>
      <c r="Z264">
        <v>0.104183</v>
      </c>
      <c r="AA264" t="s">
        <v>35</v>
      </c>
      <c r="AB264">
        <v>7.9255000000000006E-2</v>
      </c>
      <c r="AC264" t="s">
        <v>36</v>
      </c>
      <c r="AD264">
        <v>0.26748899999999998</v>
      </c>
      <c r="AE264" t="s">
        <v>37</v>
      </c>
      <c r="AF264">
        <v>0.26155299999999998</v>
      </c>
      <c r="AG264" t="s">
        <v>38</v>
      </c>
      <c r="AH264">
        <v>0.97781099999999999</v>
      </c>
      <c r="AI264" t="s">
        <v>39</v>
      </c>
      <c r="AJ264">
        <v>0.77315699999999998</v>
      </c>
      <c r="AK264" t="s">
        <v>40</v>
      </c>
      <c r="AL264">
        <v>0.78449100000000005</v>
      </c>
      <c r="AM264" t="s">
        <v>41</v>
      </c>
      <c r="AN264">
        <v>34.382095</v>
      </c>
      <c r="AO264" t="s">
        <v>42</v>
      </c>
      <c r="AP264">
        <v>18.875385000000001</v>
      </c>
    </row>
    <row r="265" spans="1:42" x14ac:dyDescent="0.3">
      <c r="A265" t="s">
        <v>22</v>
      </c>
      <c r="B265">
        <v>2.6499980000000001</v>
      </c>
      <c r="C265" t="s">
        <v>23</v>
      </c>
      <c r="D265">
        <v>1.024135</v>
      </c>
      <c r="E265" t="s">
        <v>24</v>
      </c>
      <c r="F265">
        <v>1.0708549999999999</v>
      </c>
      <c r="G265" t="s">
        <v>25</v>
      </c>
      <c r="H265">
        <v>0.91616900000000001</v>
      </c>
      <c r="I265" t="s">
        <v>26</v>
      </c>
      <c r="J265">
        <v>3.6400000000000001E-4</v>
      </c>
      <c r="K265" t="s">
        <v>27</v>
      </c>
      <c r="L265">
        <v>2.2912999999999999E-2</v>
      </c>
      <c r="M265" t="s">
        <v>28</v>
      </c>
      <c r="N265">
        <v>1.9602000000000001E-2</v>
      </c>
      <c r="O265" t="s">
        <v>29</v>
      </c>
      <c r="P265">
        <v>2.4875999999999999E-2</v>
      </c>
      <c r="Q265" t="s">
        <v>30</v>
      </c>
      <c r="R265">
        <v>-0.22342999999999999</v>
      </c>
      <c r="S265" t="s">
        <v>31</v>
      </c>
      <c r="T265">
        <v>0.59869000000000006</v>
      </c>
      <c r="U265" t="s">
        <v>32</v>
      </c>
      <c r="V265">
        <v>3.1467000000000002E-2</v>
      </c>
      <c r="W265" t="s">
        <v>33</v>
      </c>
      <c r="X265">
        <v>0.16936799999999999</v>
      </c>
      <c r="Y265" t="s">
        <v>34</v>
      </c>
      <c r="Z265">
        <v>0.104183</v>
      </c>
      <c r="AA265" t="s">
        <v>35</v>
      </c>
      <c r="AB265">
        <v>7.8996999999999998E-2</v>
      </c>
      <c r="AC265" t="s">
        <v>36</v>
      </c>
      <c r="AD265">
        <v>0.26745200000000002</v>
      </c>
      <c r="AE265" t="s">
        <v>37</v>
      </c>
      <c r="AF265">
        <v>0.26155299999999998</v>
      </c>
      <c r="AG265" t="s">
        <v>38</v>
      </c>
      <c r="AH265">
        <v>0.97794199999999998</v>
      </c>
      <c r="AI265" t="s">
        <v>39</v>
      </c>
      <c r="AJ265">
        <v>0.77322800000000003</v>
      </c>
      <c r="AK265" t="s">
        <v>40</v>
      </c>
      <c r="AL265">
        <v>0.78449100000000005</v>
      </c>
      <c r="AM265" t="s">
        <v>41</v>
      </c>
      <c r="AN265">
        <v>34.512329000000001</v>
      </c>
      <c r="AO265" t="s">
        <v>42</v>
      </c>
      <c r="AP265">
        <v>18.941772</v>
      </c>
    </row>
    <row r="266" spans="1:42" x14ac:dyDescent="0.3">
      <c r="A266" t="s">
        <v>22</v>
      </c>
      <c r="B266">
        <v>2.6599979999999999</v>
      </c>
      <c r="C266" t="s">
        <v>23</v>
      </c>
      <c r="D266">
        <v>1.0239549999999999</v>
      </c>
      <c r="E266" t="s">
        <v>24</v>
      </c>
      <c r="F266">
        <v>1.0703800000000001</v>
      </c>
      <c r="G266" t="s">
        <v>25</v>
      </c>
      <c r="H266">
        <v>0.91616900000000001</v>
      </c>
      <c r="I266" t="s">
        <v>26</v>
      </c>
      <c r="J266">
        <v>3.6200000000000002E-4</v>
      </c>
      <c r="K266" t="s">
        <v>27</v>
      </c>
      <c r="L266">
        <v>2.2901999999999999E-2</v>
      </c>
      <c r="M266" t="s">
        <v>28</v>
      </c>
      <c r="N266">
        <v>1.9602000000000001E-2</v>
      </c>
      <c r="O266" t="s">
        <v>29</v>
      </c>
      <c r="P266">
        <v>2.5833999999999999E-2</v>
      </c>
      <c r="Q266" t="s">
        <v>30</v>
      </c>
      <c r="R266">
        <v>-0.22090699999999999</v>
      </c>
      <c r="S266" t="s">
        <v>31</v>
      </c>
      <c r="T266">
        <v>0.59869000000000006</v>
      </c>
      <c r="U266" t="s">
        <v>32</v>
      </c>
      <c r="V266">
        <v>3.1364000000000003E-2</v>
      </c>
      <c r="W266" t="s">
        <v>33</v>
      </c>
      <c r="X266">
        <v>0.16947300000000001</v>
      </c>
      <c r="Y266" t="s">
        <v>34</v>
      </c>
      <c r="Z266">
        <v>0.104183</v>
      </c>
      <c r="AA266" t="s">
        <v>35</v>
      </c>
      <c r="AB266">
        <v>7.8741000000000005E-2</v>
      </c>
      <c r="AC266" t="s">
        <v>36</v>
      </c>
      <c r="AD266">
        <v>0.26741700000000002</v>
      </c>
      <c r="AE266" t="s">
        <v>37</v>
      </c>
      <c r="AF266">
        <v>0.26155299999999998</v>
      </c>
      <c r="AG266" t="s">
        <v>38</v>
      </c>
      <c r="AH266">
        <v>0.97807299999999997</v>
      </c>
      <c r="AI266" t="s">
        <v>39</v>
      </c>
      <c r="AJ266">
        <v>0.77329700000000001</v>
      </c>
      <c r="AK266" t="s">
        <v>40</v>
      </c>
      <c r="AL266">
        <v>0.78449100000000005</v>
      </c>
      <c r="AM266" t="s">
        <v>41</v>
      </c>
      <c r="AN266">
        <v>34.642563000000003</v>
      </c>
      <c r="AO266" t="s">
        <v>42</v>
      </c>
      <c r="AP266">
        <v>19.008167</v>
      </c>
    </row>
    <row r="267" spans="1:42" x14ac:dyDescent="0.3">
      <c r="A267" t="s">
        <v>22</v>
      </c>
      <c r="B267">
        <v>2.6699980000000001</v>
      </c>
      <c r="C267" t="s">
        <v>23</v>
      </c>
      <c r="D267">
        <v>1.0237750000000001</v>
      </c>
      <c r="E267" t="s">
        <v>24</v>
      </c>
      <c r="F267">
        <v>1.0699080000000001</v>
      </c>
      <c r="G267" t="s">
        <v>25</v>
      </c>
      <c r="H267">
        <v>0.91616900000000001</v>
      </c>
      <c r="I267" t="s">
        <v>26</v>
      </c>
      <c r="J267">
        <v>3.6000000000000002E-4</v>
      </c>
      <c r="K267" t="s">
        <v>27</v>
      </c>
      <c r="L267">
        <v>2.2891999999999999E-2</v>
      </c>
      <c r="M267" t="s">
        <v>28</v>
      </c>
      <c r="N267">
        <v>1.9602000000000001E-2</v>
      </c>
      <c r="O267" t="s">
        <v>29</v>
      </c>
      <c r="P267">
        <v>2.6792E-2</v>
      </c>
      <c r="Q267" t="s">
        <v>30</v>
      </c>
      <c r="R267">
        <v>-0.21839800000000001</v>
      </c>
      <c r="S267" t="s">
        <v>31</v>
      </c>
      <c r="T267">
        <v>0.59869000000000006</v>
      </c>
      <c r="U267" t="s">
        <v>32</v>
      </c>
      <c r="V267">
        <v>3.1262999999999999E-2</v>
      </c>
      <c r="W267" t="s">
        <v>33</v>
      </c>
      <c r="X267">
        <v>0.16957800000000001</v>
      </c>
      <c r="Y267" t="s">
        <v>34</v>
      </c>
      <c r="Z267">
        <v>0.104183</v>
      </c>
      <c r="AA267" t="s">
        <v>35</v>
      </c>
      <c r="AB267">
        <v>7.8486E-2</v>
      </c>
      <c r="AC267" t="s">
        <v>36</v>
      </c>
      <c r="AD267">
        <v>0.26738099999999998</v>
      </c>
      <c r="AE267" t="s">
        <v>37</v>
      </c>
      <c r="AF267">
        <v>0.26155299999999998</v>
      </c>
      <c r="AG267" t="s">
        <v>38</v>
      </c>
      <c r="AH267">
        <v>0.97820300000000004</v>
      </c>
      <c r="AI267" t="s">
        <v>39</v>
      </c>
      <c r="AJ267">
        <v>0.773366</v>
      </c>
      <c r="AK267" t="s">
        <v>40</v>
      </c>
      <c r="AL267">
        <v>0.78449100000000005</v>
      </c>
      <c r="AM267" t="s">
        <v>41</v>
      </c>
      <c r="AN267">
        <v>34.772799999999997</v>
      </c>
      <c r="AO267" t="s">
        <v>42</v>
      </c>
      <c r="AP267">
        <v>19.074567999999999</v>
      </c>
    </row>
    <row r="268" spans="1:42" x14ac:dyDescent="0.3">
      <c r="A268" t="s">
        <v>22</v>
      </c>
      <c r="B268">
        <v>2.6799979999999999</v>
      </c>
      <c r="C268" t="s">
        <v>23</v>
      </c>
      <c r="D268">
        <v>1.0235939999999999</v>
      </c>
      <c r="E268" t="s">
        <v>24</v>
      </c>
      <c r="F268">
        <v>1.069439</v>
      </c>
      <c r="G268" t="s">
        <v>25</v>
      </c>
      <c r="H268">
        <v>0.91616900000000001</v>
      </c>
      <c r="I268" t="s">
        <v>26</v>
      </c>
      <c r="J268">
        <v>3.5799999999999997E-4</v>
      </c>
      <c r="K268" t="s">
        <v>27</v>
      </c>
      <c r="L268">
        <v>2.2882E-2</v>
      </c>
      <c r="M268" t="s">
        <v>28</v>
      </c>
      <c r="N268">
        <v>1.9602000000000001E-2</v>
      </c>
      <c r="O268" t="s">
        <v>29</v>
      </c>
      <c r="P268">
        <v>2.7748999999999999E-2</v>
      </c>
      <c r="Q268" t="s">
        <v>30</v>
      </c>
      <c r="R268">
        <v>-0.21590400000000001</v>
      </c>
      <c r="S268" t="s">
        <v>31</v>
      </c>
      <c r="T268">
        <v>0.59869000000000006</v>
      </c>
      <c r="U268" t="s">
        <v>32</v>
      </c>
      <c r="V268">
        <v>3.1161999999999999E-2</v>
      </c>
      <c r="W268" t="s">
        <v>33</v>
      </c>
      <c r="X268">
        <v>0.169683</v>
      </c>
      <c r="Y268" t="s">
        <v>34</v>
      </c>
      <c r="Z268">
        <v>0.104183</v>
      </c>
      <c r="AA268" t="s">
        <v>35</v>
      </c>
      <c r="AB268">
        <v>7.8232999999999997E-2</v>
      </c>
      <c r="AC268" t="s">
        <v>36</v>
      </c>
      <c r="AD268">
        <v>0.26734599999999997</v>
      </c>
      <c r="AE268" t="s">
        <v>37</v>
      </c>
      <c r="AF268">
        <v>0.26155299999999998</v>
      </c>
      <c r="AG268" t="s">
        <v>38</v>
      </c>
      <c r="AH268">
        <v>0.97833099999999995</v>
      </c>
      <c r="AI268" t="s">
        <v>39</v>
      </c>
      <c r="AJ268">
        <v>0.77343399999999995</v>
      </c>
      <c r="AK268" t="s">
        <v>40</v>
      </c>
      <c r="AL268">
        <v>0.78449100000000005</v>
      </c>
      <c r="AM268" t="s">
        <v>41</v>
      </c>
      <c r="AN268">
        <v>34.903033999999998</v>
      </c>
      <c r="AO268" t="s">
        <v>42</v>
      </c>
      <c r="AP268">
        <v>19.140975999999998</v>
      </c>
    </row>
    <row r="269" spans="1:42" x14ac:dyDescent="0.3">
      <c r="A269" t="s">
        <v>22</v>
      </c>
      <c r="B269">
        <v>2.6899980000000001</v>
      </c>
      <c r="C269" t="s">
        <v>23</v>
      </c>
      <c r="D269">
        <v>1.023415</v>
      </c>
      <c r="E269" t="s">
        <v>24</v>
      </c>
      <c r="F269">
        <v>1.068972</v>
      </c>
      <c r="G269" t="s">
        <v>25</v>
      </c>
      <c r="H269">
        <v>0.91616900000000001</v>
      </c>
      <c r="I269" t="s">
        <v>26</v>
      </c>
      <c r="J269">
        <v>3.5599999999999998E-4</v>
      </c>
      <c r="K269" t="s">
        <v>27</v>
      </c>
      <c r="L269">
        <v>2.2872E-2</v>
      </c>
      <c r="M269" t="s">
        <v>28</v>
      </c>
      <c r="N269">
        <v>1.9602000000000001E-2</v>
      </c>
      <c r="O269" t="s">
        <v>29</v>
      </c>
      <c r="P269">
        <v>2.8704E-2</v>
      </c>
      <c r="Q269" t="s">
        <v>30</v>
      </c>
      <c r="R269">
        <v>-0.213424</v>
      </c>
      <c r="S269" t="s">
        <v>31</v>
      </c>
      <c r="T269">
        <v>0.59869000000000006</v>
      </c>
      <c r="U269" t="s">
        <v>32</v>
      </c>
      <c r="V269">
        <v>3.1061999999999999E-2</v>
      </c>
      <c r="W269" t="s">
        <v>33</v>
      </c>
      <c r="X269">
        <v>0.16978799999999999</v>
      </c>
      <c r="Y269" t="s">
        <v>34</v>
      </c>
      <c r="Z269">
        <v>0.104183</v>
      </c>
      <c r="AA269" t="s">
        <v>35</v>
      </c>
      <c r="AB269">
        <v>7.7980999999999995E-2</v>
      </c>
      <c r="AC269" t="s">
        <v>36</v>
      </c>
      <c r="AD269">
        <v>0.26731100000000002</v>
      </c>
      <c r="AE269" t="s">
        <v>37</v>
      </c>
      <c r="AF269">
        <v>0.26155299999999998</v>
      </c>
      <c r="AG269" t="s">
        <v>38</v>
      </c>
      <c r="AH269">
        <v>0.97845899999999997</v>
      </c>
      <c r="AI269" t="s">
        <v>39</v>
      </c>
      <c r="AJ269">
        <v>0.77350300000000005</v>
      </c>
      <c r="AK269" t="s">
        <v>40</v>
      </c>
      <c r="AL269">
        <v>0.78449100000000005</v>
      </c>
      <c r="AM269" t="s">
        <v>41</v>
      </c>
      <c r="AN269">
        <v>35.033268</v>
      </c>
      <c r="AO269" t="s">
        <v>42</v>
      </c>
      <c r="AP269">
        <v>19.207391999999999</v>
      </c>
    </row>
    <row r="270" spans="1:42" x14ac:dyDescent="0.3">
      <c r="A270" t="s">
        <v>22</v>
      </c>
      <c r="B270">
        <v>2.6999979999999999</v>
      </c>
      <c r="C270" t="s">
        <v>23</v>
      </c>
      <c r="D270">
        <v>1.0232349999999999</v>
      </c>
      <c r="E270" t="s">
        <v>24</v>
      </c>
      <c r="F270">
        <v>1.068508</v>
      </c>
      <c r="G270" t="s">
        <v>25</v>
      </c>
      <c r="H270">
        <v>0.91616900000000001</v>
      </c>
      <c r="I270" t="s">
        <v>26</v>
      </c>
      <c r="J270">
        <v>3.5500000000000001E-4</v>
      </c>
      <c r="K270" t="s">
        <v>27</v>
      </c>
      <c r="L270">
        <v>2.2862E-2</v>
      </c>
      <c r="M270" t="s">
        <v>28</v>
      </c>
      <c r="N270">
        <v>1.9602000000000001E-2</v>
      </c>
      <c r="O270" t="s">
        <v>29</v>
      </c>
      <c r="P270">
        <v>2.9659000000000001E-2</v>
      </c>
      <c r="Q270" t="s">
        <v>30</v>
      </c>
      <c r="R270">
        <v>-0.21095900000000001</v>
      </c>
      <c r="S270" t="s">
        <v>31</v>
      </c>
      <c r="T270">
        <v>0.59869000000000006</v>
      </c>
      <c r="U270" t="s">
        <v>32</v>
      </c>
      <c r="V270">
        <v>3.0962E-2</v>
      </c>
      <c r="W270" t="s">
        <v>33</v>
      </c>
      <c r="X270">
        <v>0.16989299999999999</v>
      </c>
      <c r="Y270" t="s">
        <v>34</v>
      </c>
      <c r="Z270">
        <v>0.104183</v>
      </c>
      <c r="AA270" t="s">
        <v>35</v>
      </c>
      <c r="AB270">
        <v>7.7729999999999994E-2</v>
      </c>
      <c r="AC270" t="s">
        <v>36</v>
      </c>
      <c r="AD270">
        <v>0.26727699999999999</v>
      </c>
      <c r="AE270" t="s">
        <v>37</v>
      </c>
      <c r="AF270">
        <v>0.26155299999999998</v>
      </c>
      <c r="AG270" t="s">
        <v>38</v>
      </c>
      <c r="AH270">
        <v>0.97858500000000004</v>
      </c>
      <c r="AI270" t="s">
        <v>39</v>
      </c>
      <c r="AJ270">
        <v>0.77356899999999995</v>
      </c>
      <c r="AK270" t="s">
        <v>40</v>
      </c>
      <c r="AL270">
        <v>0.78449100000000005</v>
      </c>
      <c r="AM270" t="s">
        <v>41</v>
      </c>
      <c r="AN270">
        <v>35.163505999999998</v>
      </c>
      <c r="AO270" t="s">
        <v>42</v>
      </c>
      <c r="AP270">
        <v>19.273813000000001</v>
      </c>
    </row>
    <row r="271" spans="1:42" x14ac:dyDescent="0.3">
      <c r="A271" t="s">
        <v>22</v>
      </c>
      <c r="B271">
        <v>2.7099980000000001</v>
      </c>
      <c r="C271" t="s">
        <v>23</v>
      </c>
      <c r="D271">
        <v>1.023055</v>
      </c>
      <c r="E271" t="s">
        <v>24</v>
      </c>
      <c r="F271">
        <v>1.068047</v>
      </c>
      <c r="G271" t="s">
        <v>25</v>
      </c>
      <c r="H271">
        <v>0.91616900000000001</v>
      </c>
      <c r="I271" t="s">
        <v>26</v>
      </c>
      <c r="J271">
        <v>3.5300000000000002E-4</v>
      </c>
      <c r="K271" t="s">
        <v>27</v>
      </c>
      <c r="L271">
        <v>2.2852000000000001E-2</v>
      </c>
      <c r="M271" t="s">
        <v>28</v>
      </c>
      <c r="N271">
        <v>1.9602000000000001E-2</v>
      </c>
      <c r="O271" t="s">
        <v>29</v>
      </c>
      <c r="P271">
        <v>3.0613000000000001E-2</v>
      </c>
      <c r="Q271" t="s">
        <v>30</v>
      </c>
      <c r="R271">
        <v>-0.208508</v>
      </c>
      <c r="S271" t="s">
        <v>31</v>
      </c>
      <c r="T271">
        <v>0.59869000000000006</v>
      </c>
      <c r="U271" t="s">
        <v>32</v>
      </c>
      <c r="V271">
        <v>3.0863000000000002E-2</v>
      </c>
      <c r="W271" t="s">
        <v>33</v>
      </c>
      <c r="X271">
        <v>0.16999900000000001</v>
      </c>
      <c r="Y271" t="s">
        <v>34</v>
      </c>
      <c r="Z271">
        <v>0.104183</v>
      </c>
      <c r="AA271" t="s">
        <v>35</v>
      </c>
      <c r="AB271">
        <v>7.7481999999999995E-2</v>
      </c>
      <c r="AC271" t="s">
        <v>36</v>
      </c>
      <c r="AD271">
        <v>0.26724199999999998</v>
      </c>
      <c r="AE271" t="s">
        <v>37</v>
      </c>
      <c r="AF271">
        <v>0.26155299999999998</v>
      </c>
      <c r="AG271" t="s">
        <v>38</v>
      </c>
      <c r="AH271">
        <v>0.978711</v>
      </c>
      <c r="AI271" t="s">
        <v>39</v>
      </c>
      <c r="AJ271">
        <v>0.77363599999999999</v>
      </c>
      <c r="AK271" t="s">
        <v>40</v>
      </c>
      <c r="AL271">
        <v>0.78449100000000005</v>
      </c>
      <c r="AM271" t="s">
        <v>41</v>
      </c>
      <c r="AN271">
        <v>35.293739000000002</v>
      </c>
      <c r="AO271" t="s">
        <v>42</v>
      </c>
      <c r="AP271">
        <v>19.340243999999998</v>
      </c>
    </row>
    <row r="272" spans="1:42" x14ac:dyDescent="0.3">
      <c r="A272" t="s">
        <v>22</v>
      </c>
      <c r="B272">
        <v>2.7199979999999999</v>
      </c>
      <c r="C272" t="s">
        <v>23</v>
      </c>
      <c r="D272">
        <v>1.0228759999999999</v>
      </c>
      <c r="E272" t="s">
        <v>24</v>
      </c>
      <c r="F272">
        <v>1.0675889999999999</v>
      </c>
      <c r="G272" t="s">
        <v>25</v>
      </c>
      <c r="H272">
        <v>0.91616900000000001</v>
      </c>
      <c r="I272" t="s">
        <v>26</v>
      </c>
      <c r="J272">
        <v>3.5100000000000002E-4</v>
      </c>
      <c r="K272" t="s">
        <v>27</v>
      </c>
      <c r="L272">
        <v>2.2842999999999999E-2</v>
      </c>
      <c r="M272" t="s">
        <v>28</v>
      </c>
      <c r="N272">
        <v>1.9602000000000001E-2</v>
      </c>
      <c r="O272" t="s">
        <v>29</v>
      </c>
      <c r="P272">
        <v>3.1565999999999997E-2</v>
      </c>
      <c r="Q272" t="s">
        <v>30</v>
      </c>
      <c r="R272">
        <v>-0.20607200000000001</v>
      </c>
      <c r="S272" t="s">
        <v>31</v>
      </c>
      <c r="T272">
        <v>0.59869000000000006</v>
      </c>
      <c r="U272" t="s">
        <v>32</v>
      </c>
      <c r="V272">
        <v>3.0764E-2</v>
      </c>
      <c r="W272" t="s">
        <v>33</v>
      </c>
      <c r="X272">
        <v>0.17010400000000001</v>
      </c>
      <c r="Y272" t="s">
        <v>34</v>
      </c>
      <c r="Z272">
        <v>0.104183</v>
      </c>
      <c r="AA272" t="s">
        <v>35</v>
      </c>
      <c r="AB272">
        <v>7.7233999999999997E-2</v>
      </c>
      <c r="AC272" t="s">
        <v>36</v>
      </c>
      <c r="AD272">
        <v>0.267208</v>
      </c>
      <c r="AE272" t="s">
        <v>37</v>
      </c>
      <c r="AF272">
        <v>0.26155299999999998</v>
      </c>
      <c r="AG272" t="s">
        <v>38</v>
      </c>
      <c r="AH272">
        <v>0.97883500000000001</v>
      </c>
      <c r="AI272" t="s">
        <v>39</v>
      </c>
      <c r="AJ272">
        <v>0.773702</v>
      </c>
      <c r="AK272" t="s">
        <v>40</v>
      </c>
      <c r="AL272">
        <v>0.78449100000000005</v>
      </c>
      <c r="AM272" t="s">
        <v>41</v>
      </c>
      <c r="AN272">
        <v>35.423977000000001</v>
      </c>
      <c r="AO272" t="s">
        <v>42</v>
      </c>
      <c r="AP272">
        <v>19.406679</v>
      </c>
    </row>
    <row r="273" spans="1:42" x14ac:dyDescent="0.3">
      <c r="A273" t="s">
        <v>22</v>
      </c>
      <c r="B273">
        <v>2.7299980000000001</v>
      </c>
      <c r="C273" t="s">
        <v>23</v>
      </c>
      <c r="D273">
        <v>1.022697</v>
      </c>
      <c r="E273" t="s">
        <v>24</v>
      </c>
      <c r="F273">
        <v>1.0671330000000001</v>
      </c>
      <c r="G273" t="s">
        <v>25</v>
      </c>
      <c r="H273">
        <v>0.91616900000000001</v>
      </c>
      <c r="I273" t="s">
        <v>26</v>
      </c>
      <c r="J273">
        <v>3.4900000000000003E-4</v>
      </c>
      <c r="K273" t="s">
        <v>27</v>
      </c>
      <c r="L273">
        <v>2.2832999999999999E-2</v>
      </c>
      <c r="M273" t="s">
        <v>28</v>
      </c>
      <c r="N273">
        <v>1.9602000000000001E-2</v>
      </c>
      <c r="O273" t="s">
        <v>29</v>
      </c>
      <c r="P273">
        <v>3.2518999999999999E-2</v>
      </c>
      <c r="Q273" t="s">
        <v>30</v>
      </c>
      <c r="R273">
        <v>-0.203649</v>
      </c>
      <c r="S273" t="s">
        <v>31</v>
      </c>
      <c r="T273">
        <v>0.59869000000000006</v>
      </c>
      <c r="U273" t="s">
        <v>32</v>
      </c>
      <c r="V273">
        <v>3.0665999999999999E-2</v>
      </c>
      <c r="W273" t="s">
        <v>33</v>
      </c>
      <c r="X273">
        <v>0.17021</v>
      </c>
      <c r="Y273" t="s">
        <v>34</v>
      </c>
      <c r="Z273">
        <v>0.104183</v>
      </c>
      <c r="AA273" t="s">
        <v>35</v>
      </c>
      <c r="AB273">
        <v>7.6988000000000001E-2</v>
      </c>
      <c r="AC273" t="s">
        <v>36</v>
      </c>
      <c r="AD273">
        <v>0.267175</v>
      </c>
      <c r="AE273" t="s">
        <v>37</v>
      </c>
      <c r="AF273">
        <v>0.26155299999999998</v>
      </c>
      <c r="AG273" t="s">
        <v>38</v>
      </c>
      <c r="AH273">
        <v>0.97895799999999999</v>
      </c>
      <c r="AI273" t="s">
        <v>39</v>
      </c>
      <c r="AJ273">
        <v>0.77376699999999998</v>
      </c>
      <c r="AK273" t="s">
        <v>40</v>
      </c>
      <c r="AL273">
        <v>0.78449100000000005</v>
      </c>
      <c r="AM273" t="s">
        <v>41</v>
      </c>
      <c r="AN273">
        <v>35.554211000000002</v>
      </c>
      <c r="AO273" t="s">
        <v>42</v>
      </c>
      <c r="AP273">
        <v>19.473123999999999</v>
      </c>
    </row>
    <row r="274" spans="1:42" x14ac:dyDescent="0.3">
      <c r="A274" t="s">
        <v>22</v>
      </c>
      <c r="B274">
        <v>2.7399979999999999</v>
      </c>
      <c r="C274" t="s">
        <v>23</v>
      </c>
      <c r="D274">
        <v>1.022518</v>
      </c>
      <c r="E274" t="s">
        <v>24</v>
      </c>
      <c r="F274">
        <v>1.0666800000000001</v>
      </c>
      <c r="G274" t="s">
        <v>25</v>
      </c>
      <c r="H274">
        <v>0.91616900000000001</v>
      </c>
      <c r="I274" t="s">
        <v>26</v>
      </c>
      <c r="J274">
        <v>3.4699999999999998E-4</v>
      </c>
      <c r="K274" t="s">
        <v>27</v>
      </c>
      <c r="L274">
        <v>2.2823E-2</v>
      </c>
      <c r="M274" t="s">
        <v>28</v>
      </c>
      <c r="N274">
        <v>1.9602000000000001E-2</v>
      </c>
      <c r="O274" t="s">
        <v>29</v>
      </c>
      <c r="P274">
        <v>3.3472000000000002E-2</v>
      </c>
      <c r="Q274" t="s">
        <v>30</v>
      </c>
      <c r="R274">
        <v>-0.20124</v>
      </c>
      <c r="S274" t="s">
        <v>31</v>
      </c>
      <c r="T274">
        <v>0.59869000000000006</v>
      </c>
      <c r="U274" t="s">
        <v>32</v>
      </c>
      <c r="V274">
        <v>3.0568999999999999E-2</v>
      </c>
      <c r="W274" t="s">
        <v>33</v>
      </c>
      <c r="X274">
        <v>0.170316</v>
      </c>
      <c r="Y274" t="s">
        <v>34</v>
      </c>
      <c r="Z274">
        <v>0.104183</v>
      </c>
      <c r="AA274" t="s">
        <v>35</v>
      </c>
      <c r="AB274">
        <v>7.6744000000000007E-2</v>
      </c>
      <c r="AC274" t="s">
        <v>36</v>
      </c>
      <c r="AD274">
        <v>0.26714199999999999</v>
      </c>
      <c r="AE274" t="s">
        <v>37</v>
      </c>
      <c r="AF274">
        <v>0.26155299999999998</v>
      </c>
      <c r="AG274" t="s">
        <v>38</v>
      </c>
      <c r="AH274">
        <v>0.97908099999999998</v>
      </c>
      <c r="AI274" t="s">
        <v>39</v>
      </c>
      <c r="AJ274">
        <v>0.77383199999999996</v>
      </c>
      <c r="AK274" t="s">
        <v>40</v>
      </c>
      <c r="AL274">
        <v>0.78449100000000005</v>
      </c>
      <c r="AM274" t="s">
        <v>41</v>
      </c>
      <c r="AN274">
        <v>35.684443999999999</v>
      </c>
      <c r="AO274" t="s">
        <v>42</v>
      </c>
      <c r="AP274">
        <v>19.539574000000002</v>
      </c>
    </row>
    <row r="275" spans="1:42" x14ac:dyDescent="0.3">
      <c r="A275" t="s">
        <v>22</v>
      </c>
      <c r="B275">
        <v>2.7499980000000002</v>
      </c>
      <c r="C275" t="s">
        <v>23</v>
      </c>
      <c r="D275">
        <v>1.0223390000000001</v>
      </c>
      <c r="E275" t="s">
        <v>24</v>
      </c>
      <c r="F275">
        <v>1.0662290000000001</v>
      </c>
      <c r="G275" t="s">
        <v>25</v>
      </c>
      <c r="H275">
        <v>0.91616900000000001</v>
      </c>
      <c r="I275" t="s">
        <v>26</v>
      </c>
      <c r="J275">
        <v>3.4600000000000001E-4</v>
      </c>
      <c r="K275" t="s">
        <v>27</v>
      </c>
      <c r="L275">
        <v>2.2814000000000001E-2</v>
      </c>
      <c r="M275" t="s">
        <v>28</v>
      </c>
      <c r="N275">
        <v>1.9602000000000001E-2</v>
      </c>
      <c r="O275" t="s">
        <v>29</v>
      </c>
      <c r="P275">
        <v>3.4423000000000002E-2</v>
      </c>
      <c r="Q275" t="s">
        <v>30</v>
      </c>
      <c r="R275">
        <v>-0.19884499999999999</v>
      </c>
      <c r="S275" t="s">
        <v>31</v>
      </c>
      <c r="T275">
        <v>0.59869000000000006</v>
      </c>
      <c r="U275" t="s">
        <v>32</v>
      </c>
      <c r="V275">
        <v>3.0471999999999999E-2</v>
      </c>
      <c r="W275" t="s">
        <v>33</v>
      </c>
      <c r="X275">
        <v>0.17042199999999999</v>
      </c>
      <c r="Y275" t="s">
        <v>34</v>
      </c>
      <c r="Z275">
        <v>0.104183</v>
      </c>
      <c r="AA275" t="s">
        <v>35</v>
      </c>
      <c r="AB275">
        <v>7.6499999999999999E-2</v>
      </c>
      <c r="AC275" t="s">
        <v>36</v>
      </c>
      <c r="AD275">
        <v>0.26710899999999999</v>
      </c>
      <c r="AE275" t="s">
        <v>37</v>
      </c>
      <c r="AF275">
        <v>0.26155299999999998</v>
      </c>
      <c r="AG275" t="s">
        <v>38</v>
      </c>
      <c r="AH275">
        <v>0.97920200000000002</v>
      </c>
      <c r="AI275" t="s">
        <v>39</v>
      </c>
      <c r="AJ275">
        <v>0.773895</v>
      </c>
      <c r="AK275" t="s">
        <v>40</v>
      </c>
      <c r="AL275">
        <v>0.78449100000000005</v>
      </c>
      <c r="AM275" t="s">
        <v>41</v>
      </c>
      <c r="AN275">
        <v>35.814681999999998</v>
      </c>
      <c r="AO275" t="s">
        <v>42</v>
      </c>
      <c r="AP275">
        <v>19.606033</v>
      </c>
    </row>
    <row r="276" spans="1:42" x14ac:dyDescent="0.3">
      <c r="A276" t="s">
        <v>22</v>
      </c>
      <c r="B276">
        <v>2.759998</v>
      </c>
      <c r="C276" t="s">
        <v>23</v>
      </c>
      <c r="D276">
        <v>1.02216</v>
      </c>
      <c r="E276" t="s">
        <v>24</v>
      </c>
      <c r="F276">
        <v>1.0657810000000001</v>
      </c>
      <c r="G276" t="s">
        <v>25</v>
      </c>
      <c r="H276">
        <v>0.91616900000000001</v>
      </c>
      <c r="I276" t="s">
        <v>26</v>
      </c>
      <c r="J276">
        <v>3.4400000000000001E-4</v>
      </c>
      <c r="K276" t="s">
        <v>27</v>
      </c>
      <c r="L276">
        <v>2.2804000000000001E-2</v>
      </c>
      <c r="M276" t="s">
        <v>28</v>
      </c>
      <c r="N276">
        <v>1.9602000000000001E-2</v>
      </c>
      <c r="O276" t="s">
        <v>29</v>
      </c>
      <c r="P276">
        <v>3.5372000000000001E-2</v>
      </c>
      <c r="Q276" t="s">
        <v>30</v>
      </c>
      <c r="R276">
        <v>-0.196465</v>
      </c>
      <c r="S276" t="s">
        <v>31</v>
      </c>
      <c r="T276">
        <v>0.59869000000000006</v>
      </c>
      <c r="U276" t="s">
        <v>32</v>
      </c>
      <c r="V276">
        <v>3.0376E-2</v>
      </c>
      <c r="W276" t="s">
        <v>33</v>
      </c>
      <c r="X276">
        <v>0.17052899999999999</v>
      </c>
      <c r="Y276" t="s">
        <v>34</v>
      </c>
      <c r="Z276">
        <v>0.104183</v>
      </c>
      <c r="AA276" t="s">
        <v>35</v>
      </c>
      <c r="AB276">
        <v>7.6258999999999993E-2</v>
      </c>
      <c r="AC276" t="s">
        <v>36</v>
      </c>
      <c r="AD276">
        <v>0.26707599999999998</v>
      </c>
      <c r="AE276" t="s">
        <v>37</v>
      </c>
      <c r="AF276">
        <v>0.26155299999999998</v>
      </c>
      <c r="AG276" t="s">
        <v>38</v>
      </c>
      <c r="AH276">
        <v>0.97932200000000003</v>
      </c>
      <c r="AI276" t="s">
        <v>39</v>
      </c>
      <c r="AJ276">
        <v>0.77395899999999995</v>
      </c>
      <c r="AK276" t="s">
        <v>40</v>
      </c>
      <c r="AL276">
        <v>0.78449100000000005</v>
      </c>
      <c r="AM276" t="s">
        <v>41</v>
      </c>
      <c r="AN276">
        <v>35.944915999999999</v>
      </c>
      <c r="AO276" t="s">
        <v>42</v>
      </c>
      <c r="AP276">
        <v>19.672501</v>
      </c>
    </row>
    <row r="277" spans="1:42" x14ac:dyDescent="0.3">
      <c r="A277" t="s">
        <v>22</v>
      </c>
      <c r="B277">
        <v>2.7699980000000002</v>
      </c>
      <c r="C277" t="s">
        <v>23</v>
      </c>
      <c r="D277">
        <v>1.0219819999999999</v>
      </c>
      <c r="E277" t="s">
        <v>24</v>
      </c>
      <c r="F277">
        <v>1.0653360000000001</v>
      </c>
      <c r="G277" t="s">
        <v>25</v>
      </c>
      <c r="H277">
        <v>0.91616900000000001</v>
      </c>
      <c r="I277" t="s">
        <v>26</v>
      </c>
      <c r="J277">
        <v>3.4200000000000002E-4</v>
      </c>
      <c r="K277" t="s">
        <v>27</v>
      </c>
      <c r="L277">
        <v>2.2793999999999998E-2</v>
      </c>
      <c r="M277" t="s">
        <v>28</v>
      </c>
      <c r="N277">
        <v>1.9602000000000001E-2</v>
      </c>
      <c r="O277" t="s">
        <v>29</v>
      </c>
      <c r="P277">
        <v>3.6320999999999999E-2</v>
      </c>
      <c r="Q277" t="s">
        <v>30</v>
      </c>
      <c r="R277">
        <v>-0.19409699999999999</v>
      </c>
      <c r="S277" t="s">
        <v>31</v>
      </c>
      <c r="T277">
        <v>0.59869000000000006</v>
      </c>
      <c r="U277" t="s">
        <v>32</v>
      </c>
      <c r="V277">
        <v>3.0280000000000001E-2</v>
      </c>
      <c r="W277" t="s">
        <v>33</v>
      </c>
      <c r="X277">
        <v>0.17063500000000001</v>
      </c>
      <c r="Y277" t="s">
        <v>34</v>
      </c>
      <c r="Z277">
        <v>0.104183</v>
      </c>
      <c r="AA277" t="s">
        <v>35</v>
      </c>
      <c r="AB277">
        <v>7.6018000000000002E-2</v>
      </c>
      <c r="AC277" t="s">
        <v>36</v>
      </c>
      <c r="AD277">
        <v>0.26704299999999997</v>
      </c>
      <c r="AE277" t="s">
        <v>37</v>
      </c>
      <c r="AF277">
        <v>0.26155299999999998</v>
      </c>
      <c r="AG277" t="s">
        <v>38</v>
      </c>
      <c r="AH277">
        <v>0.97944100000000001</v>
      </c>
      <c r="AI277" t="s">
        <v>39</v>
      </c>
      <c r="AJ277">
        <v>0.77402199999999999</v>
      </c>
      <c r="AK277" t="s">
        <v>40</v>
      </c>
      <c r="AL277">
        <v>0.78449100000000005</v>
      </c>
      <c r="AM277" t="s">
        <v>41</v>
      </c>
      <c r="AN277">
        <v>36.075150000000001</v>
      </c>
      <c r="AO277" t="s">
        <v>42</v>
      </c>
      <c r="AP277">
        <v>19.738969999999998</v>
      </c>
    </row>
    <row r="278" spans="1:42" x14ac:dyDescent="0.3">
      <c r="A278" t="s">
        <v>22</v>
      </c>
      <c r="B278">
        <v>2.779998</v>
      </c>
      <c r="C278" t="s">
        <v>23</v>
      </c>
      <c r="D278">
        <v>1.021803</v>
      </c>
      <c r="E278" t="s">
        <v>24</v>
      </c>
      <c r="F278">
        <v>1.0648930000000001</v>
      </c>
      <c r="G278" t="s">
        <v>25</v>
      </c>
      <c r="H278">
        <v>0.91616900000000001</v>
      </c>
      <c r="I278" t="s">
        <v>26</v>
      </c>
      <c r="J278">
        <v>3.4099999999999999E-4</v>
      </c>
      <c r="K278" t="s">
        <v>27</v>
      </c>
      <c r="L278">
        <v>2.2785E-2</v>
      </c>
      <c r="M278" t="s">
        <v>28</v>
      </c>
      <c r="N278">
        <v>1.9602000000000001E-2</v>
      </c>
      <c r="O278" t="s">
        <v>29</v>
      </c>
      <c r="P278">
        <v>3.7268000000000003E-2</v>
      </c>
      <c r="Q278" t="s">
        <v>30</v>
      </c>
      <c r="R278">
        <v>-0.191743</v>
      </c>
      <c r="S278" t="s">
        <v>31</v>
      </c>
      <c r="T278">
        <v>0.59869000000000006</v>
      </c>
      <c r="U278" t="s">
        <v>32</v>
      </c>
      <c r="V278">
        <v>3.0185E-2</v>
      </c>
      <c r="W278" t="s">
        <v>33</v>
      </c>
      <c r="X278">
        <v>0.170742</v>
      </c>
      <c r="Y278" t="s">
        <v>34</v>
      </c>
      <c r="Z278">
        <v>0.104183</v>
      </c>
      <c r="AA278" t="s">
        <v>35</v>
      </c>
      <c r="AB278">
        <v>7.5778999999999999E-2</v>
      </c>
      <c r="AC278" t="s">
        <v>36</v>
      </c>
      <c r="AD278">
        <v>0.267011</v>
      </c>
      <c r="AE278" t="s">
        <v>37</v>
      </c>
      <c r="AF278">
        <v>0.26155299999999998</v>
      </c>
      <c r="AG278" t="s">
        <v>38</v>
      </c>
      <c r="AH278">
        <v>0.97955899999999996</v>
      </c>
      <c r="AI278" t="s">
        <v>39</v>
      </c>
      <c r="AJ278">
        <v>0.77408500000000002</v>
      </c>
      <c r="AK278" t="s">
        <v>40</v>
      </c>
      <c r="AL278">
        <v>0.78449100000000005</v>
      </c>
      <c r="AM278" t="s">
        <v>41</v>
      </c>
      <c r="AN278">
        <v>36.205387000000002</v>
      </c>
      <c r="AO278" t="s">
        <v>42</v>
      </c>
      <c r="AP278">
        <v>19.80545</v>
      </c>
    </row>
    <row r="279" spans="1:42" x14ac:dyDescent="0.3">
      <c r="A279" t="s">
        <v>22</v>
      </c>
      <c r="B279">
        <v>2.7899980000000002</v>
      </c>
      <c r="C279" t="s">
        <v>23</v>
      </c>
      <c r="D279">
        <v>1.021625</v>
      </c>
      <c r="E279" t="s">
        <v>24</v>
      </c>
      <c r="F279">
        <v>1.064452</v>
      </c>
      <c r="G279" t="s">
        <v>25</v>
      </c>
      <c r="H279">
        <v>0.91616900000000001</v>
      </c>
      <c r="I279" t="s">
        <v>26</v>
      </c>
      <c r="J279">
        <v>3.39E-4</v>
      </c>
      <c r="K279" t="s">
        <v>27</v>
      </c>
      <c r="L279">
        <v>2.2776000000000001E-2</v>
      </c>
      <c r="M279" t="s">
        <v>28</v>
      </c>
      <c r="N279">
        <v>1.9602000000000001E-2</v>
      </c>
      <c r="O279" t="s">
        <v>29</v>
      </c>
      <c r="P279">
        <v>3.8214999999999999E-2</v>
      </c>
      <c r="Q279" t="s">
        <v>30</v>
      </c>
      <c r="R279">
        <v>-0.18940199999999999</v>
      </c>
      <c r="S279" t="s">
        <v>31</v>
      </c>
      <c r="T279">
        <v>0.59869000000000006</v>
      </c>
      <c r="U279" t="s">
        <v>32</v>
      </c>
      <c r="V279">
        <v>3.0089999999999999E-2</v>
      </c>
      <c r="W279" t="s">
        <v>33</v>
      </c>
      <c r="X279">
        <v>0.170849</v>
      </c>
      <c r="Y279" t="s">
        <v>34</v>
      </c>
      <c r="Z279">
        <v>0.104183</v>
      </c>
      <c r="AA279" t="s">
        <v>35</v>
      </c>
      <c r="AB279">
        <v>7.5541999999999998E-2</v>
      </c>
      <c r="AC279" t="s">
        <v>36</v>
      </c>
      <c r="AD279">
        <v>0.26697900000000002</v>
      </c>
      <c r="AE279" t="s">
        <v>37</v>
      </c>
      <c r="AF279">
        <v>0.26155299999999998</v>
      </c>
      <c r="AG279" t="s">
        <v>38</v>
      </c>
      <c r="AH279">
        <v>0.97967700000000002</v>
      </c>
      <c r="AI279" t="s">
        <v>39</v>
      </c>
      <c r="AJ279">
        <v>0.77414700000000003</v>
      </c>
      <c r="AK279" t="s">
        <v>40</v>
      </c>
      <c r="AL279">
        <v>0.78449100000000005</v>
      </c>
      <c r="AM279" t="s">
        <v>41</v>
      </c>
      <c r="AN279">
        <v>36.335621000000003</v>
      </c>
      <c r="AO279" t="s">
        <v>42</v>
      </c>
      <c r="AP279">
        <v>19.871935000000001</v>
      </c>
    </row>
    <row r="280" spans="1:42" x14ac:dyDescent="0.3">
      <c r="A280" t="s">
        <v>22</v>
      </c>
      <c r="B280">
        <v>2.799998</v>
      </c>
      <c r="C280" t="s">
        <v>23</v>
      </c>
      <c r="D280">
        <v>1.021447</v>
      </c>
      <c r="E280" t="s">
        <v>24</v>
      </c>
      <c r="F280">
        <v>1.064014</v>
      </c>
      <c r="G280" t="s">
        <v>25</v>
      </c>
      <c r="H280">
        <v>0.91616900000000001</v>
      </c>
      <c r="I280" t="s">
        <v>26</v>
      </c>
      <c r="J280">
        <v>3.3700000000000001E-4</v>
      </c>
      <c r="K280" t="s">
        <v>27</v>
      </c>
      <c r="L280">
        <v>2.2766000000000002E-2</v>
      </c>
      <c r="M280" t="s">
        <v>28</v>
      </c>
      <c r="N280">
        <v>1.9602000000000001E-2</v>
      </c>
      <c r="O280" t="s">
        <v>29</v>
      </c>
      <c r="P280">
        <v>3.916E-2</v>
      </c>
      <c r="Q280" t="s">
        <v>30</v>
      </c>
      <c r="R280">
        <v>-0.18707499999999999</v>
      </c>
      <c r="S280" t="s">
        <v>31</v>
      </c>
      <c r="T280">
        <v>0.59869000000000006</v>
      </c>
      <c r="U280" t="s">
        <v>32</v>
      </c>
      <c r="V280">
        <v>2.9995999999999998E-2</v>
      </c>
      <c r="W280" t="s">
        <v>33</v>
      </c>
      <c r="X280">
        <v>0.170956</v>
      </c>
      <c r="Y280" t="s">
        <v>34</v>
      </c>
      <c r="Z280">
        <v>0.104183</v>
      </c>
      <c r="AA280" t="s">
        <v>35</v>
      </c>
      <c r="AB280">
        <v>7.5305999999999998E-2</v>
      </c>
      <c r="AC280" t="s">
        <v>36</v>
      </c>
      <c r="AD280">
        <v>0.26694699999999999</v>
      </c>
      <c r="AE280" t="s">
        <v>37</v>
      </c>
      <c r="AF280">
        <v>0.26155299999999998</v>
      </c>
      <c r="AG280" t="s">
        <v>38</v>
      </c>
      <c r="AH280">
        <v>0.97979300000000003</v>
      </c>
      <c r="AI280" t="s">
        <v>39</v>
      </c>
      <c r="AJ280">
        <v>0.77420900000000004</v>
      </c>
      <c r="AK280" t="s">
        <v>40</v>
      </c>
      <c r="AL280">
        <v>0.78449100000000005</v>
      </c>
      <c r="AM280" t="s">
        <v>41</v>
      </c>
      <c r="AN280">
        <v>36.465857999999997</v>
      </c>
      <c r="AO280" t="s">
        <v>42</v>
      </c>
      <c r="AP280">
        <v>19.938431000000001</v>
      </c>
    </row>
    <row r="281" spans="1:42" x14ac:dyDescent="0.3">
      <c r="A281" t="s">
        <v>22</v>
      </c>
      <c r="B281">
        <v>2.8099980000000002</v>
      </c>
      <c r="C281" t="s">
        <v>23</v>
      </c>
      <c r="D281">
        <v>1.0212699999999999</v>
      </c>
      <c r="E281" t="s">
        <v>24</v>
      </c>
      <c r="F281">
        <v>1.0635790000000001</v>
      </c>
      <c r="G281" t="s">
        <v>25</v>
      </c>
      <c r="H281">
        <v>0.91616900000000001</v>
      </c>
      <c r="I281" t="s">
        <v>26</v>
      </c>
      <c r="J281">
        <v>3.3599999999999998E-4</v>
      </c>
      <c r="K281" t="s">
        <v>27</v>
      </c>
      <c r="L281">
        <v>2.2756999999999999E-2</v>
      </c>
      <c r="M281" t="s">
        <v>28</v>
      </c>
      <c r="N281">
        <v>1.9602000000000001E-2</v>
      </c>
      <c r="O281" t="s">
        <v>29</v>
      </c>
      <c r="P281">
        <v>4.0105000000000002E-2</v>
      </c>
      <c r="Q281" t="s">
        <v>30</v>
      </c>
      <c r="R281">
        <v>-0.18476100000000001</v>
      </c>
      <c r="S281" t="s">
        <v>31</v>
      </c>
      <c r="T281">
        <v>0.59869000000000006</v>
      </c>
      <c r="U281" t="s">
        <v>32</v>
      </c>
      <c r="V281">
        <v>2.9902999999999999E-2</v>
      </c>
      <c r="W281" t="s">
        <v>33</v>
      </c>
      <c r="X281">
        <v>0.17106299999999999</v>
      </c>
      <c r="Y281" t="s">
        <v>34</v>
      </c>
      <c r="Z281">
        <v>0.104183</v>
      </c>
      <c r="AA281" t="s">
        <v>35</v>
      </c>
      <c r="AB281">
        <v>7.5070999999999999E-2</v>
      </c>
      <c r="AC281" t="s">
        <v>36</v>
      </c>
      <c r="AD281">
        <v>0.26691599999999999</v>
      </c>
      <c r="AE281" t="s">
        <v>37</v>
      </c>
      <c r="AF281">
        <v>0.26155299999999998</v>
      </c>
      <c r="AG281" t="s">
        <v>38</v>
      </c>
      <c r="AH281">
        <v>0.979908</v>
      </c>
      <c r="AI281" t="s">
        <v>39</v>
      </c>
      <c r="AJ281">
        <v>0.77426899999999999</v>
      </c>
      <c r="AK281" t="s">
        <v>40</v>
      </c>
      <c r="AL281">
        <v>0.78449100000000005</v>
      </c>
      <c r="AM281" t="s">
        <v>41</v>
      </c>
      <c r="AN281">
        <v>36.596091999999999</v>
      </c>
      <c r="AO281" t="s">
        <v>42</v>
      </c>
      <c r="AP281">
        <v>20.004929000000001</v>
      </c>
    </row>
    <row r="282" spans="1:42" x14ac:dyDescent="0.3">
      <c r="A282" t="s">
        <v>22</v>
      </c>
      <c r="B282">
        <v>2.819998</v>
      </c>
      <c r="C282" t="s">
        <v>23</v>
      </c>
      <c r="D282">
        <v>1.0210920000000001</v>
      </c>
      <c r="E282" t="s">
        <v>24</v>
      </c>
      <c r="F282">
        <v>1.0631459999999999</v>
      </c>
      <c r="G282" t="s">
        <v>25</v>
      </c>
      <c r="H282">
        <v>0.91616900000000001</v>
      </c>
      <c r="I282" t="s">
        <v>26</v>
      </c>
      <c r="J282">
        <v>3.3399999999999999E-4</v>
      </c>
      <c r="K282" t="s">
        <v>27</v>
      </c>
      <c r="L282">
        <v>2.2748000000000001E-2</v>
      </c>
      <c r="M282" t="s">
        <v>28</v>
      </c>
      <c r="N282">
        <v>1.9602000000000001E-2</v>
      </c>
      <c r="O282" t="s">
        <v>29</v>
      </c>
      <c r="P282">
        <v>4.1049000000000002E-2</v>
      </c>
      <c r="Q282" t="s">
        <v>30</v>
      </c>
      <c r="R282">
        <v>-0.18246000000000001</v>
      </c>
      <c r="S282" t="s">
        <v>31</v>
      </c>
      <c r="T282">
        <v>0.59869000000000006</v>
      </c>
      <c r="U282" t="s">
        <v>32</v>
      </c>
      <c r="V282">
        <v>2.981E-2</v>
      </c>
      <c r="W282" t="s">
        <v>33</v>
      </c>
      <c r="X282">
        <v>0.17116999999999999</v>
      </c>
      <c r="Y282" t="s">
        <v>34</v>
      </c>
      <c r="Z282">
        <v>0.104183</v>
      </c>
      <c r="AA282" t="s">
        <v>35</v>
      </c>
      <c r="AB282">
        <v>7.4837000000000001E-2</v>
      </c>
      <c r="AC282" t="s">
        <v>36</v>
      </c>
      <c r="AD282">
        <v>0.26688499999999998</v>
      </c>
      <c r="AE282" t="s">
        <v>37</v>
      </c>
      <c r="AF282">
        <v>0.26155299999999998</v>
      </c>
      <c r="AG282" t="s">
        <v>38</v>
      </c>
      <c r="AH282">
        <v>0.98002199999999995</v>
      </c>
      <c r="AI282" t="s">
        <v>39</v>
      </c>
      <c r="AJ282">
        <v>0.77432999999999996</v>
      </c>
      <c r="AK282" t="s">
        <v>40</v>
      </c>
      <c r="AL282">
        <v>0.78449100000000005</v>
      </c>
      <c r="AM282" t="s">
        <v>41</v>
      </c>
      <c r="AN282">
        <v>36.726326</v>
      </c>
      <c r="AO282" t="s">
        <v>42</v>
      </c>
      <c r="AP282">
        <v>20.071438000000001</v>
      </c>
    </row>
    <row r="283" spans="1:42" x14ac:dyDescent="0.3">
      <c r="A283" t="s">
        <v>22</v>
      </c>
      <c r="B283">
        <v>2.8299979999999998</v>
      </c>
      <c r="C283" t="s">
        <v>23</v>
      </c>
      <c r="D283">
        <v>1.020915</v>
      </c>
      <c r="E283" t="s">
        <v>24</v>
      </c>
      <c r="F283">
        <v>1.0627150000000001</v>
      </c>
      <c r="G283" t="s">
        <v>25</v>
      </c>
      <c r="H283">
        <v>0.91616900000000001</v>
      </c>
      <c r="I283" t="s">
        <v>26</v>
      </c>
      <c r="J283">
        <v>3.3199999999999999E-4</v>
      </c>
      <c r="K283" t="s">
        <v>27</v>
      </c>
      <c r="L283">
        <v>2.2738000000000001E-2</v>
      </c>
      <c r="M283" t="s">
        <v>28</v>
      </c>
      <c r="N283">
        <v>1.9602000000000001E-2</v>
      </c>
      <c r="O283" t="s">
        <v>29</v>
      </c>
      <c r="P283">
        <v>4.1991000000000001E-2</v>
      </c>
      <c r="Q283" t="s">
        <v>30</v>
      </c>
      <c r="R283">
        <v>-0.180171</v>
      </c>
      <c r="S283" t="s">
        <v>31</v>
      </c>
      <c r="T283">
        <v>0.59869000000000006</v>
      </c>
      <c r="U283" t="s">
        <v>32</v>
      </c>
      <c r="V283">
        <v>2.9717E-2</v>
      </c>
      <c r="W283" t="s">
        <v>33</v>
      </c>
      <c r="X283">
        <v>0.17127800000000001</v>
      </c>
      <c r="Y283" t="s">
        <v>34</v>
      </c>
      <c r="Z283">
        <v>0.104183</v>
      </c>
      <c r="AA283" t="s">
        <v>35</v>
      </c>
      <c r="AB283">
        <v>7.4605000000000005E-2</v>
      </c>
      <c r="AC283" t="s">
        <v>36</v>
      </c>
      <c r="AD283">
        <v>0.26685399999999998</v>
      </c>
      <c r="AE283" t="s">
        <v>37</v>
      </c>
      <c r="AF283">
        <v>0.26155299999999998</v>
      </c>
      <c r="AG283" t="s">
        <v>38</v>
      </c>
      <c r="AH283">
        <v>0.98013600000000001</v>
      </c>
      <c r="AI283" t="s">
        <v>39</v>
      </c>
      <c r="AJ283">
        <v>0.77438899999999999</v>
      </c>
      <c r="AK283" t="s">
        <v>40</v>
      </c>
      <c r="AL283">
        <v>0.78449100000000005</v>
      </c>
      <c r="AM283" t="s">
        <v>41</v>
      </c>
      <c r="AN283">
        <v>36.856563999999999</v>
      </c>
      <c r="AO283" t="s">
        <v>42</v>
      </c>
      <c r="AP283">
        <v>20.137948999999999</v>
      </c>
    </row>
    <row r="284" spans="1:42" x14ac:dyDescent="0.3">
      <c r="A284" t="s">
        <v>22</v>
      </c>
      <c r="B284">
        <v>2.839998</v>
      </c>
      <c r="C284" t="s">
        <v>23</v>
      </c>
      <c r="D284">
        <v>1.0207379999999999</v>
      </c>
      <c r="E284" t="s">
        <v>24</v>
      </c>
      <c r="F284">
        <v>1.062287</v>
      </c>
      <c r="G284" t="s">
        <v>25</v>
      </c>
      <c r="H284">
        <v>0.91616900000000001</v>
      </c>
      <c r="I284" t="s">
        <v>26</v>
      </c>
      <c r="J284">
        <v>3.3100000000000002E-4</v>
      </c>
      <c r="K284" t="s">
        <v>27</v>
      </c>
      <c r="L284">
        <v>2.2728999999999999E-2</v>
      </c>
      <c r="M284" t="s">
        <v>28</v>
      </c>
      <c r="N284">
        <v>1.9602000000000001E-2</v>
      </c>
      <c r="O284" t="s">
        <v>29</v>
      </c>
      <c r="P284">
        <v>4.2931999999999998E-2</v>
      </c>
      <c r="Q284" t="s">
        <v>30</v>
      </c>
      <c r="R284">
        <v>-0.177895</v>
      </c>
      <c r="S284" t="s">
        <v>31</v>
      </c>
      <c r="T284">
        <v>0.59869000000000006</v>
      </c>
      <c r="U284" t="s">
        <v>32</v>
      </c>
      <c r="V284">
        <v>2.9624999999999999E-2</v>
      </c>
      <c r="W284" t="s">
        <v>33</v>
      </c>
      <c r="X284">
        <v>0.17138500000000001</v>
      </c>
      <c r="Y284" t="s">
        <v>34</v>
      </c>
      <c r="Z284">
        <v>0.104183</v>
      </c>
      <c r="AA284" t="s">
        <v>35</v>
      </c>
      <c r="AB284">
        <v>7.4373999999999996E-2</v>
      </c>
      <c r="AC284" t="s">
        <v>36</v>
      </c>
      <c r="AD284">
        <v>0.26682299999999998</v>
      </c>
      <c r="AE284" t="s">
        <v>37</v>
      </c>
      <c r="AF284">
        <v>0.26155299999999998</v>
      </c>
      <c r="AG284" t="s">
        <v>38</v>
      </c>
      <c r="AH284">
        <v>0.98024800000000001</v>
      </c>
      <c r="AI284" t="s">
        <v>39</v>
      </c>
      <c r="AJ284">
        <v>0.77444900000000005</v>
      </c>
      <c r="AK284" t="s">
        <v>40</v>
      </c>
      <c r="AL284">
        <v>0.78449100000000005</v>
      </c>
      <c r="AM284" t="s">
        <v>41</v>
      </c>
      <c r="AN284">
        <v>36.986797000000003</v>
      </c>
      <c r="AO284" t="s">
        <v>42</v>
      </c>
      <c r="AP284">
        <v>20.204471999999999</v>
      </c>
    </row>
    <row r="285" spans="1:42" x14ac:dyDescent="0.3">
      <c r="A285" t="s">
        <v>22</v>
      </c>
      <c r="B285">
        <v>2.8499979999999998</v>
      </c>
      <c r="C285" t="s">
        <v>23</v>
      </c>
      <c r="D285">
        <v>1.0205610000000001</v>
      </c>
      <c r="E285" t="s">
        <v>24</v>
      </c>
      <c r="F285">
        <v>1.0618620000000001</v>
      </c>
      <c r="G285" t="s">
        <v>25</v>
      </c>
      <c r="H285">
        <v>0.91616900000000001</v>
      </c>
      <c r="I285" t="s">
        <v>26</v>
      </c>
      <c r="J285">
        <v>3.2899999999999997E-4</v>
      </c>
      <c r="K285" t="s">
        <v>27</v>
      </c>
      <c r="L285">
        <v>2.2720000000000001E-2</v>
      </c>
      <c r="M285" t="s">
        <v>28</v>
      </c>
      <c r="N285">
        <v>1.9602000000000001E-2</v>
      </c>
      <c r="O285" t="s">
        <v>29</v>
      </c>
      <c r="P285">
        <v>4.3871E-2</v>
      </c>
      <c r="Q285" t="s">
        <v>30</v>
      </c>
      <c r="R285">
        <v>-0.17563300000000001</v>
      </c>
      <c r="S285" t="s">
        <v>31</v>
      </c>
      <c r="T285">
        <v>0.59869000000000006</v>
      </c>
      <c r="U285" t="s">
        <v>32</v>
      </c>
      <c r="V285">
        <v>2.9534000000000001E-2</v>
      </c>
      <c r="W285" t="s">
        <v>33</v>
      </c>
      <c r="X285">
        <v>0.17149300000000001</v>
      </c>
      <c r="Y285" t="s">
        <v>34</v>
      </c>
      <c r="Z285">
        <v>0.104183</v>
      </c>
      <c r="AA285" t="s">
        <v>35</v>
      </c>
      <c r="AB285">
        <v>7.4145000000000003E-2</v>
      </c>
      <c r="AC285" t="s">
        <v>36</v>
      </c>
      <c r="AD285">
        <v>0.266793</v>
      </c>
      <c r="AE285" t="s">
        <v>37</v>
      </c>
      <c r="AF285">
        <v>0.26155299999999998</v>
      </c>
      <c r="AG285" t="s">
        <v>38</v>
      </c>
      <c r="AH285">
        <v>0.98036000000000001</v>
      </c>
      <c r="AI285" t="s">
        <v>39</v>
      </c>
      <c r="AJ285">
        <v>0.77450699999999995</v>
      </c>
      <c r="AK285" t="s">
        <v>40</v>
      </c>
      <c r="AL285">
        <v>0.78449100000000005</v>
      </c>
      <c r="AM285" t="s">
        <v>41</v>
      </c>
      <c r="AN285">
        <v>37.117030999999997</v>
      </c>
      <c r="AO285" t="s">
        <v>42</v>
      </c>
      <c r="AP285">
        <v>20.271000000000001</v>
      </c>
    </row>
    <row r="286" spans="1:42" x14ac:dyDescent="0.3">
      <c r="A286" t="s">
        <v>22</v>
      </c>
      <c r="B286">
        <v>2.859998</v>
      </c>
      <c r="C286" t="s">
        <v>23</v>
      </c>
      <c r="D286">
        <v>1.0203850000000001</v>
      </c>
      <c r="E286" t="s">
        <v>24</v>
      </c>
      <c r="F286">
        <v>1.0614380000000001</v>
      </c>
      <c r="G286" t="s">
        <v>25</v>
      </c>
      <c r="H286">
        <v>0.91616900000000001</v>
      </c>
      <c r="I286" t="s">
        <v>26</v>
      </c>
      <c r="J286">
        <v>3.28E-4</v>
      </c>
      <c r="K286" t="s">
        <v>27</v>
      </c>
      <c r="L286">
        <v>2.2710999999999999E-2</v>
      </c>
      <c r="M286" t="s">
        <v>28</v>
      </c>
      <c r="N286">
        <v>1.9602000000000001E-2</v>
      </c>
      <c r="O286" t="s">
        <v>29</v>
      </c>
      <c r="P286">
        <v>4.4808000000000001E-2</v>
      </c>
      <c r="Q286" t="s">
        <v>30</v>
      </c>
      <c r="R286">
        <v>-0.17338300000000001</v>
      </c>
      <c r="S286" t="s">
        <v>31</v>
      </c>
      <c r="T286">
        <v>0.59869000000000006</v>
      </c>
      <c r="U286" t="s">
        <v>32</v>
      </c>
      <c r="V286">
        <v>2.9443E-2</v>
      </c>
      <c r="W286" t="s">
        <v>33</v>
      </c>
      <c r="X286">
        <v>0.171601</v>
      </c>
      <c r="Y286" t="s">
        <v>34</v>
      </c>
      <c r="Z286">
        <v>0.104183</v>
      </c>
      <c r="AA286" t="s">
        <v>35</v>
      </c>
      <c r="AB286">
        <v>7.3915999999999996E-2</v>
      </c>
      <c r="AC286" t="s">
        <v>36</v>
      </c>
      <c r="AD286">
        <v>0.26676299999999997</v>
      </c>
      <c r="AE286" t="s">
        <v>37</v>
      </c>
      <c r="AF286">
        <v>0.26155299999999998</v>
      </c>
      <c r="AG286" t="s">
        <v>38</v>
      </c>
      <c r="AH286">
        <v>0.98047099999999998</v>
      </c>
      <c r="AI286" t="s">
        <v>39</v>
      </c>
      <c r="AJ286">
        <v>0.77456599999999998</v>
      </c>
      <c r="AK286" t="s">
        <v>40</v>
      </c>
      <c r="AL286">
        <v>0.78449100000000005</v>
      </c>
      <c r="AM286" t="s">
        <v>41</v>
      </c>
      <c r="AN286">
        <v>37.247269000000003</v>
      </c>
      <c r="AO286" t="s">
        <v>42</v>
      </c>
      <c r="AP286">
        <v>20.337536</v>
      </c>
    </row>
    <row r="287" spans="1:42" x14ac:dyDescent="0.3">
      <c r="A287" t="s">
        <v>22</v>
      </c>
      <c r="B287">
        <v>2.8699979999999998</v>
      </c>
      <c r="C287" t="s">
        <v>23</v>
      </c>
      <c r="D287">
        <v>1.020208</v>
      </c>
      <c r="E287" t="s">
        <v>24</v>
      </c>
      <c r="F287">
        <v>1.0610170000000001</v>
      </c>
      <c r="G287" t="s">
        <v>25</v>
      </c>
      <c r="H287">
        <v>0.91616900000000001</v>
      </c>
      <c r="I287" t="s">
        <v>26</v>
      </c>
      <c r="J287">
        <v>3.2600000000000001E-4</v>
      </c>
      <c r="K287" t="s">
        <v>27</v>
      </c>
      <c r="L287">
        <v>2.2702E-2</v>
      </c>
      <c r="M287" t="s">
        <v>28</v>
      </c>
      <c r="N287">
        <v>1.9602000000000001E-2</v>
      </c>
      <c r="O287" t="s">
        <v>29</v>
      </c>
      <c r="P287">
        <v>4.5747000000000003E-2</v>
      </c>
      <c r="Q287" t="s">
        <v>30</v>
      </c>
      <c r="R287">
        <v>-0.17114499999999999</v>
      </c>
      <c r="S287" t="s">
        <v>31</v>
      </c>
      <c r="T287">
        <v>0.59869000000000006</v>
      </c>
      <c r="U287" t="s">
        <v>32</v>
      </c>
      <c r="V287">
        <v>2.9352E-2</v>
      </c>
      <c r="W287" t="s">
        <v>33</v>
      </c>
      <c r="X287">
        <v>0.171709</v>
      </c>
      <c r="Y287" t="s">
        <v>34</v>
      </c>
      <c r="Z287">
        <v>0.104183</v>
      </c>
      <c r="AA287" t="s">
        <v>35</v>
      </c>
      <c r="AB287">
        <v>7.3690000000000005E-2</v>
      </c>
      <c r="AC287" t="s">
        <v>36</v>
      </c>
      <c r="AD287">
        <v>0.266733</v>
      </c>
      <c r="AE287" t="s">
        <v>37</v>
      </c>
      <c r="AF287">
        <v>0.26155299999999998</v>
      </c>
      <c r="AG287" t="s">
        <v>38</v>
      </c>
      <c r="AH287">
        <v>0.98058000000000001</v>
      </c>
      <c r="AI287" t="s">
        <v>39</v>
      </c>
      <c r="AJ287">
        <v>0.77462500000000001</v>
      </c>
      <c r="AK287" t="s">
        <v>40</v>
      </c>
      <c r="AL287">
        <v>0.78449100000000005</v>
      </c>
      <c r="AM287" t="s">
        <v>41</v>
      </c>
      <c r="AN287">
        <v>37.377502</v>
      </c>
      <c r="AO287" t="s">
        <v>42</v>
      </c>
      <c r="AP287">
        <v>20.404077999999998</v>
      </c>
    </row>
    <row r="288" spans="1:42" x14ac:dyDescent="0.3">
      <c r="A288" t="s">
        <v>22</v>
      </c>
      <c r="B288">
        <v>2.8799980000000001</v>
      </c>
      <c r="C288" t="s">
        <v>23</v>
      </c>
      <c r="D288">
        <v>1.020032</v>
      </c>
      <c r="E288" t="s">
        <v>24</v>
      </c>
      <c r="F288">
        <v>1.0605990000000001</v>
      </c>
      <c r="G288" t="s">
        <v>25</v>
      </c>
      <c r="H288">
        <v>0.91616900000000001</v>
      </c>
      <c r="I288" t="s">
        <v>26</v>
      </c>
      <c r="J288">
        <v>3.2400000000000001E-4</v>
      </c>
      <c r="K288" t="s">
        <v>27</v>
      </c>
      <c r="L288">
        <v>2.2693000000000001E-2</v>
      </c>
      <c r="M288" t="s">
        <v>28</v>
      </c>
      <c r="N288">
        <v>1.9602000000000001E-2</v>
      </c>
      <c r="O288" t="s">
        <v>29</v>
      </c>
      <c r="P288">
        <v>4.6682000000000001E-2</v>
      </c>
      <c r="Q288" t="s">
        <v>30</v>
      </c>
      <c r="R288">
        <v>-0.16892099999999999</v>
      </c>
      <c r="S288" t="s">
        <v>31</v>
      </c>
      <c r="T288">
        <v>0.59869000000000006</v>
      </c>
      <c r="U288" t="s">
        <v>32</v>
      </c>
      <c r="V288">
        <v>2.9262E-2</v>
      </c>
      <c r="W288" t="s">
        <v>33</v>
      </c>
      <c r="X288">
        <v>0.171818</v>
      </c>
      <c r="Y288" t="s">
        <v>34</v>
      </c>
      <c r="Z288">
        <v>0.104183</v>
      </c>
      <c r="AA288" t="s">
        <v>35</v>
      </c>
      <c r="AB288">
        <v>7.3464000000000002E-2</v>
      </c>
      <c r="AC288" t="s">
        <v>36</v>
      </c>
      <c r="AD288">
        <v>0.26670300000000002</v>
      </c>
      <c r="AE288" t="s">
        <v>37</v>
      </c>
      <c r="AF288">
        <v>0.26155299999999998</v>
      </c>
      <c r="AG288" t="s">
        <v>38</v>
      </c>
      <c r="AH288">
        <v>0.98068900000000003</v>
      </c>
      <c r="AI288" t="s">
        <v>39</v>
      </c>
      <c r="AJ288">
        <v>0.77468099999999995</v>
      </c>
      <c r="AK288" t="s">
        <v>40</v>
      </c>
      <c r="AL288">
        <v>0.78449100000000005</v>
      </c>
      <c r="AM288" t="s">
        <v>41</v>
      </c>
      <c r="AN288">
        <v>37.507739999999998</v>
      </c>
      <c r="AO288" t="s">
        <v>42</v>
      </c>
      <c r="AP288">
        <v>20.470624999999998</v>
      </c>
    </row>
    <row r="289" spans="1:42" x14ac:dyDescent="0.3">
      <c r="A289" t="s">
        <v>22</v>
      </c>
      <c r="B289">
        <v>2.8899979999999998</v>
      </c>
      <c r="C289" t="s">
        <v>23</v>
      </c>
      <c r="D289">
        <v>1.0198560000000001</v>
      </c>
      <c r="E289" t="s">
        <v>24</v>
      </c>
      <c r="F289">
        <v>1.060182</v>
      </c>
      <c r="G289" t="s">
        <v>25</v>
      </c>
      <c r="H289">
        <v>0.91616900000000001</v>
      </c>
      <c r="I289" t="s">
        <v>26</v>
      </c>
      <c r="J289">
        <v>3.2299999999999999E-4</v>
      </c>
      <c r="K289" t="s">
        <v>27</v>
      </c>
      <c r="L289">
        <v>2.2683999999999999E-2</v>
      </c>
      <c r="M289" t="s">
        <v>28</v>
      </c>
      <c r="N289">
        <v>1.9602000000000001E-2</v>
      </c>
      <c r="O289" t="s">
        <v>29</v>
      </c>
      <c r="P289">
        <v>4.7617E-2</v>
      </c>
      <c r="Q289" t="s">
        <v>30</v>
      </c>
      <c r="R289">
        <v>-0.166708</v>
      </c>
      <c r="S289" t="s">
        <v>31</v>
      </c>
      <c r="T289">
        <v>0.59869000000000006</v>
      </c>
      <c r="U289" t="s">
        <v>32</v>
      </c>
      <c r="V289">
        <v>2.9173000000000001E-2</v>
      </c>
      <c r="W289" t="s">
        <v>33</v>
      </c>
      <c r="X289">
        <v>0.171926</v>
      </c>
      <c r="Y289" t="s">
        <v>34</v>
      </c>
      <c r="Z289">
        <v>0.104183</v>
      </c>
      <c r="AA289" t="s">
        <v>35</v>
      </c>
      <c r="AB289">
        <v>7.3238999999999999E-2</v>
      </c>
      <c r="AC289" t="s">
        <v>36</v>
      </c>
      <c r="AD289">
        <v>0.26667400000000002</v>
      </c>
      <c r="AE289" t="s">
        <v>37</v>
      </c>
      <c r="AF289">
        <v>0.26155299999999998</v>
      </c>
      <c r="AG289" t="s">
        <v>38</v>
      </c>
      <c r="AH289">
        <v>0.98079700000000003</v>
      </c>
      <c r="AI289" t="s">
        <v>39</v>
      </c>
      <c r="AJ289">
        <v>0.77473800000000004</v>
      </c>
      <c r="AK289" t="s">
        <v>40</v>
      </c>
      <c r="AL289">
        <v>0.78449100000000005</v>
      </c>
      <c r="AM289" t="s">
        <v>41</v>
      </c>
      <c r="AN289">
        <v>37.637974</v>
      </c>
      <c r="AO289" t="s">
        <v>42</v>
      </c>
      <c r="AP289">
        <v>20.537182000000001</v>
      </c>
    </row>
    <row r="290" spans="1:42" x14ac:dyDescent="0.3">
      <c r="A290" t="s">
        <v>22</v>
      </c>
      <c r="B290">
        <v>2.8999980000000001</v>
      </c>
      <c r="C290" t="s">
        <v>23</v>
      </c>
      <c r="D290">
        <v>1.0196799999999999</v>
      </c>
      <c r="E290" t="s">
        <v>24</v>
      </c>
      <c r="F290">
        <v>1.059768</v>
      </c>
      <c r="G290" t="s">
        <v>25</v>
      </c>
      <c r="H290">
        <v>0.91616900000000001</v>
      </c>
      <c r="I290" t="s">
        <v>26</v>
      </c>
      <c r="J290">
        <v>3.21E-4</v>
      </c>
      <c r="K290" t="s">
        <v>27</v>
      </c>
      <c r="L290">
        <v>2.2675000000000001E-2</v>
      </c>
      <c r="M290" t="s">
        <v>28</v>
      </c>
      <c r="N290">
        <v>1.9602000000000001E-2</v>
      </c>
      <c r="O290" t="s">
        <v>29</v>
      </c>
      <c r="P290">
        <v>4.8550999999999997E-2</v>
      </c>
      <c r="Q290" t="s">
        <v>30</v>
      </c>
      <c r="R290">
        <v>-0.16450699999999999</v>
      </c>
      <c r="S290" t="s">
        <v>31</v>
      </c>
      <c r="T290">
        <v>0.59869000000000006</v>
      </c>
      <c r="U290" t="s">
        <v>32</v>
      </c>
      <c r="V290">
        <v>2.9083999999999999E-2</v>
      </c>
      <c r="W290" t="s">
        <v>33</v>
      </c>
      <c r="X290">
        <v>0.17203499999999999</v>
      </c>
      <c r="Y290" t="s">
        <v>34</v>
      </c>
      <c r="Z290">
        <v>0.104183</v>
      </c>
      <c r="AA290" t="s">
        <v>35</v>
      </c>
      <c r="AB290">
        <v>7.3015999999999998E-2</v>
      </c>
      <c r="AC290" t="s">
        <v>36</v>
      </c>
      <c r="AD290">
        <v>0.26664500000000002</v>
      </c>
      <c r="AE290" t="s">
        <v>37</v>
      </c>
      <c r="AF290">
        <v>0.26155299999999998</v>
      </c>
      <c r="AG290" t="s">
        <v>38</v>
      </c>
      <c r="AH290">
        <v>0.980904</v>
      </c>
      <c r="AI290" t="s">
        <v>39</v>
      </c>
      <c r="AJ290">
        <v>0.77479399999999998</v>
      </c>
      <c r="AK290" t="s">
        <v>40</v>
      </c>
      <c r="AL290">
        <v>0.78449100000000005</v>
      </c>
      <c r="AM290" t="s">
        <v>41</v>
      </c>
      <c r="AN290">
        <v>37.768208000000001</v>
      </c>
      <c r="AO290" t="s">
        <v>42</v>
      </c>
      <c r="AP290">
        <v>20.603745</v>
      </c>
    </row>
    <row r="291" spans="1:42" x14ac:dyDescent="0.3">
      <c r="A291" t="s">
        <v>22</v>
      </c>
      <c r="B291">
        <v>2.9099979999999999</v>
      </c>
      <c r="C291" t="s">
        <v>23</v>
      </c>
      <c r="D291">
        <v>1.0195050000000001</v>
      </c>
      <c r="E291" t="s">
        <v>24</v>
      </c>
      <c r="F291">
        <v>1.059356</v>
      </c>
      <c r="G291" t="s">
        <v>25</v>
      </c>
      <c r="H291">
        <v>0.91616900000000001</v>
      </c>
      <c r="I291" t="s">
        <v>26</v>
      </c>
      <c r="J291">
        <v>3.2000000000000003E-4</v>
      </c>
      <c r="K291" t="s">
        <v>27</v>
      </c>
      <c r="L291">
        <v>2.2665999999999999E-2</v>
      </c>
      <c r="M291" t="s">
        <v>28</v>
      </c>
      <c r="N291">
        <v>1.9602000000000001E-2</v>
      </c>
      <c r="O291" t="s">
        <v>29</v>
      </c>
      <c r="P291">
        <v>4.9482999999999999E-2</v>
      </c>
      <c r="Q291" t="s">
        <v>30</v>
      </c>
      <c r="R291">
        <v>-0.16231899999999999</v>
      </c>
      <c r="S291" t="s">
        <v>31</v>
      </c>
      <c r="T291">
        <v>0.59869000000000006</v>
      </c>
      <c r="U291" t="s">
        <v>32</v>
      </c>
      <c r="V291">
        <v>2.8996000000000001E-2</v>
      </c>
      <c r="W291" t="s">
        <v>33</v>
      </c>
      <c r="X291">
        <v>0.17214299999999999</v>
      </c>
      <c r="Y291" t="s">
        <v>34</v>
      </c>
      <c r="Z291">
        <v>0.104183</v>
      </c>
      <c r="AA291" t="s">
        <v>35</v>
      </c>
      <c r="AB291">
        <v>7.2794999999999999E-2</v>
      </c>
      <c r="AC291" t="s">
        <v>36</v>
      </c>
      <c r="AD291">
        <v>0.26661600000000002</v>
      </c>
      <c r="AE291" t="s">
        <v>37</v>
      </c>
      <c r="AF291">
        <v>0.26155299999999998</v>
      </c>
      <c r="AG291" t="s">
        <v>38</v>
      </c>
      <c r="AH291">
        <v>0.98101000000000005</v>
      </c>
      <c r="AI291" t="s">
        <v>39</v>
      </c>
      <c r="AJ291">
        <v>0.77485000000000004</v>
      </c>
      <c r="AK291" t="s">
        <v>40</v>
      </c>
      <c r="AL291">
        <v>0.78449100000000005</v>
      </c>
      <c r="AM291" t="s">
        <v>41</v>
      </c>
      <c r="AN291">
        <v>37.898445000000002</v>
      </c>
      <c r="AO291" t="s">
        <v>42</v>
      </c>
      <c r="AP291">
        <v>20.670311000000002</v>
      </c>
    </row>
    <row r="292" spans="1:42" x14ac:dyDescent="0.3">
      <c r="A292" t="s">
        <v>22</v>
      </c>
      <c r="B292">
        <v>2.9199980000000001</v>
      </c>
      <c r="C292" t="s">
        <v>23</v>
      </c>
      <c r="D292">
        <v>1.0193300000000001</v>
      </c>
      <c r="E292" t="s">
        <v>24</v>
      </c>
      <c r="F292">
        <v>1.0589470000000001</v>
      </c>
      <c r="G292" t="s">
        <v>25</v>
      </c>
      <c r="H292">
        <v>0.91616900000000001</v>
      </c>
      <c r="I292" t="s">
        <v>26</v>
      </c>
      <c r="J292">
        <v>3.1799999999999998E-4</v>
      </c>
      <c r="K292" t="s">
        <v>27</v>
      </c>
      <c r="L292">
        <v>2.2658000000000001E-2</v>
      </c>
      <c r="M292" t="s">
        <v>28</v>
      </c>
      <c r="N292">
        <v>1.9602000000000001E-2</v>
      </c>
      <c r="O292" t="s">
        <v>29</v>
      </c>
      <c r="P292">
        <v>5.0411999999999998E-2</v>
      </c>
      <c r="Q292" t="s">
        <v>30</v>
      </c>
      <c r="R292">
        <v>-0.16014300000000001</v>
      </c>
      <c r="S292" t="s">
        <v>31</v>
      </c>
      <c r="T292">
        <v>0.59869000000000006</v>
      </c>
      <c r="U292" t="s">
        <v>32</v>
      </c>
      <c r="V292">
        <v>2.8908E-2</v>
      </c>
      <c r="W292" t="s">
        <v>33</v>
      </c>
      <c r="X292">
        <v>0.17225199999999999</v>
      </c>
      <c r="Y292" t="s">
        <v>34</v>
      </c>
      <c r="Z292">
        <v>0.104183</v>
      </c>
      <c r="AA292" t="s">
        <v>35</v>
      </c>
      <c r="AB292">
        <v>7.2574E-2</v>
      </c>
      <c r="AC292" t="s">
        <v>36</v>
      </c>
      <c r="AD292">
        <v>0.26658700000000002</v>
      </c>
      <c r="AE292" t="s">
        <v>37</v>
      </c>
      <c r="AF292">
        <v>0.26155299999999998</v>
      </c>
      <c r="AG292" t="s">
        <v>38</v>
      </c>
      <c r="AH292">
        <v>0.98111599999999999</v>
      </c>
      <c r="AI292" t="s">
        <v>39</v>
      </c>
      <c r="AJ292">
        <v>0.77490599999999998</v>
      </c>
      <c r="AK292" t="s">
        <v>40</v>
      </c>
      <c r="AL292">
        <v>0.78449100000000005</v>
      </c>
      <c r="AM292" t="s">
        <v>41</v>
      </c>
      <c r="AN292">
        <v>38.028678999999997</v>
      </c>
      <c r="AO292" t="s">
        <v>42</v>
      </c>
      <c r="AP292">
        <v>20.736889000000001</v>
      </c>
    </row>
    <row r="293" spans="1:42" x14ac:dyDescent="0.3">
      <c r="A293" t="s">
        <v>22</v>
      </c>
      <c r="B293">
        <v>2.9299979999999999</v>
      </c>
      <c r="C293" t="s">
        <v>23</v>
      </c>
      <c r="D293">
        <v>1.019156</v>
      </c>
      <c r="E293" t="s">
        <v>24</v>
      </c>
      <c r="F293">
        <v>1.05854</v>
      </c>
      <c r="G293" t="s">
        <v>25</v>
      </c>
      <c r="H293">
        <v>0.91616900000000001</v>
      </c>
      <c r="I293" t="s">
        <v>26</v>
      </c>
      <c r="J293">
        <v>3.1700000000000001E-4</v>
      </c>
      <c r="K293" t="s">
        <v>27</v>
      </c>
      <c r="L293">
        <v>2.2648999999999999E-2</v>
      </c>
      <c r="M293" t="s">
        <v>28</v>
      </c>
      <c r="N293">
        <v>1.9602000000000001E-2</v>
      </c>
      <c r="O293" t="s">
        <v>29</v>
      </c>
      <c r="P293">
        <v>5.1339999999999997E-2</v>
      </c>
      <c r="Q293" t="s">
        <v>30</v>
      </c>
      <c r="R293">
        <v>-0.15797900000000001</v>
      </c>
      <c r="S293" t="s">
        <v>31</v>
      </c>
      <c r="T293">
        <v>0.59869000000000006</v>
      </c>
      <c r="U293" t="s">
        <v>32</v>
      </c>
      <c r="V293">
        <v>2.8820999999999999E-2</v>
      </c>
      <c r="W293" t="s">
        <v>33</v>
      </c>
      <c r="X293">
        <v>0.17236099999999999</v>
      </c>
      <c r="Y293" t="s">
        <v>34</v>
      </c>
      <c r="Z293">
        <v>0.104183</v>
      </c>
      <c r="AA293" t="s">
        <v>35</v>
      </c>
      <c r="AB293">
        <v>7.2354000000000002E-2</v>
      </c>
      <c r="AC293" t="s">
        <v>36</v>
      </c>
      <c r="AD293">
        <v>0.26655899999999999</v>
      </c>
      <c r="AE293" t="s">
        <v>37</v>
      </c>
      <c r="AF293">
        <v>0.26155299999999998</v>
      </c>
      <c r="AG293" t="s">
        <v>38</v>
      </c>
      <c r="AH293">
        <v>0.98121999999999998</v>
      </c>
      <c r="AI293" t="s">
        <v>39</v>
      </c>
      <c r="AJ293">
        <v>0.77495999999999998</v>
      </c>
      <c r="AK293" t="s">
        <v>40</v>
      </c>
      <c r="AL293">
        <v>0.78449100000000005</v>
      </c>
      <c r="AM293" t="s">
        <v>41</v>
      </c>
      <c r="AN293">
        <v>38.158915999999998</v>
      </c>
      <c r="AO293" t="s">
        <v>42</v>
      </c>
      <c r="AP293">
        <v>20.803470999999998</v>
      </c>
    </row>
    <row r="294" spans="1:42" x14ac:dyDescent="0.3">
      <c r="A294" t="s">
        <v>22</v>
      </c>
      <c r="B294">
        <v>2.9399980000000001</v>
      </c>
      <c r="C294" t="s">
        <v>23</v>
      </c>
      <c r="D294">
        <v>1.0189809999999999</v>
      </c>
      <c r="E294" t="s">
        <v>24</v>
      </c>
      <c r="F294">
        <v>1.058135</v>
      </c>
      <c r="G294" t="s">
        <v>25</v>
      </c>
      <c r="H294">
        <v>0.91616900000000001</v>
      </c>
      <c r="I294" t="s">
        <v>26</v>
      </c>
      <c r="J294">
        <v>3.1500000000000001E-4</v>
      </c>
      <c r="K294" t="s">
        <v>27</v>
      </c>
      <c r="L294">
        <v>2.264E-2</v>
      </c>
      <c r="M294" t="s">
        <v>28</v>
      </c>
      <c r="N294">
        <v>1.9602000000000001E-2</v>
      </c>
      <c r="O294" t="s">
        <v>29</v>
      </c>
      <c r="P294">
        <v>5.2269000000000003E-2</v>
      </c>
      <c r="Q294" t="s">
        <v>30</v>
      </c>
      <c r="R294">
        <v>-0.15582599999999999</v>
      </c>
      <c r="S294" t="s">
        <v>31</v>
      </c>
      <c r="T294">
        <v>0.59869000000000006</v>
      </c>
      <c r="U294" t="s">
        <v>32</v>
      </c>
      <c r="V294">
        <v>2.8733999999999999E-2</v>
      </c>
      <c r="W294" t="s">
        <v>33</v>
      </c>
      <c r="X294">
        <v>0.17247000000000001</v>
      </c>
      <c r="Y294" t="s">
        <v>34</v>
      </c>
      <c r="Z294">
        <v>0.104183</v>
      </c>
      <c r="AA294" t="s">
        <v>35</v>
      </c>
      <c r="AB294">
        <v>7.2136000000000006E-2</v>
      </c>
      <c r="AC294" t="s">
        <v>36</v>
      </c>
      <c r="AD294">
        <v>0.26653100000000002</v>
      </c>
      <c r="AE294" t="s">
        <v>37</v>
      </c>
      <c r="AF294">
        <v>0.26155299999999998</v>
      </c>
      <c r="AG294" t="s">
        <v>38</v>
      </c>
      <c r="AH294">
        <v>0.98132399999999997</v>
      </c>
      <c r="AI294" t="s">
        <v>39</v>
      </c>
      <c r="AJ294">
        <v>0.77501500000000001</v>
      </c>
      <c r="AK294" t="s">
        <v>40</v>
      </c>
      <c r="AL294">
        <v>0.78449100000000005</v>
      </c>
      <c r="AM294" t="s">
        <v>41</v>
      </c>
      <c r="AN294">
        <v>38.289149999999999</v>
      </c>
      <c r="AO294" t="s">
        <v>42</v>
      </c>
      <c r="AP294">
        <v>20.870062000000001</v>
      </c>
    </row>
    <row r="295" spans="1:42" x14ac:dyDescent="0.3">
      <c r="A295" t="s">
        <v>22</v>
      </c>
      <c r="B295">
        <v>2.9499979999999999</v>
      </c>
      <c r="C295" t="s">
        <v>23</v>
      </c>
      <c r="D295">
        <v>1.0188060000000001</v>
      </c>
      <c r="E295" t="s">
        <v>24</v>
      </c>
      <c r="F295">
        <v>1.0577319999999999</v>
      </c>
      <c r="G295" t="s">
        <v>25</v>
      </c>
      <c r="H295">
        <v>0.91616900000000001</v>
      </c>
      <c r="I295" t="s">
        <v>26</v>
      </c>
      <c r="J295">
        <v>3.1399999999999999E-4</v>
      </c>
      <c r="K295" t="s">
        <v>27</v>
      </c>
      <c r="L295">
        <v>2.2631999999999999E-2</v>
      </c>
      <c r="M295" t="s">
        <v>28</v>
      </c>
      <c r="N295">
        <v>1.9602000000000001E-2</v>
      </c>
      <c r="O295" t="s">
        <v>29</v>
      </c>
      <c r="P295">
        <v>5.3194999999999999E-2</v>
      </c>
      <c r="Q295" t="s">
        <v>30</v>
      </c>
      <c r="R295">
        <v>-0.15368499999999999</v>
      </c>
      <c r="S295" t="s">
        <v>31</v>
      </c>
      <c r="T295">
        <v>0.59869000000000006</v>
      </c>
      <c r="U295" t="s">
        <v>32</v>
      </c>
      <c r="V295">
        <v>2.8646999999999999E-2</v>
      </c>
      <c r="W295" t="s">
        <v>33</v>
      </c>
      <c r="X295">
        <v>0.17258000000000001</v>
      </c>
      <c r="Y295" t="s">
        <v>34</v>
      </c>
      <c r="Z295">
        <v>0.104183</v>
      </c>
      <c r="AA295" t="s">
        <v>35</v>
      </c>
      <c r="AB295">
        <v>7.1918999999999997E-2</v>
      </c>
      <c r="AC295" t="s">
        <v>36</v>
      </c>
      <c r="AD295">
        <v>0.26650299999999999</v>
      </c>
      <c r="AE295" t="s">
        <v>37</v>
      </c>
      <c r="AF295">
        <v>0.26155299999999998</v>
      </c>
      <c r="AG295" t="s">
        <v>38</v>
      </c>
      <c r="AH295">
        <v>0.98142700000000005</v>
      </c>
      <c r="AI295" t="s">
        <v>39</v>
      </c>
      <c r="AJ295">
        <v>0.77506900000000001</v>
      </c>
      <c r="AK295" t="s">
        <v>40</v>
      </c>
      <c r="AL295">
        <v>0.78449100000000005</v>
      </c>
      <c r="AM295" t="s">
        <v>41</v>
      </c>
      <c r="AN295">
        <v>38.419384000000001</v>
      </c>
      <c r="AO295" t="s">
        <v>42</v>
      </c>
      <c r="AP295">
        <v>20.936657</v>
      </c>
    </row>
    <row r="296" spans="1:42" x14ac:dyDescent="0.3">
      <c r="A296" t="s">
        <v>22</v>
      </c>
      <c r="B296">
        <v>2.9599980000000001</v>
      </c>
      <c r="C296" t="s">
        <v>23</v>
      </c>
      <c r="D296">
        <v>1.0186329999999999</v>
      </c>
      <c r="E296" t="s">
        <v>24</v>
      </c>
      <c r="F296">
        <v>1.057331</v>
      </c>
      <c r="G296" t="s">
        <v>25</v>
      </c>
      <c r="H296">
        <v>0.91616900000000001</v>
      </c>
      <c r="I296" t="s">
        <v>26</v>
      </c>
      <c r="J296">
        <v>3.1199999999999999E-4</v>
      </c>
      <c r="K296" t="s">
        <v>27</v>
      </c>
      <c r="L296">
        <v>2.2623000000000001E-2</v>
      </c>
      <c r="M296" t="s">
        <v>28</v>
      </c>
      <c r="N296">
        <v>1.9602000000000001E-2</v>
      </c>
      <c r="O296" t="s">
        <v>29</v>
      </c>
      <c r="P296">
        <v>5.4120000000000001E-2</v>
      </c>
      <c r="Q296" t="s">
        <v>30</v>
      </c>
      <c r="R296">
        <v>-0.151556</v>
      </c>
      <c r="S296" t="s">
        <v>31</v>
      </c>
      <c r="T296">
        <v>0.59869000000000006</v>
      </c>
      <c r="U296" t="s">
        <v>32</v>
      </c>
      <c r="V296">
        <v>2.8561E-2</v>
      </c>
      <c r="W296" t="s">
        <v>33</v>
      </c>
      <c r="X296">
        <v>0.17268900000000001</v>
      </c>
      <c r="Y296" t="s">
        <v>34</v>
      </c>
      <c r="Z296">
        <v>0.104183</v>
      </c>
      <c r="AA296" t="s">
        <v>35</v>
      </c>
      <c r="AB296">
        <v>7.1703000000000003E-2</v>
      </c>
      <c r="AC296" t="s">
        <v>36</v>
      </c>
      <c r="AD296">
        <v>0.26647500000000002</v>
      </c>
      <c r="AE296" t="s">
        <v>37</v>
      </c>
      <c r="AF296">
        <v>0.26155299999999998</v>
      </c>
      <c r="AG296" t="s">
        <v>38</v>
      </c>
      <c r="AH296">
        <v>0.98152899999999998</v>
      </c>
      <c r="AI296" t="s">
        <v>39</v>
      </c>
      <c r="AJ296">
        <v>0.77512300000000001</v>
      </c>
      <c r="AK296" t="s">
        <v>40</v>
      </c>
      <c r="AL296">
        <v>0.78449100000000005</v>
      </c>
      <c r="AM296" t="s">
        <v>41</v>
      </c>
      <c r="AN296">
        <v>38.549621999999999</v>
      </c>
      <c r="AO296" t="s">
        <v>42</v>
      </c>
      <c r="AP296">
        <v>21.003256</v>
      </c>
    </row>
    <row r="297" spans="1:42" x14ac:dyDescent="0.3">
      <c r="A297" t="s">
        <v>22</v>
      </c>
      <c r="B297">
        <v>2.9699979999999999</v>
      </c>
      <c r="C297" t="s">
        <v>23</v>
      </c>
      <c r="D297">
        <v>1.018459</v>
      </c>
      <c r="E297" t="s">
        <v>24</v>
      </c>
      <c r="F297">
        <v>1.0569329999999999</v>
      </c>
      <c r="G297" t="s">
        <v>25</v>
      </c>
      <c r="H297">
        <v>0.91616900000000001</v>
      </c>
      <c r="I297" t="s">
        <v>26</v>
      </c>
      <c r="J297">
        <v>3.1100000000000002E-4</v>
      </c>
      <c r="K297" t="s">
        <v>27</v>
      </c>
      <c r="L297">
        <v>2.2615E-2</v>
      </c>
      <c r="M297" t="s">
        <v>28</v>
      </c>
      <c r="N297">
        <v>1.9602000000000001E-2</v>
      </c>
      <c r="O297" t="s">
        <v>29</v>
      </c>
      <c r="P297">
        <v>5.5043000000000002E-2</v>
      </c>
      <c r="Q297" t="s">
        <v>30</v>
      </c>
      <c r="R297">
        <v>-0.14943899999999999</v>
      </c>
      <c r="S297" t="s">
        <v>31</v>
      </c>
      <c r="T297">
        <v>0.59869000000000006</v>
      </c>
      <c r="U297" t="s">
        <v>32</v>
      </c>
      <c r="V297">
        <v>2.8476000000000001E-2</v>
      </c>
      <c r="W297" t="s">
        <v>33</v>
      </c>
      <c r="X297">
        <v>0.17279800000000001</v>
      </c>
      <c r="Y297" t="s">
        <v>34</v>
      </c>
      <c r="Z297">
        <v>0.104183</v>
      </c>
      <c r="AA297" t="s">
        <v>35</v>
      </c>
      <c r="AB297">
        <v>7.1488999999999997E-2</v>
      </c>
      <c r="AC297" t="s">
        <v>36</v>
      </c>
      <c r="AD297">
        <v>0.26644800000000002</v>
      </c>
      <c r="AE297" t="s">
        <v>37</v>
      </c>
      <c r="AF297">
        <v>0.26155299999999998</v>
      </c>
      <c r="AG297" t="s">
        <v>38</v>
      </c>
      <c r="AH297">
        <v>0.98163</v>
      </c>
      <c r="AI297" t="s">
        <v>39</v>
      </c>
      <c r="AJ297">
        <v>0.77517499999999995</v>
      </c>
      <c r="AK297" t="s">
        <v>40</v>
      </c>
      <c r="AL297">
        <v>0.78449100000000005</v>
      </c>
      <c r="AM297" t="s">
        <v>41</v>
      </c>
      <c r="AN297">
        <v>38.679855000000003</v>
      </c>
      <c r="AO297" t="s">
        <v>42</v>
      </c>
      <c r="AP297">
        <v>21.069868</v>
      </c>
    </row>
    <row r="298" spans="1:42" x14ac:dyDescent="0.3">
      <c r="A298" t="s">
        <v>22</v>
      </c>
      <c r="B298">
        <v>2.9799980000000001</v>
      </c>
      <c r="C298" t="s">
        <v>23</v>
      </c>
      <c r="D298">
        <v>1.018286</v>
      </c>
      <c r="E298" t="s">
        <v>24</v>
      </c>
      <c r="F298">
        <v>1.0565370000000001</v>
      </c>
      <c r="G298" t="s">
        <v>25</v>
      </c>
      <c r="H298">
        <v>0.91616900000000001</v>
      </c>
      <c r="I298" t="s">
        <v>26</v>
      </c>
      <c r="J298">
        <v>3.0899999999999998E-4</v>
      </c>
      <c r="K298" t="s">
        <v>27</v>
      </c>
      <c r="L298">
        <v>2.2606000000000001E-2</v>
      </c>
      <c r="M298" t="s">
        <v>28</v>
      </c>
      <c r="N298">
        <v>1.9602000000000001E-2</v>
      </c>
      <c r="O298" t="s">
        <v>29</v>
      </c>
      <c r="P298">
        <v>5.5964E-2</v>
      </c>
      <c r="Q298" t="s">
        <v>30</v>
      </c>
      <c r="R298">
        <v>-0.14733299999999999</v>
      </c>
      <c r="S298" t="s">
        <v>31</v>
      </c>
      <c r="T298">
        <v>0.59869000000000006</v>
      </c>
      <c r="U298" t="s">
        <v>32</v>
      </c>
      <c r="V298">
        <v>2.8391E-2</v>
      </c>
      <c r="W298" t="s">
        <v>33</v>
      </c>
      <c r="X298">
        <v>0.17290800000000001</v>
      </c>
      <c r="Y298" t="s">
        <v>34</v>
      </c>
      <c r="Z298">
        <v>0.104183</v>
      </c>
      <c r="AA298" t="s">
        <v>35</v>
      </c>
      <c r="AB298">
        <v>7.1276000000000006E-2</v>
      </c>
      <c r="AC298" t="s">
        <v>36</v>
      </c>
      <c r="AD298">
        <v>0.26641999999999999</v>
      </c>
      <c r="AE298" t="s">
        <v>37</v>
      </c>
      <c r="AF298">
        <v>0.26155299999999998</v>
      </c>
      <c r="AG298" t="s">
        <v>38</v>
      </c>
      <c r="AH298">
        <v>0.98173100000000002</v>
      </c>
      <c r="AI298" t="s">
        <v>39</v>
      </c>
      <c r="AJ298">
        <v>0.77522899999999995</v>
      </c>
      <c r="AK298" t="s">
        <v>40</v>
      </c>
      <c r="AL298">
        <v>0.78449100000000005</v>
      </c>
      <c r="AM298" t="s">
        <v>41</v>
      </c>
      <c r="AN298">
        <v>38.810088999999998</v>
      </c>
      <c r="AO298" t="s">
        <v>42</v>
      </c>
      <c r="AP298">
        <v>21.136482000000001</v>
      </c>
    </row>
    <row r="299" spans="1:42" x14ac:dyDescent="0.3">
      <c r="A299" t="s">
        <v>22</v>
      </c>
      <c r="B299">
        <v>2.9899979999999999</v>
      </c>
      <c r="C299" t="s">
        <v>23</v>
      </c>
      <c r="D299">
        <v>1.0181119999999999</v>
      </c>
      <c r="E299" t="s">
        <v>24</v>
      </c>
      <c r="F299">
        <v>1.0561430000000001</v>
      </c>
      <c r="G299" t="s">
        <v>25</v>
      </c>
      <c r="H299">
        <v>0.91616900000000001</v>
      </c>
      <c r="I299" t="s">
        <v>26</v>
      </c>
      <c r="J299">
        <v>3.0800000000000001E-4</v>
      </c>
      <c r="K299" t="s">
        <v>27</v>
      </c>
      <c r="L299">
        <v>2.2598E-2</v>
      </c>
      <c r="M299" t="s">
        <v>28</v>
      </c>
      <c r="N299">
        <v>1.9602000000000001E-2</v>
      </c>
      <c r="O299" t="s">
        <v>29</v>
      </c>
      <c r="P299">
        <v>5.6885999999999999E-2</v>
      </c>
      <c r="Q299" t="s">
        <v>30</v>
      </c>
      <c r="R299">
        <v>-0.14523800000000001</v>
      </c>
      <c r="S299" t="s">
        <v>31</v>
      </c>
      <c r="T299">
        <v>0.59869000000000006</v>
      </c>
      <c r="U299" t="s">
        <v>32</v>
      </c>
      <c r="V299">
        <v>2.8306000000000001E-2</v>
      </c>
      <c r="W299" t="s">
        <v>33</v>
      </c>
      <c r="X299">
        <v>0.17301800000000001</v>
      </c>
      <c r="Y299" t="s">
        <v>34</v>
      </c>
      <c r="Z299">
        <v>0.104183</v>
      </c>
      <c r="AA299" t="s">
        <v>35</v>
      </c>
      <c r="AB299">
        <v>7.1063000000000001E-2</v>
      </c>
      <c r="AC299" t="s">
        <v>36</v>
      </c>
      <c r="AD299">
        <v>0.26639299999999999</v>
      </c>
      <c r="AE299" t="s">
        <v>37</v>
      </c>
      <c r="AF299">
        <v>0.26155299999999998</v>
      </c>
      <c r="AG299" t="s">
        <v>38</v>
      </c>
      <c r="AH299">
        <v>0.98182999999999998</v>
      </c>
      <c r="AI299" t="s">
        <v>39</v>
      </c>
      <c r="AJ299">
        <v>0.775281</v>
      </c>
      <c r="AK299" t="s">
        <v>40</v>
      </c>
      <c r="AL299">
        <v>0.78449100000000005</v>
      </c>
      <c r="AM299" t="s">
        <v>41</v>
      </c>
      <c r="AN299">
        <v>38.940327000000003</v>
      </c>
      <c r="AO299" t="s">
        <v>42</v>
      </c>
      <c r="AP299">
        <v>21.203104</v>
      </c>
    </row>
    <row r="300" spans="1:42" x14ac:dyDescent="0.3">
      <c r="A300" t="s">
        <v>22</v>
      </c>
      <c r="B300">
        <v>2.9999980000000002</v>
      </c>
      <c r="C300" t="s">
        <v>23</v>
      </c>
      <c r="D300">
        <v>1.0179389999999999</v>
      </c>
      <c r="E300" t="s">
        <v>24</v>
      </c>
      <c r="F300">
        <v>1.0557510000000001</v>
      </c>
      <c r="G300" t="s">
        <v>25</v>
      </c>
      <c r="H300">
        <v>0.91616900000000001</v>
      </c>
      <c r="I300" t="s">
        <v>26</v>
      </c>
      <c r="J300">
        <v>3.0699999999999998E-4</v>
      </c>
      <c r="K300" t="s">
        <v>27</v>
      </c>
      <c r="L300">
        <v>2.2589000000000001E-2</v>
      </c>
      <c r="M300" t="s">
        <v>28</v>
      </c>
      <c r="N300">
        <v>1.9602000000000001E-2</v>
      </c>
      <c r="O300" t="s">
        <v>29</v>
      </c>
      <c r="P300">
        <v>5.7805000000000002E-2</v>
      </c>
      <c r="Q300" t="s">
        <v>30</v>
      </c>
      <c r="R300">
        <v>-0.143155</v>
      </c>
      <c r="S300" t="s">
        <v>31</v>
      </c>
      <c r="T300">
        <v>0.59869000000000006</v>
      </c>
      <c r="U300" t="s">
        <v>32</v>
      </c>
      <c r="V300">
        <v>2.8222000000000001E-2</v>
      </c>
      <c r="W300" t="s">
        <v>33</v>
      </c>
      <c r="X300">
        <v>0.173128</v>
      </c>
      <c r="Y300" t="s">
        <v>34</v>
      </c>
      <c r="Z300">
        <v>0.104183</v>
      </c>
      <c r="AA300" t="s">
        <v>35</v>
      </c>
      <c r="AB300">
        <v>7.0851999999999998E-2</v>
      </c>
      <c r="AC300" t="s">
        <v>36</v>
      </c>
      <c r="AD300">
        <v>0.26636599999999999</v>
      </c>
      <c r="AE300" t="s">
        <v>37</v>
      </c>
      <c r="AF300">
        <v>0.26155299999999998</v>
      </c>
      <c r="AG300" t="s">
        <v>38</v>
      </c>
      <c r="AH300">
        <v>0.98192900000000005</v>
      </c>
      <c r="AI300" t="s">
        <v>39</v>
      </c>
      <c r="AJ300">
        <v>0.77533300000000005</v>
      </c>
      <c r="AK300" t="s">
        <v>40</v>
      </c>
      <c r="AL300">
        <v>0.78449100000000005</v>
      </c>
      <c r="AM300" t="s">
        <v>41</v>
      </c>
      <c r="AN300">
        <v>39.07056</v>
      </c>
      <c r="AO300" t="s">
        <v>42</v>
      </c>
      <c r="AP300">
        <v>21.269735000000001</v>
      </c>
    </row>
    <row r="301" spans="1:42" x14ac:dyDescent="0.3">
      <c r="A301" t="s">
        <v>22</v>
      </c>
      <c r="B301">
        <v>3.009998</v>
      </c>
      <c r="C301" t="s">
        <v>23</v>
      </c>
      <c r="D301">
        <v>1.0177670000000001</v>
      </c>
      <c r="E301" t="s">
        <v>24</v>
      </c>
      <c r="F301">
        <v>1.055361</v>
      </c>
      <c r="G301" t="s">
        <v>25</v>
      </c>
      <c r="H301">
        <v>0.91616900000000001</v>
      </c>
      <c r="I301" t="s">
        <v>26</v>
      </c>
      <c r="J301">
        <v>3.0499999999999999E-4</v>
      </c>
      <c r="K301" t="s">
        <v>27</v>
      </c>
      <c r="L301">
        <v>2.2581E-2</v>
      </c>
      <c r="M301" t="s">
        <v>28</v>
      </c>
      <c r="N301">
        <v>1.9602000000000001E-2</v>
      </c>
      <c r="O301" t="s">
        <v>29</v>
      </c>
      <c r="P301">
        <v>5.8722000000000003E-2</v>
      </c>
      <c r="Q301" t="s">
        <v>30</v>
      </c>
      <c r="R301">
        <v>-0.14108299999999999</v>
      </c>
      <c r="S301" t="s">
        <v>31</v>
      </c>
      <c r="T301">
        <v>0.59869000000000006</v>
      </c>
      <c r="U301" t="s">
        <v>32</v>
      </c>
      <c r="V301">
        <v>2.8139000000000001E-2</v>
      </c>
      <c r="W301" t="s">
        <v>33</v>
      </c>
      <c r="X301">
        <v>0.173238</v>
      </c>
      <c r="Y301" t="s">
        <v>34</v>
      </c>
      <c r="Z301">
        <v>0.104183</v>
      </c>
      <c r="AA301" t="s">
        <v>35</v>
      </c>
      <c r="AB301">
        <v>7.0641999999999996E-2</v>
      </c>
      <c r="AC301" t="s">
        <v>36</v>
      </c>
      <c r="AD301">
        <v>0.26634000000000002</v>
      </c>
      <c r="AE301" t="s">
        <v>37</v>
      </c>
      <c r="AF301">
        <v>0.26155299999999998</v>
      </c>
      <c r="AG301" t="s">
        <v>38</v>
      </c>
      <c r="AH301">
        <v>0.98202699999999998</v>
      </c>
      <c r="AI301" t="s">
        <v>39</v>
      </c>
      <c r="AJ301">
        <v>0.77538399999999996</v>
      </c>
      <c r="AK301" t="s">
        <v>40</v>
      </c>
      <c r="AL301">
        <v>0.78449100000000005</v>
      </c>
      <c r="AM301" t="s">
        <v>41</v>
      </c>
      <c r="AN301">
        <v>39.200797999999999</v>
      </c>
      <c r="AO301" t="s">
        <v>42</v>
      </c>
      <c r="AP301">
        <v>21.336369999999999</v>
      </c>
    </row>
    <row r="302" spans="1:42" x14ac:dyDescent="0.3">
      <c r="A302" t="s">
        <v>22</v>
      </c>
      <c r="B302">
        <v>3.0199980000000002</v>
      </c>
      <c r="C302" t="s">
        <v>23</v>
      </c>
      <c r="D302">
        <v>1.017595</v>
      </c>
      <c r="E302" t="s">
        <v>24</v>
      </c>
      <c r="F302">
        <v>1.0549729999999999</v>
      </c>
      <c r="G302" t="s">
        <v>25</v>
      </c>
      <c r="H302">
        <v>0.91616900000000001</v>
      </c>
      <c r="I302" t="s">
        <v>26</v>
      </c>
      <c r="J302">
        <v>3.0400000000000002E-4</v>
      </c>
      <c r="K302" t="s">
        <v>27</v>
      </c>
      <c r="L302">
        <v>2.2572999999999999E-2</v>
      </c>
      <c r="M302" t="s">
        <v>28</v>
      </c>
      <c r="N302">
        <v>1.9602000000000001E-2</v>
      </c>
      <c r="O302" t="s">
        <v>29</v>
      </c>
      <c r="P302">
        <v>5.9636000000000002E-2</v>
      </c>
      <c r="Q302" t="s">
        <v>30</v>
      </c>
      <c r="R302">
        <v>-0.13902300000000001</v>
      </c>
      <c r="S302" t="s">
        <v>31</v>
      </c>
      <c r="T302">
        <v>0.59869000000000006</v>
      </c>
      <c r="U302" t="s">
        <v>32</v>
      </c>
      <c r="V302">
        <v>2.8055E-2</v>
      </c>
      <c r="W302" t="s">
        <v>33</v>
      </c>
      <c r="X302">
        <v>0.173348</v>
      </c>
      <c r="Y302" t="s">
        <v>34</v>
      </c>
      <c r="Z302">
        <v>0.104183</v>
      </c>
      <c r="AA302" t="s">
        <v>35</v>
      </c>
      <c r="AB302">
        <v>7.0433999999999997E-2</v>
      </c>
      <c r="AC302" t="s">
        <v>36</v>
      </c>
      <c r="AD302">
        <v>0.266314</v>
      </c>
      <c r="AE302" t="s">
        <v>37</v>
      </c>
      <c r="AF302">
        <v>0.26155299999999998</v>
      </c>
      <c r="AG302" t="s">
        <v>38</v>
      </c>
      <c r="AH302">
        <v>0.98212500000000003</v>
      </c>
      <c r="AI302" t="s">
        <v>39</v>
      </c>
      <c r="AJ302">
        <v>0.77543499999999999</v>
      </c>
      <c r="AK302" t="s">
        <v>40</v>
      </c>
      <c r="AL302">
        <v>0.78449100000000005</v>
      </c>
      <c r="AM302" t="s">
        <v>41</v>
      </c>
      <c r="AN302">
        <v>39.331032</v>
      </c>
      <c r="AO302" t="s">
        <v>42</v>
      </c>
      <c r="AP302">
        <v>21.403015</v>
      </c>
    </row>
    <row r="303" spans="1:42" x14ac:dyDescent="0.3">
      <c r="A303" t="s">
        <v>22</v>
      </c>
      <c r="B303">
        <v>3.029998</v>
      </c>
      <c r="C303" t="s">
        <v>23</v>
      </c>
      <c r="D303">
        <v>1.017423</v>
      </c>
      <c r="E303" t="s">
        <v>24</v>
      </c>
      <c r="F303">
        <v>1.0545869999999999</v>
      </c>
      <c r="G303" t="s">
        <v>25</v>
      </c>
      <c r="H303">
        <v>0.91616900000000001</v>
      </c>
      <c r="I303" t="s">
        <v>26</v>
      </c>
      <c r="J303">
        <v>3.0200000000000002E-4</v>
      </c>
      <c r="K303" t="s">
        <v>27</v>
      </c>
      <c r="L303">
        <v>2.2564000000000001E-2</v>
      </c>
      <c r="M303" t="s">
        <v>28</v>
      </c>
      <c r="N303">
        <v>1.9602000000000001E-2</v>
      </c>
      <c r="O303" t="s">
        <v>29</v>
      </c>
      <c r="P303">
        <v>6.055E-2</v>
      </c>
      <c r="Q303" t="s">
        <v>30</v>
      </c>
      <c r="R303">
        <v>-0.13697200000000001</v>
      </c>
      <c r="S303" t="s">
        <v>31</v>
      </c>
      <c r="T303">
        <v>0.59869000000000006</v>
      </c>
      <c r="U303" t="s">
        <v>32</v>
      </c>
      <c r="V303">
        <v>2.7973000000000001E-2</v>
      </c>
      <c r="W303" t="s">
        <v>33</v>
      </c>
      <c r="X303">
        <v>0.173458</v>
      </c>
      <c r="Y303" t="s">
        <v>34</v>
      </c>
      <c r="Z303">
        <v>0.104183</v>
      </c>
      <c r="AA303" t="s">
        <v>35</v>
      </c>
      <c r="AB303">
        <v>7.0225999999999997E-2</v>
      </c>
      <c r="AC303" t="s">
        <v>36</v>
      </c>
      <c r="AD303">
        <v>0.26628800000000002</v>
      </c>
      <c r="AE303" t="s">
        <v>37</v>
      </c>
      <c r="AF303">
        <v>0.26155299999999998</v>
      </c>
      <c r="AG303" t="s">
        <v>38</v>
      </c>
      <c r="AH303">
        <v>0.98222100000000001</v>
      </c>
      <c r="AI303" t="s">
        <v>39</v>
      </c>
      <c r="AJ303">
        <v>0.77548499999999998</v>
      </c>
      <c r="AK303" t="s">
        <v>40</v>
      </c>
      <c r="AL303">
        <v>0.78449100000000005</v>
      </c>
      <c r="AM303" t="s">
        <v>41</v>
      </c>
      <c r="AN303">
        <v>39.461266000000002</v>
      </c>
      <c r="AO303" t="s">
        <v>42</v>
      </c>
      <c r="AP303">
        <v>21.469657999999999</v>
      </c>
    </row>
    <row r="304" spans="1:42" x14ac:dyDescent="0.3">
      <c r="A304" t="s">
        <v>22</v>
      </c>
      <c r="B304">
        <v>3.0399980000000002</v>
      </c>
      <c r="C304" t="s">
        <v>23</v>
      </c>
      <c r="D304">
        <v>1.0172509999999999</v>
      </c>
      <c r="E304" t="s">
        <v>24</v>
      </c>
      <c r="F304">
        <v>1.0542039999999999</v>
      </c>
      <c r="G304" t="s">
        <v>25</v>
      </c>
      <c r="H304">
        <v>0.91616900000000001</v>
      </c>
      <c r="I304" t="s">
        <v>26</v>
      </c>
      <c r="J304">
        <v>3.01E-4</v>
      </c>
      <c r="K304" t="s">
        <v>27</v>
      </c>
      <c r="L304">
        <v>2.2556E-2</v>
      </c>
      <c r="M304" t="s">
        <v>28</v>
      </c>
      <c r="N304">
        <v>1.9602000000000001E-2</v>
      </c>
      <c r="O304" t="s">
        <v>29</v>
      </c>
      <c r="P304">
        <v>6.1462999999999997E-2</v>
      </c>
      <c r="Q304" t="s">
        <v>30</v>
      </c>
      <c r="R304">
        <v>-0.134934</v>
      </c>
      <c r="S304" t="s">
        <v>31</v>
      </c>
      <c r="T304">
        <v>0.59869000000000006</v>
      </c>
      <c r="U304" t="s">
        <v>32</v>
      </c>
      <c r="V304">
        <v>2.7890999999999999E-2</v>
      </c>
      <c r="W304" t="s">
        <v>33</v>
      </c>
      <c r="X304">
        <v>0.173568</v>
      </c>
      <c r="Y304" t="s">
        <v>34</v>
      </c>
      <c r="Z304">
        <v>0.104183</v>
      </c>
      <c r="AA304" t="s">
        <v>35</v>
      </c>
      <c r="AB304">
        <v>7.0019999999999999E-2</v>
      </c>
      <c r="AC304" t="s">
        <v>36</v>
      </c>
      <c r="AD304">
        <v>0.26626100000000003</v>
      </c>
      <c r="AE304" t="s">
        <v>37</v>
      </c>
      <c r="AF304">
        <v>0.26155299999999998</v>
      </c>
      <c r="AG304" t="s">
        <v>38</v>
      </c>
      <c r="AH304">
        <v>0.982317</v>
      </c>
      <c r="AI304" t="s">
        <v>39</v>
      </c>
      <c r="AJ304">
        <v>0.775536</v>
      </c>
      <c r="AK304" t="s">
        <v>40</v>
      </c>
      <c r="AL304">
        <v>0.78449100000000005</v>
      </c>
      <c r="AM304" t="s">
        <v>41</v>
      </c>
      <c r="AN304">
        <v>39.591503000000003</v>
      </c>
      <c r="AO304" t="s">
        <v>42</v>
      </c>
      <c r="AP304">
        <v>21.536315999999999</v>
      </c>
    </row>
    <row r="305" spans="1:42" x14ac:dyDescent="0.3">
      <c r="A305" t="s">
        <v>22</v>
      </c>
      <c r="B305">
        <v>3.049998</v>
      </c>
      <c r="C305" t="s">
        <v>23</v>
      </c>
      <c r="D305">
        <v>1.01708</v>
      </c>
      <c r="E305" t="s">
        <v>24</v>
      </c>
      <c r="F305">
        <v>1.053822</v>
      </c>
      <c r="G305" t="s">
        <v>25</v>
      </c>
      <c r="H305">
        <v>0.91616900000000001</v>
      </c>
      <c r="I305" t="s">
        <v>26</v>
      </c>
      <c r="J305">
        <v>2.9999999999999997E-4</v>
      </c>
      <c r="K305" t="s">
        <v>27</v>
      </c>
      <c r="L305">
        <v>2.2547999999999999E-2</v>
      </c>
      <c r="M305" t="s">
        <v>28</v>
      </c>
      <c r="N305">
        <v>1.9602000000000001E-2</v>
      </c>
      <c r="O305" t="s">
        <v>29</v>
      </c>
      <c r="P305">
        <v>6.2373999999999999E-2</v>
      </c>
      <c r="Q305" t="s">
        <v>30</v>
      </c>
      <c r="R305">
        <v>-0.132905</v>
      </c>
      <c r="S305" t="s">
        <v>31</v>
      </c>
      <c r="T305">
        <v>0.59869000000000006</v>
      </c>
      <c r="U305" t="s">
        <v>32</v>
      </c>
      <c r="V305">
        <v>2.7809E-2</v>
      </c>
      <c r="W305" t="s">
        <v>33</v>
      </c>
      <c r="X305">
        <v>0.173679</v>
      </c>
      <c r="Y305" t="s">
        <v>34</v>
      </c>
      <c r="Z305">
        <v>0.104183</v>
      </c>
      <c r="AA305" t="s">
        <v>35</v>
      </c>
      <c r="AB305">
        <v>6.9814000000000001E-2</v>
      </c>
      <c r="AC305" t="s">
        <v>36</v>
      </c>
      <c r="AD305">
        <v>0.266235</v>
      </c>
      <c r="AE305" t="s">
        <v>37</v>
      </c>
      <c r="AF305">
        <v>0.26155299999999998</v>
      </c>
      <c r="AG305" t="s">
        <v>38</v>
      </c>
      <c r="AH305">
        <v>0.98241199999999995</v>
      </c>
      <c r="AI305" t="s">
        <v>39</v>
      </c>
      <c r="AJ305">
        <v>0.77558499999999997</v>
      </c>
      <c r="AK305" t="s">
        <v>40</v>
      </c>
      <c r="AL305">
        <v>0.78449100000000005</v>
      </c>
      <c r="AM305" t="s">
        <v>41</v>
      </c>
      <c r="AN305">
        <v>39.721736999999997</v>
      </c>
      <c r="AO305" t="s">
        <v>42</v>
      </c>
      <c r="AP305">
        <v>21.602978</v>
      </c>
    </row>
    <row r="306" spans="1:42" x14ac:dyDescent="0.3">
      <c r="A306" t="s">
        <v>22</v>
      </c>
      <c r="B306">
        <v>3.0599980000000002</v>
      </c>
      <c r="C306" t="s">
        <v>23</v>
      </c>
      <c r="D306">
        <v>1.0169079999999999</v>
      </c>
      <c r="E306" t="s">
        <v>24</v>
      </c>
      <c r="F306">
        <v>1.0534429999999999</v>
      </c>
      <c r="G306" t="s">
        <v>25</v>
      </c>
      <c r="H306">
        <v>0.91616900000000001</v>
      </c>
      <c r="I306" t="s">
        <v>26</v>
      </c>
      <c r="J306">
        <v>2.9799999999999998E-4</v>
      </c>
      <c r="K306" t="s">
        <v>27</v>
      </c>
      <c r="L306">
        <v>2.2540000000000001E-2</v>
      </c>
      <c r="M306" t="s">
        <v>28</v>
      </c>
      <c r="N306">
        <v>1.9602000000000001E-2</v>
      </c>
      <c r="O306" t="s">
        <v>29</v>
      </c>
      <c r="P306">
        <v>6.3284000000000007E-2</v>
      </c>
      <c r="Q306" t="s">
        <v>30</v>
      </c>
      <c r="R306">
        <v>-0.130888</v>
      </c>
      <c r="S306" t="s">
        <v>31</v>
      </c>
      <c r="T306">
        <v>0.59869000000000006</v>
      </c>
      <c r="U306" t="s">
        <v>32</v>
      </c>
      <c r="V306">
        <v>2.7727000000000002E-2</v>
      </c>
      <c r="W306" t="s">
        <v>33</v>
      </c>
      <c r="X306">
        <v>0.173789</v>
      </c>
      <c r="Y306" t="s">
        <v>34</v>
      </c>
      <c r="Z306">
        <v>0.104183</v>
      </c>
      <c r="AA306" t="s">
        <v>35</v>
      </c>
      <c r="AB306">
        <v>6.9610000000000005E-2</v>
      </c>
      <c r="AC306" t="s">
        <v>36</v>
      </c>
      <c r="AD306">
        <v>0.26621</v>
      </c>
      <c r="AE306" t="s">
        <v>37</v>
      </c>
      <c r="AF306">
        <v>0.26155299999999998</v>
      </c>
      <c r="AG306" t="s">
        <v>38</v>
      </c>
      <c r="AH306">
        <v>0.98250700000000002</v>
      </c>
      <c r="AI306" t="s">
        <v>39</v>
      </c>
      <c r="AJ306">
        <v>0.77563400000000005</v>
      </c>
      <c r="AK306" t="s">
        <v>40</v>
      </c>
      <c r="AL306">
        <v>0.78449100000000005</v>
      </c>
      <c r="AM306" t="s">
        <v>41</v>
      </c>
      <c r="AN306">
        <v>39.851970999999999</v>
      </c>
      <c r="AO306" t="s">
        <v>42</v>
      </c>
      <c r="AP306">
        <v>21.669644999999999</v>
      </c>
    </row>
    <row r="307" spans="1:42" x14ac:dyDescent="0.3">
      <c r="A307" t="s">
        <v>22</v>
      </c>
      <c r="B307">
        <v>3.069998</v>
      </c>
      <c r="C307" t="s">
        <v>23</v>
      </c>
      <c r="D307">
        <v>1.0167379999999999</v>
      </c>
      <c r="E307" t="s">
        <v>24</v>
      </c>
      <c r="F307">
        <v>1.0530649999999999</v>
      </c>
      <c r="G307" t="s">
        <v>25</v>
      </c>
      <c r="H307">
        <v>0.91616900000000001</v>
      </c>
      <c r="I307" t="s">
        <v>26</v>
      </c>
      <c r="J307">
        <v>2.9700000000000001E-4</v>
      </c>
      <c r="K307" t="s">
        <v>27</v>
      </c>
      <c r="L307">
        <v>2.2532E-2</v>
      </c>
      <c r="M307" t="s">
        <v>28</v>
      </c>
      <c r="N307">
        <v>1.9602000000000001E-2</v>
      </c>
      <c r="O307" t="s">
        <v>29</v>
      </c>
      <c r="P307">
        <v>6.4189999999999997E-2</v>
      </c>
      <c r="Q307" t="s">
        <v>30</v>
      </c>
      <c r="R307">
        <v>-0.128882</v>
      </c>
      <c r="S307" t="s">
        <v>31</v>
      </c>
      <c r="T307">
        <v>0.59869000000000006</v>
      </c>
      <c r="U307" t="s">
        <v>32</v>
      </c>
      <c r="V307">
        <v>2.7647000000000001E-2</v>
      </c>
      <c r="W307" t="s">
        <v>33</v>
      </c>
      <c r="X307">
        <v>0.1739</v>
      </c>
      <c r="Y307" t="s">
        <v>34</v>
      </c>
      <c r="Z307">
        <v>0.104183</v>
      </c>
      <c r="AA307" t="s">
        <v>35</v>
      </c>
      <c r="AB307">
        <v>6.9406999999999996E-2</v>
      </c>
      <c r="AC307" t="s">
        <v>36</v>
      </c>
      <c r="AD307">
        <v>0.26618399999999998</v>
      </c>
      <c r="AE307" t="s">
        <v>37</v>
      </c>
      <c r="AF307">
        <v>0.26155299999999998</v>
      </c>
      <c r="AG307" t="s">
        <v>38</v>
      </c>
      <c r="AH307">
        <v>0.98260000000000003</v>
      </c>
      <c r="AI307" t="s">
        <v>39</v>
      </c>
      <c r="AJ307">
        <v>0.77568400000000004</v>
      </c>
      <c r="AK307" t="s">
        <v>40</v>
      </c>
      <c r="AL307">
        <v>0.78449100000000005</v>
      </c>
      <c r="AM307" t="s">
        <v>41</v>
      </c>
      <c r="AN307">
        <v>39.982208</v>
      </c>
      <c r="AO307" t="s">
        <v>42</v>
      </c>
      <c r="AP307">
        <v>21.736319999999999</v>
      </c>
    </row>
    <row r="308" spans="1:42" x14ac:dyDescent="0.3">
      <c r="A308" t="s">
        <v>22</v>
      </c>
      <c r="B308">
        <v>3.0799979999999998</v>
      </c>
      <c r="C308" t="s">
        <v>23</v>
      </c>
      <c r="D308">
        <v>1.016567</v>
      </c>
      <c r="E308" t="s">
        <v>24</v>
      </c>
      <c r="F308">
        <v>1.0526899999999999</v>
      </c>
      <c r="G308" t="s">
        <v>25</v>
      </c>
      <c r="H308">
        <v>0.91616900000000001</v>
      </c>
      <c r="I308" t="s">
        <v>26</v>
      </c>
      <c r="J308">
        <v>2.9599999999999998E-4</v>
      </c>
      <c r="K308" t="s">
        <v>27</v>
      </c>
      <c r="L308">
        <v>2.2523999999999999E-2</v>
      </c>
      <c r="M308" t="s">
        <v>28</v>
      </c>
      <c r="N308">
        <v>1.9602000000000001E-2</v>
      </c>
      <c r="O308" t="s">
        <v>29</v>
      </c>
      <c r="P308">
        <v>6.5096000000000001E-2</v>
      </c>
      <c r="Q308" t="s">
        <v>30</v>
      </c>
      <c r="R308">
        <v>-0.126886</v>
      </c>
      <c r="S308" t="s">
        <v>31</v>
      </c>
      <c r="T308">
        <v>0.59869000000000006</v>
      </c>
      <c r="U308" t="s">
        <v>32</v>
      </c>
      <c r="V308">
        <v>2.7566E-2</v>
      </c>
      <c r="W308" t="s">
        <v>33</v>
      </c>
      <c r="X308">
        <v>0.174011</v>
      </c>
      <c r="Y308" t="s">
        <v>34</v>
      </c>
      <c r="Z308">
        <v>0.104183</v>
      </c>
      <c r="AA308" t="s">
        <v>35</v>
      </c>
      <c r="AB308">
        <v>6.9205000000000003E-2</v>
      </c>
      <c r="AC308" t="s">
        <v>36</v>
      </c>
      <c r="AD308">
        <v>0.26615899999999998</v>
      </c>
      <c r="AE308" t="s">
        <v>37</v>
      </c>
      <c r="AF308">
        <v>0.26155299999999998</v>
      </c>
      <c r="AG308" t="s">
        <v>38</v>
      </c>
      <c r="AH308">
        <v>0.98269300000000004</v>
      </c>
      <c r="AI308" t="s">
        <v>39</v>
      </c>
      <c r="AJ308">
        <v>0.77573300000000001</v>
      </c>
      <c r="AK308" t="s">
        <v>40</v>
      </c>
      <c r="AL308">
        <v>0.78449100000000005</v>
      </c>
      <c r="AM308" t="s">
        <v>41</v>
      </c>
      <c r="AN308">
        <v>40.112442000000001</v>
      </c>
      <c r="AO308" t="s">
        <v>42</v>
      </c>
      <c r="AP308">
        <v>21.802999</v>
      </c>
    </row>
    <row r="309" spans="1:42" x14ac:dyDescent="0.3">
      <c r="A309" t="s">
        <v>22</v>
      </c>
      <c r="B309">
        <v>3.089998</v>
      </c>
      <c r="C309" t="s">
        <v>23</v>
      </c>
      <c r="D309">
        <v>1.016397</v>
      </c>
      <c r="E309" t="s">
        <v>24</v>
      </c>
      <c r="F309">
        <v>1.052316</v>
      </c>
      <c r="G309" t="s">
        <v>25</v>
      </c>
      <c r="H309">
        <v>0.91616900000000001</v>
      </c>
      <c r="I309" t="s">
        <v>26</v>
      </c>
      <c r="J309">
        <v>2.9399999999999999E-4</v>
      </c>
      <c r="K309" t="s">
        <v>27</v>
      </c>
      <c r="L309">
        <v>2.2516000000000001E-2</v>
      </c>
      <c r="M309" t="s">
        <v>28</v>
      </c>
      <c r="N309">
        <v>1.9602000000000001E-2</v>
      </c>
      <c r="O309" t="s">
        <v>29</v>
      </c>
      <c r="P309">
        <v>6.6001000000000004E-2</v>
      </c>
      <c r="Q309" t="s">
        <v>30</v>
      </c>
      <c r="R309">
        <v>-0.1249</v>
      </c>
      <c r="S309" t="s">
        <v>31</v>
      </c>
      <c r="T309">
        <v>0.59869000000000006</v>
      </c>
      <c r="U309" t="s">
        <v>32</v>
      </c>
      <c r="V309">
        <v>2.7486E-2</v>
      </c>
      <c r="W309" t="s">
        <v>33</v>
      </c>
      <c r="X309">
        <v>0.174122</v>
      </c>
      <c r="Y309" t="s">
        <v>34</v>
      </c>
      <c r="Z309">
        <v>0.104183</v>
      </c>
      <c r="AA309" t="s">
        <v>35</v>
      </c>
      <c r="AB309">
        <v>6.9003999999999996E-2</v>
      </c>
      <c r="AC309" t="s">
        <v>36</v>
      </c>
      <c r="AD309">
        <v>0.26613500000000001</v>
      </c>
      <c r="AE309" t="s">
        <v>37</v>
      </c>
      <c r="AF309">
        <v>0.26155299999999998</v>
      </c>
      <c r="AG309" t="s">
        <v>38</v>
      </c>
      <c r="AH309">
        <v>0.98278500000000002</v>
      </c>
      <c r="AI309" t="s">
        <v>39</v>
      </c>
      <c r="AJ309">
        <v>0.77578000000000003</v>
      </c>
      <c r="AK309" t="s">
        <v>40</v>
      </c>
      <c r="AL309">
        <v>0.78449100000000005</v>
      </c>
      <c r="AM309" t="s">
        <v>41</v>
      </c>
      <c r="AN309">
        <v>40.24268</v>
      </c>
      <c r="AO309" t="s">
        <v>42</v>
      </c>
      <c r="AP309">
        <v>21.869686000000002</v>
      </c>
    </row>
    <row r="310" spans="1:42" x14ac:dyDescent="0.3">
      <c r="A310" t="s">
        <v>22</v>
      </c>
      <c r="B310">
        <v>3.0999979999999998</v>
      </c>
      <c r="C310" t="s">
        <v>23</v>
      </c>
      <c r="D310">
        <v>1.016227</v>
      </c>
      <c r="E310" t="s">
        <v>24</v>
      </c>
      <c r="F310">
        <v>1.051944</v>
      </c>
      <c r="G310" t="s">
        <v>25</v>
      </c>
      <c r="H310">
        <v>0.91616900000000001</v>
      </c>
      <c r="I310" t="s">
        <v>26</v>
      </c>
      <c r="J310">
        <v>2.9300000000000002E-4</v>
      </c>
      <c r="K310" t="s">
        <v>27</v>
      </c>
      <c r="L310">
        <v>2.2508E-2</v>
      </c>
      <c r="M310" t="s">
        <v>28</v>
      </c>
      <c r="N310">
        <v>1.9602000000000001E-2</v>
      </c>
      <c r="O310" t="s">
        <v>29</v>
      </c>
      <c r="P310">
        <v>6.6903000000000004E-2</v>
      </c>
      <c r="Q310" t="s">
        <v>30</v>
      </c>
      <c r="R310">
        <v>-0.12292500000000001</v>
      </c>
      <c r="S310" t="s">
        <v>31</v>
      </c>
      <c r="T310">
        <v>0.59869000000000006</v>
      </c>
      <c r="U310" t="s">
        <v>32</v>
      </c>
      <c r="V310">
        <v>2.7406E-2</v>
      </c>
      <c r="W310" t="s">
        <v>33</v>
      </c>
      <c r="X310">
        <v>0.174233</v>
      </c>
      <c r="Y310" t="s">
        <v>34</v>
      </c>
      <c r="Z310">
        <v>0.104183</v>
      </c>
      <c r="AA310" t="s">
        <v>35</v>
      </c>
      <c r="AB310">
        <v>6.8804000000000004E-2</v>
      </c>
      <c r="AC310" t="s">
        <v>36</v>
      </c>
      <c r="AD310">
        <v>0.26611000000000001</v>
      </c>
      <c r="AE310" t="s">
        <v>37</v>
      </c>
      <c r="AF310">
        <v>0.26155299999999998</v>
      </c>
      <c r="AG310" t="s">
        <v>38</v>
      </c>
      <c r="AH310">
        <v>0.982877</v>
      </c>
      <c r="AI310" t="s">
        <v>39</v>
      </c>
      <c r="AJ310">
        <v>0.77582799999999996</v>
      </c>
      <c r="AK310" t="s">
        <v>40</v>
      </c>
      <c r="AL310">
        <v>0.78449100000000005</v>
      </c>
      <c r="AM310" t="s">
        <v>41</v>
      </c>
      <c r="AN310">
        <v>40.372912999999997</v>
      </c>
      <c r="AO310" t="s">
        <v>42</v>
      </c>
      <c r="AP310">
        <v>21.93638</v>
      </c>
    </row>
    <row r="311" spans="1:42" x14ac:dyDescent="0.3">
      <c r="A311" t="s">
        <v>22</v>
      </c>
      <c r="B311">
        <v>3.109998</v>
      </c>
      <c r="C311" t="s">
        <v>23</v>
      </c>
      <c r="D311">
        <v>1.0160579999999999</v>
      </c>
      <c r="E311" t="s">
        <v>24</v>
      </c>
      <c r="F311">
        <v>1.0515749999999999</v>
      </c>
      <c r="G311" t="s">
        <v>25</v>
      </c>
      <c r="H311">
        <v>0.91616900000000001</v>
      </c>
      <c r="I311" t="s">
        <v>26</v>
      </c>
      <c r="J311">
        <v>2.92E-4</v>
      </c>
      <c r="K311" t="s">
        <v>27</v>
      </c>
      <c r="L311">
        <v>2.2499999999999999E-2</v>
      </c>
      <c r="M311" t="s">
        <v>28</v>
      </c>
      <c r="N311">
        <v>1.9602000000000001E-2</v>
      </c>
      <c r="O311" t="s">
        <v>29</v>
      </c>
      <c r="P311">
        <v>6.7804000000000003E-2</v>
      </c>
      <c r="Q311" t="s">
        <v>30</v>
      </c>
      <c r="R311">
        <v>-0.120961</v>
      </c>
      <c r="S311" t="s">
        <v>31</v>
      </c>
      <c r="T311">
        <v>0.59869000000000006</v>
      </c>
      <c r="U311" t="s">
        <v>32</v>
      </c>
      <c r="V311">
        <v>2.7327000000000001E-2</v>
      </c>
      <c r="W311" t="s">
        <v>33</v>
      </c>
      <c r="X311">
        <v>0.174344</v>
      </c>
      <c r="Y311" t="s">
        <v>34</v>
      </c>
      <c r="Z311">
        <v>0.104183</v>
      </c>
      <c r="AA311" t="s">
        <v>35</v>
      </c>
      <c r="AB311">
        <v>6.8606E-2</v>
      </c>
      <c r="AC311" t="s">
        <v>36</v>
      </c>
      <c r="AD311">
        <v>0.26608500000000002</v>
      </c>
      <c r="AE311" t="s">
        <v>37</v>
      </c>
      <c r="AF311">
        <v>0.26155299999999998</v>
      </c>
      <c r="AG311" t="s">
        <v>38</v>
      </c>
      <c r="AH311">
        <v>0.98296700000000004</v>
      </c>
      <c r="AI311" t="s">
        <v>39</v>
      </c>
      <c r="AJ311">
        <v>0.77587499999999998</v>
      </c>
      <c r="AK311" t="s">
        <v>40</v>
      </c>
      <c r="AL311">
        <v>0.78449100000000005</v>
      </c>
      <c r="AM311" t="s">
        <v>41</v>
      </c>
      <c r="AN311">
        <v>40.503146999999998</v>
      </c>
      <c r="AO311" t="s">
        <v>42</v>
      </c>
      <c r="AP311">
        <v>22.003080000000001</v>
      </c>
    </row>
    <row r="312" spans="1:42" x14ac:dyDescent="0.3">
      <c r="A312" t="s">
        <v>22</v>
      </c>
      <c r="B312">
        <v>3.1199979999999998</v>
      </c>
      <c r="C312" t="s">
        <v>23</v>
      </c>
      <c r="D312">
        <v>1.015889</v>
      </c>
      <c r="E312" t="s">
        <v>24</v>
      </c>
      <c r="F312">
        <v>1.051207</v>
      </c>
      <c r="G312" t="s">
        <v>25</v>
      </c>
      <c r="H312">
        <v>0.91616900000000001</v>
      </c>
      <c r="I312" t="s">
        <v>26</v>
      </c>
      <c r="J312">
        <v>2.9E-4</v>
      </c>
      <c r="K312" t="s">
        <v>27</v>
      </c>
      <c r="L312">
        <v>2.2492000000000002E-2</v>
      </c>
      <c r="M312" t="s">
        <v>28</v>
      </c>
      <c r="N312">
        <v>1.9602000000000001E-2</v>
      </c>
      <c r="O312" t="s">
        <v>29</v>
      </c>
      <c r="P312">
        <v>6.8704000000000001E-2</v>
      </c>
      <c r="Q312" t="s">
        <v>30</v>
      </c>
      <c r="R312">
        <v>-0.119007</v>
      </c>
      <c r="S312" t="s">
        <v>31</v>
      </c>
      <c r="T312">
        <v>0.59869000000000006</v>
      </c>
      <c r="U312" t="s">
        <v>32</v>
      </c>
      <c r="V312">
        <v>2.7248999999999999E-2</v>
      </c>
      <c r="W312" t="s">
        <v>33</v>
      </c>
      <c r="X312">
        <v>0.174455</v>
      </c>
      <c r="Y312" t="s">
        <v>34</v>
      </c>
      <c r="Z312">
        <v>0.104183</v>
      </c>
      <c r="AA312" t="s">
        <v>35</v>
      </c>
      <c r="AB312">
        <v>6.8407999999999997E-2</v>
      </c>
      <c r="AC312" t="s">
        <v>36</v>
      </c>
      <c r="AD312">
        <v>0.26606099999999999</v>
      </c>
      <c r="AE312" t="s">
        <v>37</v>
      </c>
      <c r="AF312">
        <v>0.26155299999999998</v>
      </c>
      <c r="AG312" t="s">
        <v>38</v>
      </c>
      <c r="AH312">
        <v>0.98305799999999999</v>
      </c>
      <c r="AI312" t="s">
        <v>39</v>
      </c>
      <c r="AJ312">
        <v>0.775922</v>
      </c>
      <c r="AK312" t="s">
        <v>40</v>
      </c>
      <c r="AL312">
        <v>0.78449100000000005</v>
      </c>
      <c r="AM312" t="s">
        <v>41</v>
      </c>
      <c r="AN312">
        <v>40.633384999999997</v>
      </c>
      <c r="AO312" t="s">
        <v>42</v>
      </c>
      <c r="AP312">
        <v>22.069786000000001</v>
      </c>
    </row>
    <row r="313" spans="1:42" x14ac:dyDescent="0.3">
      <c r="A313" t="s">
        <v>22</v>
      </c>
      <c r="B313">
        <v>3.1299969999999999</v>
      </c>
      <c r="C313" t="s">
        <v>23</v>
      </c>
      <c r="D313">
        <v>1.01572</v>
      </c>
      <c r="E313" t="s">
        <v>24</v>
      </c>
      <c r="F313">
        <v>1.0508409999999999</v>
      </c>
      <c r="G313" t="s">
        <v>25</v>
      </c>
      <c r="H313">
        <v>0.91616900000000001</v>
      </c>
      <c r="I313" t="s">
        <v>26</v>
      </c>
      <c r="J313">
        <v>2.8899999999999998E-4</v>
      </c>
      <c r="K313" t="s">
        <v>27</v>
      </c>
      <c r="L313">
        <v>2.2484000000000001E-2</v>
      </c>
      <c r="M313" t="s">
        <v>28</v>
      </c>
      <c r="N313">
        <v>1.9602000000000001E-2</v>
      </c>
      <c r="O313" t="s">
        <v>29</v>
      </c>
      <c r="P313">
        <v>6.9599999999999995E-2</v>
      </c>
      <c r="Q313" t="s">
        <v>30</v>
      </c>
      <c r="R313">
        <v>-0.117063</v>
      </c>
      <c r="S313" t="s">
        <v>31</v>
      </c>
      <c r="T313">
        <v>0.59869000000000006</v>
      </c>
      <c r="U313" t="s">
        <v>32</v>
      </c>
      <c r="V313">
        <v>2.717E-2</v>
      </c>
      <c r="W313" t="s">
        <v>33</v>
      </c>
      <c r="X313">
        <v>0.174567</v>
      </c>
      <c r="Y313" t="s">
        <v>34</v>
      </c>
      <c r="Z313">
        <v>0.104183</v>
      </c>
      <c r="AA313" t="s">
        <v>35</v>
      </c>
      <c r="AB313">
        <v>6.8210999999999994E-2</v>
      </c>
      <c r="AC313" t="s">
        <v>36</v>
      </c>
      <c r="AD313">
        <v>0.26603700000000002</v>
      </c>
      <c r="AE313" t="s">
        <v>37</v>
      </c>
      <c r="AF313">
        <v>0.26155299999999998</v>
      </c>
      <c r="AG313" t="s">
        <v>38</v>
      </c>
      <c r="AH313">
        <v>0.98314699999999999</v>
      </c>
      <c r="AI313" t="s">
        <v>39</v>
      </c>
      <c r="AJ313">
        <v>0.77596799999999999</v>
      </c>
      <c r="AK313" t="s">
        <v>40</v>
      </c>
      <c r="AL313">
        <v>0.78449100000000005</v>
      </c>
      <c r="AM313" t="s">
        <v>41</v>
      </c>
      <c r="AN313">
        <v>40.763618000000001</v>
      </c>
      <c r="AO313" t="s">
        <v>42</v>
      </c>
      <c r="AP313">
        <v>22.136496999999999</v>
      </c>
    </row>
    <row r="314" spans="1:42" x14ac:dyDescent="0.3">
      <c r="A314" t="s">
        <v>22</v>
      </c>
      <c r="B314">
        <v>3.1399970000000001</v>
      </c>
      <c r="C314" t="s">
        <v>23</v>
      </c>
      <c r="D314">
        <v>1.0155510000000001</v>
      </c>
      <c r="E314" t="s">
        <v>24</v>
      </c>
      <c r="F314">
        <v>1.050478</v>
      </c>
      <c r="G314" t="s">
        <v>25</v>
      </c>
      <c r="H314">
        <v>0.91616900000000001</v>
      </c>
      <c r="I314" t="s">
        <v>26</v>
      </c>
      <c r="J314">
        <v>2.8800000000000001E-4</v>
      </c>
      <c r="K314" t="s">
        <v>27</v>
      </c>
      <c r="L314">
        <v>2.2475999999999999E-2</v>
      </c>
      <c r="M314" t="s">
        <v>28</v>
      </c>
      <c r="N314">
        <v>1.9602000000000001E-2</v>
      </c>
      <c r="O314" t="s">
        <v>29</v>
      </c>
      <c r="P314">
        <v>7.0496000000000003E-2</v>
      </c>
      <c r="Q314" t="s">
        <v>30</v>
      </c>
      <c r="R314">
        <v>-0.115129</v>
      </c>
      <c r="S314" t="s">
        <v>31</v>
      </c>
      <c r="T314">
        <v>0.59869000000000006</v>
      </c>
      <c r="U314" t="s">
        <v>32</v>
      </c>
      <c r="V314">
        <v>2.7092000000000001E-2</v>
      </c>
      <c r="W314" t="s">
        <v>33</v>
      </c>
      <c r="X314">
        <v>0.174678</v>
      </c>
      <c r="Y314" t="s">
        <v>34</v>
      </c>
      <c r="Z314">
        <v>0.104183</v>
      </c>
      <c r="AA314" t="s">
        <v>35</v>
      </c>
      <c r="AB314">
        <v>6.8015999999999993E-2</v>
      </c>
      <c r="AC314" t="s">
        <v>36</v>
      </c>
      <c r="AD314">
        <v>0.26601200000000003</v>
      </c>
      <c r="AE314" t="s">
        <v>37</v>
      </c>
      <c r="AF314">
        <v>0.26155299999999998</v>
      </c>
      <c r="AG314" t="s">
        <v>38</v>
      </c>
      <c r="AH314">
        <v>0.983236</v>
      </c>
      <c r="AI314" t="s">
        <v>39</v>
      </c>
      <c r="AJ314">
        <v>0.77601600000000004</v>
      </c>
      <c r="AK314" t="s">
        <v>40</v>
      </c>
      <c r="AL314">
        <v>0.78449100000000005</v>
      </c>
      <c r="AM314" t="s">
        <v>41</v>
      </c>
      <c r="AN314">
        <v>40.893852000000003</v>
      </c>
      <c r="AO314" t="s">
        <v>42</v>
      </c>
      <c r="AP314">
        <v>22.203218</v>
      </c>
    </row>
    <row r="315" spans="1:42" x14ac:dyDescent="0.3">
      <c r="A315" t="s">
        <v>22</v>
      </c>
      <c r="B315">
        <v>3.1499969999999999</v>
      </c>
      <c r="C315" t="s">
        <v>23</v>
      </c>
      <c r="D315">
        <v>1.0153829999999999</v>
      </c>
      <c r="E315" t="s">
        <v>24</v>
      </c>
      <c r="F315">
        <v>1.050116</v>
      </c>
      <c r="G315" t="s">
        <v>25</v>
      </c>
      <c r="H315">
        <v>0.91616900000000001</v>
      </c>
      <c r="I315" t="s">
        <v>26</v>
      </c>
      <c r="J315">
        <v>2.8600000000000001E-4</v>
      </c>
      <c r="K315" t="s">
        <v>27</v>
      </c>
      <c r="L315">
        <v>2.2468999999999999E-2</v>
      </c>
      <c r="M315" t="s">
        <v>28</v>
      </c>
      <c r="N315">
        <v>1.9602000000000001E-2</v>
      </c>
      <c r="O315" t="s">
        <v>29</v>
      </c>
      <c r="P315">
        <v>7.1389999999999995E-2</v>
      </c>
      <c r="Q315" t="s">
        <v>30</v>
      </c>
      <c r="R315">
        <v>-0.113206</v>
      </c>
      <c r="S315" t="s">
        <v>31</v>
      </c>
      <c r="T315">
        <v>0.59869000000000006</v>
      </c>
      <c r="U315" t="s">
        <v>32</v>
      </c>
      <c r="V315">
        <v>2.7015000000000001E-2</v>
      </c>
      <c r="W315" t="s">
        <v>33</v>
      </c>
      <c r="X315">
        <v>0.17479</v>
      </c>
      <c r="Y315" t="s">
        <v>34</v>
      </c>
      <c r="Z315">
        <v>0.104183</v>
      </c>
      <c r="AA315" t="s">
        <v>35</v>
      </c>
      <c r="AB315">
        <v>6.7821000000000006E-2</v>
      </c>
      <c r="AC315" t="s">
        <v>36</v>
      </c>
      <c r="AD315">
        <v>0.26598899999999998</v>
      </c>
      <c r="AE315" t="s">
        <v>37</v>
      </c>
      <c r="AF315">
        <v>0.26155299999999998</v>
      </c>
      <c r="AG315" t="s">
        <v>38</v>
      </c>
      <c r="AH315">
        <v>0.98332299999999995</v>
      </c>
      <c r="AI315" t="s">
        <v>39</v>
      </c>
      <c r="AJ315">
        <v>0.776061</v>
      </c>
      <c r="AK315" t="s">
        <v>40</v>
      </c>
      <c r="AL315">
        <v>0.78449100000000005</v>
      </c>
      <c r="AM315" t="s">
        <v>41</v>
      </c>
      <c r="AN315">
        <v>41.024090000000001</v>
      </c>
      <c r="AO315" t="s">
        <v>42</v>
      </c>
      <c r="AP315">
        <v>22.269943000000001</v>
      </c>
    </row>
    <row r="316" spans="1:42" x14ac:dyDescent="0.3">
      <c r="A316" t="s">
        <v>22</v>
      </c>
      <c r="B316">
        <v>3.1599970000000002</v>
      </c>
      <c r="C316" t="s">
        <v>23</v>
      </c>
      <c r="D316">
        <v>1.015215</v>
      </c>
      <c r="E316" t="s">
        <v>24</v>
      </c>
      <c r="F316">
        <v>1.049755</v>
      </c>
      <c r="G316" t="s">
        <v>25</v>
      </c>
      <c r="H316">
        <v>0.91616900000000001</v>
      </c>
      <c r="I316" t="s">
        <v>26</v>
      </c>
      <c r="J316">
        <v>2.8499999999999999E-4</v>
      </c>
      <c r="K316" t="s">
        <v>27</v>
      </c>
      <c r="L316">
        <v>2.2460999999999998E-2</v>
      </c>
      <c r="M316" t="s">
        <v>28</v>
      </c>
      <c r="N316">
        <v>1.9602000000000001E-2</v>
      </c>
      <c r="O316" t="s">
        <v>29</v>
      </c>
      <c r="P316">
        <v>7.2283E-2</v>
      </c>
      <c r="Q316" t="s">
        <v>30</v>
      </c>
      <c r="R316">
        <v>-0.111292</v>
      </c>
      <c r="S316" t="s">
        <v>31</v>
      </c>
      <c r="T316">
        <v>0.59869000000000006</v>
      </c>
      <c r="U316" t="s">
        <v>32</v>
      </c>
      <c r="V316">
        <v>2.6938E-2</v>
      </c>
      <c r="W316" t="s">
        <v>33</v>
      </c>
      <c r="X316">
        <v>0.174901</v>
      </c>
      <c r="Y316" t="s">
        <v>34</v>
      </c>
      <c r="Z316">
        <v>0.104183</v>
      </c>
      <c r="AA316" t="s">
        <v>35</v>
      </c>
      <c r="AB316">
        <v>6.7627999999999994E-2</v>
      </c>
      <c r="AC316" t="s">
        <v>36</v>
      </c>
      <c r="AD316">
        <v>0.26596500000000001</v>
      </c>
      <c r="AE316" t="s">
        <v>37</v>
      </c>
      <c r="AF316">
        <v>0.26155299999999998</v>
      </c>
      <c r="AG316" t="s">
        <v>38</v>
      </c>
      <c r="AH316">
        <v>0.98341100000000004</v>
      </c>
      <c r="AI316" t="s">
        <v>39</v>
      </c>
      <c r="AJ316">
        <v>0.77610599999999996</v>
      </c>
      <c r="AK316" t="s">
        <v>40</v>
      </c>
      <c r="AL316">
        <v>0.78449100000000005</v>
      </c>
      <c r="AM316" t="s">
        <v>41</v>
      </c>
      <c r="AN316">
        <v>41.154324000000003</v>
      </c>
      <c r="AO316" t="s">
        <v>42</v>
      </c>
      <c r="AP316">
        <v>22.336672</v>
      </c>
    </row>
    <row r="317" spans="1:42" x14ac:dyDescent="0.3">
      <c r="A317" t="s">
        <v>22</v>
      </c>
      <c r="B317">
        <v>3.169997</v>
      </c>
      <c r="C317" t="s">
        <v>23</v>
      </c>
      <c r="D317">
        <v>1.015048</v>
      </c>
      <c r="E317" t="s">
        <v>24</v>
      </c>
      <c r="F317">
        <v>1.0493969999999999</v>
      </c>
      <c r="G317" t="s">
        <v>25</v>
      </c>
      <c r="H317">
        <v>0.91616900000000001</v>
      </c>
      <c r="I317" t="s">
        <v>26</v>
      </c>
      <c r="J317">
        <v>2.8400000000000002E-4</v>
      </c>
      <c r="K317" t="s">
        <v>27</v>
      </c>
      <c r="L317">
        <v>2.2453000000000001E-2</v>
      </c>
      <c r="M317" t="s">
        <v>28</v>
      </c>
      <c r="N317">
        <v>1.9602000000000001E-2</v>
      </c>
      <c r="O317" t="s">
        <v>29</v>
      </c>
      <c r="P317">
        <v>7.3172000000000001E-2</v>
      </c>
      <c r="Q317" t="s">
        <v>30</v>
      </c>
      <c r="R317">
        <v>-0.109387</v>
      </c>
      <c r="S317" t="s">
        <v>31</v>
      </c>
      <c r="T317">
        <v>0.59869000000000006</v>
      </c>
      <c r="U317" t="s">
        <v>32</v>
      </c>
      <c r="V317">
        <v>2.6860999999999999E-2</v>
      </c>
      <c r="W317" t="s">
        <v>33</v>
      </c>
      <c r="X317">
        <v>0.175013</v>
      </c>
      <c r="Y317" t="s">
        <v>34</v>
      </c>
      <c r="Z317">
        <v>0.104183</v>
      </c>
      <c r="AA317" t="s">
        <v>35</v>
      </c>
      <c r="AB317">
        <v>6.7434999999999995E-2</v>
      </c>
      <c r="AC317" t="s">
        <v>36</v>
      </c>
      <c r="AD317">
        <v>0.26594200000000001</v>
      </c>
      <c r="AE317" t="s">
        <v>37</v>
      </c>
      <c r="AF317">
        <v>0.26155299999999998</v>
      </c>
      <c r="AG317" t="s">
        <v>38</v>
      </c>
      <c r="AH317">
        <v>0.98349699999999995</v>
      </c>
      <c r="AI317" t="s">
        <v>39</v>
      </c>
      <c r="AJ317">
        <v>0.77615100000000004</v>
      </c>
      <c r="AK317" t="s">
        <v>40</v>
      </c>
      <c r="AL317">
        <v>0.78449100000000005</v>
      </c>
      <c r="AM317" t="s">
        <v>41</v>
      </c>
      <c r="AN317">
        <v>41.284560999999997</v>
      </c>
      <c r="AO317" t="s">
        <v>42</v>
      </c>
      <c r="AP317">
        <v>22.403407999999999</v>
      </c>
    </row>
    <row r="318" spans="1:42" x14ac:dyDescent="0.3">
      <c r="A318" t="s">
        <v>22</v>
      </c>
      <c r="B318">
        <v>3.1799970000000002</v>
      </c>
      <c r="C318" t="s">
        <v>23</v>
      </c>
      <c r="D318">
        <v>1.01488</v>
      </c>
      <c r="E318" t="s">
        <v>24</v>
      </c>
      <c r="F318">
        <v>1.0490409999999999</v>
      </c>
      <c r="G318" t="s">
        <v>25</v>
      </c>
      <c r="H318">
        <v>0.91616900000000001</v>
      </c>
      <c r="I318" t="s">
        <v>26</v>
      </c>
      <c r="J318">
        <v>2.8299999999999999E-4</v>
      </c>
      <c r="K318" t="s">
        <v>27</v>
      </c>
      <c r="L318">
        <v>2.2446000000000001E-2</v>
      </c>
      <c r="M318" t="s">
        <v>28</v>
      </c>
      <c r="N318">
        <v>1.9602000000000001E-2</v>
      </c>
      <c r="O318" t="s">
        <v>29</v>
      </c>
      <c r="P318">
        <v>7.4063000000000004E-2</v>
      </c>
      <c r="Q318" t="s">
        <v>30</v>
      </c>
      <c r="R318">
        <v>-0.10749400000000001</v>
      </c>
      <c r="S318" t="s">
        <v>31</v>
      </c>
      <c r="T318">
        <v>0.59869000000000006</v>
      </c>
      <c r="U318" t="s">
        <v>32</v>
      </c>
      <c r="V318">
        <v>2.6785E-2</v>
      </c>
      <c r="W318" t="s">
        <v>33</v>
      </c>
      <c r="X318">
        <v>0.175125</v>
      </c>
      <c r="Y318" t="s">
        <v>34</v>
      </c>
      <c r="Z318">
        <v>0.104183</v>
      </c>
      <c r="AA318" t="s">
        <v>35</v>
      </c>
      <c r="AB318">
        <v>6.7243999999999998E-2</v>
      </c>
      <c r="AC318" t="s">
        <v>36</v>
      </c>
      <c r="AD318">
        <v>0.26591799999999999</v>
      </c>
      <c r="AE318" t="s">
        <v>37</v>
      </c>
      <c r="AF318">
        <v>0.26155299999999998</v>
      </c>
      <c r="AG318" t="s">
        <v>38</v>
      </c>
      <c r="AH318">
        <v>0.98358400000000001</v>
      </c>
      <c r="AI318" t="s">
        <v>39</v>
      </c>
      <c r="AJ318">
        <v>0.77619700000000003</v>
      </c>
      <c r="AK318" t="s">
        <v>40</v>
      </c>
      <c r="AL318">
        <v>0.78449100000000005</v>
      </c>
      <c r="AM318" t="s">
        <v>41</v>
      </c>
      <c r="AN318">
        <v>41.414794999999998</v>
      </c>
      <c r="AO318" t="s">
        <v>42</v>
      </c>
      <c r="AP318">
        <v>22.470154000000001</v>
      </c>
    </row>
    <row r="319" spans="1:42" x14ac:dyDescent="0.3">
      <c r="A319" t="s">
        <v>22</v>
      </c>
      <c r="B319">
        <v>3.189997</v>
      </c>
      <c r="C319" t="s">
        <v>23</v>
      </c>
      <c r="D319">
        <v>1.0147139999999999</v>
      </c>
      <c r="E319" t="s">
        <v>24</v>
      </c>
      <c r="F319">
        <v>1.048686</v>
      </c>
      <c r="G319" t="s">
        <v>25</v>
      </c>
      <c r="H319">
        <v>0.91616900000000001</v>
      </c>
      <c r="I319" t="s">
        <v>26</v>
      </c>
      <c r="J319">
        <v>2.81E-4</v>
      </c>
      <c r="K319" t="s">
        <v>27</v>
      </c>
      <c r="L319">
        <v>2.2438E-2</v>
      </c>
      <c r="M319" t="s">
        <v>28</v>
      </c>
      <c r="N319">
        <v>1.9602000000000001E-2</v>
      </c>
      <c r="O319" t="s">
        <v>29</v>
      </c>
      <c r="P319">
        <v>7.4948000000000001E-2</v>
      </c>
      <c r="Q319" t="s">
        <v>30</v>
      </c>
      <c r="R319">
        <v>-0.10560899999999999</v>
      </c>
      <c r="S319" t="s">
        <v>31</v>
      </c>
      <c r="T319">
        <v>0.59869000000000006</v>
      </c>
      <c r="U319" t="s">
        <v>32</v>
      </c>
      <c r="V319">
        <v>2.6709E-2</v>
      </c>
      <c r="W319" t="s">
        <v>33</v>
      </c>
      <c r="X319">
        <v>0.175237</v>
      </c>
      <c r="Y319" t="s">
        <v>34</v>
      </c>
      <c r="Z319">
        <v>0.104183</v>
      </c>
      <c r="AA319" t="s">
        <v>35</v>
      </c>
      <c r="AB319">
        <v>6.7053000000000001E-2</v>
      </c>
      <c r="AC319" t="s">
        <v>36</v>
      </c>
      <c r="AD319">
        <v>0.26589499999999999</v>
      </c>
      <c r="AE319" t="s">
        <v>37</v>
      </c>
      <c r="AF319">
        <v>0.26155299999999998</v>
      </c>
      <c r="AG319" t="s">
        <v>38</v>
      </c>
      <c r="AH319">
        <v>0.98366900000000002</v>
      </c>
      <c r="AI319" t="s">
        <v>39</v>
      </c>
      <c r="AJ319">
        <v>0.77624099999999996</v>
      </c>
      <c r="AK319" t="s">
        <v>40</v>
      </c>
      <c r="AL319">
        <v>0.78449100000000005</v>
      </c>
      <c r="AM319" t="s">
        <v>41</v>
      </c>
      <c r="AN319">
        <v>41.545029</v>
      </c>
      <c r="AO319" t="s">
        <v>42</v>
      </c>
      <c r="AP319">
        <v>22.536901</v>
      </c>
    </row>
    <row r="320" spans="1:42" x14ac:dyDescent="0.3">
      <c r="A320" t="s">
        <v>22</v>
      </c>
      <c r="B320">
        <v>3.1999970000000002</v>
      </c>
      <c r="C320" t="s">
        <v>23</v>
      </c>
      <c r="D320">
        <v>1.0145470000000001</v>
      </c>
      <c r="E320" t="s">
        <v>24</v>
      </c>
      <c r="F320">
        <v>1.0483340000000001</v>
      </c>
      <c r="G320" t="s">
        <v>25</v>
      </c>
      <c r="H320">
        <v>0.91616900000000001</v>
      </c>
      <c r="I320" t="s">
        <v>26</v>
      </c>
      <c r="J320">
        <v>2.7999999999999998E-4</v>
      </c>
      <c r="K320" t="s">
        <v>27</v>
      </c>
      <c r="L320">
        <v>2.2431E-2</v>
      </c>
      <c r="M320" t="s">
        <v>28</v>
      </c>
      <c r="N320">
        <v>1.9602000000000001E-2</v>
      </c>
      <c r="O320" t="s">
        <v>29</v>
      </c>
      <c r="P320">
        <v>7.5832999999999998E-2</v>
      </c>
      <c r="Q320" t="s">
        <v>30</v>
      </c>
      <c r="R320">
        <v>-0.10373599999999999</v>
      </c>
      <c r="S320" t="s">
        <v>31</v>
      </c>
      <c r="T320">
        <v>0.59869000000000006</v>
      </c>
      <c r="U320" t="s">
        <v>32</v>
      </c>
      <c r="V320">
        <v>2.6634000000000001E-2</v>
      </c>
      <c r="W320" t="s">
        <v>33</v>
      </c>
      <c r="X320">
        <v>0.175349</v>
      </c>
      <c r="Y320" t="s">
        <v>34</v>
      </c>
      <c r="Z320">
        <v>0.104183</v>
      </c>
      <c r="AA320" t="s">
        <v>35</v>
      </c>
      <c r="AB320">
        <v>6.6864000000000007E-2</v>
      </c>
      <c r="AC320" t="s">
        <v>36</v>
      </c>
      <c r="AD320">
        <v>0.26587300000000003</v>
      </c>
      <c r="AE320" t="s">
        <v>37</v>
      </c>
      <c r="AF320">
        <v>0.26155299999999998</v>
      </c>
      <c r="AG320" t="s">
        <v>38</v>
      </c>
      <c r="AH320">
        <v>0.98375400000000002</v>
      </c>
      <c r="AI320" t="s">
        <v>39</v>
      </c>
      <c r="AJ320">
        <v>0.776285</v>
      </c>
      <c r="AK320" t="s">
        <v>40</v>
      </c>
      <c r="AL320">
        <v>0.78449100000000005</v>
      </c>
      <c r="AM320" t="s">
        <v>41</v>
      </c>
      <c r="AN320">
        <v>41.675266000000001</v>
      </c>
      <c r="AO320" t="s">
        <v>42</v>
      </c>
      <c r="AP320">
        <v>22.603659</v>
      </c>
    </row>
    <row r="321" spans="1:42" x14ac:dyDescent="0.3">
      <c r="A321" t="s">
        <v>22</v>
      </c>
      <c r="B321">
        <v>3.209997</v>
      </c>
      <c r="C321" t="s">
        <v>23</v>
      </c>
      <c r="D321">
        <v>1.0143800000000001</v>
      </c>
      <c r="E321" t="s">
        <v>24</v>
      </c>
      <c r="F321">
        <v>1.0479830000000001</v>
      </c>
      <c r="G321" t="s">
        <v>25</v>
      </c>
      <c r="H321">
        <v>0.91616900000000001</v>
      </c>
      <c r="I321" t="s">
        <v>26</v>
      </c>
      <c r="J321">
        <v>2.7900000000000001E-4</v>
      </c>
      <c r="K321" t="s">
        <v>27</v>
      </c>
      <c r="L321">
        <v>2.2422999999999998E-2</v>
      </c>
      <c r="M321" t="s">
        <v>28</v>
      </c>
      <c r="N321">
        <v>1.9602000000000001E-2</v>
      </c>
      <c r="O321" t="s">
        <v>29</v>
      </c>
      <c r="P321">
        <v>7.6717999999999995E-2</v>
      </c>
      <c r="Q321" t="s">
        <v>30</v>
      </c>
      <c r="R321">
        <v>-0.101871</v>
      </c>
      <c r="S321" t="s">
        <v>31</v>
      </c>
      <c r="T321">
        <v>0.59869000000000006</v>
      </c>
      <c r="U321" t="s">
        <v>32</v>
      </c>
      <c r="V321">
        <v>2.6557999999999998E-2</v>
      </c>
      <c r="W321" t="s">
        <v>33</v>
      </c>
      <c r="X321">
        <v>0.17546100000000001</v>
      </c>
      <c r="Y321" t="s">
        <v>34</v>
      </c>
      <c r="Z321">
        <v>0.104183</v>
      </c>
      <c r="AA321" t="s">
        <v>35</v>
      </c>
      <c r="AB321">
        <v>6.6674999999999998E-2</v>
      </c>
      <c r="AC321" t="s">
        <v>36</v>
      </c>
      <c r="AD321">
        <v>0.26584999999999998</v>
      </c>
      <c r="AE321" t="s">
        <v>37</v>
      </c>
      <c r="AF321">
        <v>0.26155299999999998</v>
      </c>
      <c r="AG321" t="s">
        <v>38</v>
      </c>
      <c r="AH321">
        <v>0.98383799999999999</v>
      </c>
      <c r="AI321" t="s">
        <v>39</v>
      </c>
      <c r="AJ321">
        <v>0.77632900000000005</v>
      </c>
      <c r="AK321" t="s">
        <v>40</v>
      </c>
      <c r="AL321">
        <v>0.78449100000000005</v>
      </c>
      <c r="AM321" t="s">
        <v>41</v>
      </c>
      <c r="AN321">
        <v>41.805500000000002</v>
      </c>
      <c r="AO321" t="s">
        <v>42</v>
      </c>
      <c r="AP321">
        <v>22.67042</v>
      </c>
    </row>
    <row r="322" spans="1:42" x14ac:dyDescent="0.3">
      <c r="A322" t="s">
        <v>22</v>
      </c>
      <c r="B322">
        <v>3.2199970000000002</v>
      </c>
      <c r="C322" t="s">
        <v>23</v>
      </c>
      <c r="D322">
        <v>1.0142150000000001</v>
      </c>
      <c r="E322" t="s">
        <v>24</v>
      </c>
      <c r="F322">
        <v>1.047634</v>
      </c>
      <c r="G322" t="s">
        <v>25</v>
      </c>
      <c r="H322">
        <v>0.91616900000000001</v>
      </c>
      <c r="I322" t="s">
        <v>26</v>
      </c>
      <c r="J322">
        <v>2.7799999999999998E-4</v>
      </c>
      <c r="K322" t="s">
        <v>27</v>
      </c>
      <c r="L322">
        <v>2.2415999999999998E-2</v>
      </c>
      <c r="M322" t="s">
        <v>28</v>
      </c>
      <c r="N322">
        <v>1.9602000000000001E-2</v>
      </c>
      <c r="O322" t="s">
        <v>29</v>
      </c>
      <c r="P322">
        <v>7.7599000000000001E-2</v>
      </c>
      <c r="Q322" t="s">
        <v>30</v>
      </c>
      <c r="R322">
        <v>-0.10001500000000001</v>
      </c>
      <c r="S322" t="s">
        <v>31</v>
      </c>
      <c r="T322">
        <v>0.59869000000000006</v>
      </c>
      <c r="U322" t="s">
        <v>32</v>
      </c>
      <c r="V322">
        <v>2.6484000000000001E-2</v>
      </c>
      <c r="W322" t="s">
        <v>33</v>
      </c>
      <c r="X322">
        <v>0.17557300000000001</v>
      </c>
      <c r="Y322" t="s">
        <v>34</v>
      </c>
      <c r="Z322">
        <v>0.104183</v>
      </c>
      <c r="AA322" t="s">
        <v>35</v>
      </c>
      <c r="AB322">
        <v>6.6488000000000005E-2</v>
      </c>
      <c r="AC322" t="s">
        <v>36</v>
      </c>
      <c r="AD322">
        <v>0.26582699999999998</v>
      </c>
      <c r="AE322" t="s">
        <v>37</v>
      </c>
      <c r="AF322">
        <v>0.26155299999999998</v>
      </c>
      <c r="AG322" t="s">
        <v>38</v>
      </c>
      <c r="AH322">
        <v>0.98392100000000005</v>
      </c>
      <c r="AI322" t="s">
        <v>39</v>
      </c>
      <c r="AJ322">
        <v>0.77637199999999995</v>
      </c>
      <c r="AK322" t="s">
        <v>40</v>
      </c>
      <c r="AL322">
        <v>0.78449100000000005</v>
      </c>
      <c r="AM322" t="s">
        <v>41</v>
      </c>
      <c r="AN322">
        <v>41.935733999999997</v>
      </c>
      <c r="AO322" t="s">
        <v>42</v>
      </c>
      <c r="AP322">
        <v>22.737185</v>
      </c>
    </row>
    <row r="323" spans="1:42" x14ac:dyDescent="0.3">
      <c r="A323" t="s">
        <v>22</v>
      </c>
      <c r="B323">
        <v>3.229997</v>
      </c>
      <c r="C323" t="s">
        <v>23</v>
      </c>
      <c r="D323">
        <v>1.0140499999999999</v>
      </c>
      <c r="E323" t="s">
        <v>24</v>
      </c>
      <c r="F323">
        <v>1.0472859999999999</v>
      </c>
      <c r="G323" t="s">
        <v>25</v>
      </c>
      <c r="H323">
        <v>0.91616900000000001</v>
      </c>
      <c r="I323" t="s">
        <v>26</v>
      </c>
      <c r="J323">
        <v>2.7599999999999999E-4</v>
      </c>
      <c r="K323" t="s">
        <v>27</v>
      </c>
      <c r="L323">
        <v>2.2408000000000001E-2</v>
      </c>
      <c r="M323" t="s">
        <v>28</v>
      </c>
      <c r="N323">
        <v>1.9602000000000001E-2</v>
      </c>
      <c r="O323" t="s">
        <v>29</v>
      </c>
      <c r="P323">
        <v>7.8478000000000006E-2</v>
      </c>
      <c r="Q323" t="s">
        <v>30</v>
      </c>
      <c r="R323">
        <v>-9.8169000000000006E-2</v>
      </c>
      <c r="S323" t="s">
        <v>31</v>
      </c>
      <c r="T323">
        <v>0.59869000000000006</v>
      </c>
      <c r="U323" t="s">
        <v>32</v>
      </c>
      <c r="V323">
        <v>2.6409999999999999E-2</v>
      </c>
      <c r="W323" t="s">
        <v>33</v>
      </c>
      <c r="X323">
        <v>0.17568500000000001</v>
      </c>
      <c r="Y323" t="s">
        <v>34</v>
      </c>
      <c r="Z323">
        <v>0.104183</v>
      </c>
      <c r="AA323" t="s">
        <v>35</v>
      </c>
      <c r="AB323">
        <v>6.6302E-2</v>
      </c>
      <c r="AC323" t="s">
        <v>36</v>
      </c>
      <c r="AD323">
        <v>0.26580500000000001</v>
      </c>
      <c r="AE323" t="s">
        <v>37</v>
      </c>
      <c r="AF323">
        <v>0.26155299999999998</v>
      </c>
      <c r="AG323" t="s">
        <v>38</v>
      </c>
      <c r="AH323">
        <v>0.98400399999999999</v>
      </c>
      <c r="AI323" t="s">
        <v>39</v>
      </c>
      <c r="AJ323">
        <v>0.77641499999999997</v>
      </c>
      <c r="AK323" t="s">
        <v>40</v>
      </c>
      <c r="AL323">
        <v>0.78449100000000005</v>
      </c>
      <c r="AM323" t="s">
        <v>41</v>
      </c>
      <c r="AN323">
        <v>42.065970999999998</v>
      </c>
      <c r="AO323" t="s">
        <v>42</v>
      </c>
      <c r="AP323">
        <v>22.803958999999999</v>
      </c>
    </row>
    <row r="324" spans="1:42" x14ac:dyDescent="0.3">
      <c r="A324" t="s">
        <v>22</v>
      </c>
      <c r="B324">
        <v>3.2399969999999998</v>
      </c>
      <c r="C324" t="s">
        <v>23</v>
      </c>
      <c r="D324">
        <v>1.013884</v>
      </c>
      <c r="E324" t="s">
        <v>24</v>
      </c>
      <c r="F324">
        <v>1.0469409999999999</v>
      </c>
      <c r="G324" t="s">
        <v>25</v>
      </c>
      <c r="H324">
        <v>0.91616900000000001</v>
      </c>
      <c r="I324" t="s">
        <v>26</v>
      </c>
      <c r="J324">
        <v>2.7500000000000002E-4</v>
      </c>
      <c r="K324" t="s">
        <v>27</v>
      </c>
      <c r="L324">
        <v>2.2401000000000001E-2</v>
      </c>
      <c r="M324" t="s">
        <v>28</v>
      </c>
      <c r="N324">
        <v>1.9602000000000001E-2</v>
      </c>
      <c r="O324" t="s">
        <v>29</v>
      </c>
      <c r="P324">
        <v>7.9355999999999996E-2</v>
      </c>
      <c r="Q324" t="s">
        <v>30</v>
      </c>
      <c r="R324">
        <v>-9.6333000000000002E-2</v>
      </c>
      <c r="S324" t="s">
        <v>31</v>
      </c>
      <c r="T324">
        <v>0.59869000000000006</v>
      </c>
      <c r="U324" t="s">
        <v>32</v>
      </c>
      <c r="V324">
        <v>2.6335999999999998E-2</v>
      </c>
      <c r="W324" t="s">
        <v>33</v>
      </c>
      <c r="X324">
        <v>0.17579800000000001</v>
      </c>
      <c r="Y324" t="s">
        <v>34</v>
      </c>
      <c r="Z324">
        <v>0.104183</v>
      </c>
      <c r="AA324" t="s">
        <v>35</v>
      </c>
      <c r="AB324">
        <v>6.6115999999999994E-2</v>
      </c>
      <c r="AC324" t="s">
        <v>36</v>
      </c>
      <c r="AD324">
        <v>0.26578299999999999</v>
      </c>
      <c r="AE324" t="s">
        <v>37</v>
      </c>
      <c r="AF324">
        <v>0.26155299999999998</v>
      </c>
      <c r="AG324" t="s">
        <v>38</v>
      </c>
      <c r="AH324">
        <v>0.98408600000000002</v>
      </c>
      <c r="AI324" t="s">
        <v>39</v>
      </c>
      <c r="AJ324">
        <v>0.77645699999999995</v>
      </c>
      <c r="AK324" t="s">
        <v>40</v>
      </c>
      <c r="AL324">
        <v>0.78449100000000005</v>
      </c>
      <c r="AM324" t="s">
        <v>41</v>
      </c>
      <c r="AN324">
        <v>42.196204999999999</v>
      </c>
      <c r="AO324" t="s">
        <v>42</v>
      </c>
      <c r="AP324">
        <v>22.870739</v>
      </c>
    </row>
    <row r="325" spans="1:42" x14ac:dyDescent="0.3">
      <c r="A325" t="s">
        <v>22</v>
      </c>
      <c r="B325">
        <v>3.249997</v>
      </c>
      <c r="C325" t="s">
        <v>23</v>
      </c>
      <c r="D325">
        <v>1.013719</v>
      </c>
      <c r="E325" t="s">
        <v>24</v>
      </c>
      <c r="F325">
        <v>1.046597</v>
      </c>
      <c r="G325" t="s">
        <v>25</v>
      </c>
      <c r="H325">
        <v>0.91616900000000001</v>
      </c>
      <c r="I325" t="s">
        <v>26</v>
      </c>
      <c r="J325">
        <v>2.7399999999999999E-4</v>
      </c>
      <c r="K325" t="s">
        <v>27</v>
      </c>
      <c r="L325">
        <v>2.2393E-2</v>
      </c>
      <c r="M325" t="s">
        <v>28</v>
      </c>
      <c r="N325">
        <v>1.9602000000000001E-2</v>
      </c>
      <c r="O325" t="s">
        <v>29</v>
      </c>
      <c r="P325">
        <v>8.0234E-2</v>
      </c>
      <c r="Q325" t="s">
        <v>30</v>
      </c>
      <c r="R325">
        <v>-9.4506000000000007E-2</v>
      </c>
      <c r="S325" t="s">
        <v>31</v>
      </c>
      <c r="T325">
        <v>0.59869000000000006</v>
      </c>
      <c r="U325" t="s">
        <v>32</v>
      </c>
      <c r="V325">
        <v>2.6262000000000001E-2</v>
      </c>
      <c r="W325" t="s">
        <v>33</v>
      </c>
      <c r="X325">
        <v>0.17591000000000001</v>
      </c>
      <c r="Y325" t="s">
        <v>34</v>
      </c>
      <c r="Z325">
        <v>0.104183</v>
      </c>
      <c r="AA325" t="s">
        <v>35</v>
      </c>
      <c r="AB325">
        <v>6.5932000000000004E-2</v>
      </c>
      <c r="AC325" t="s">
        <v>36</v>
      </c>
      <c r="AD325">
        <v>0.26576100000000002</v>
      </c>
      <c r="AE325" t="s">
        <v>37</v>
      </c>
      <c r="AF325">
        <v>0.26155299999999998</v>
      </c>
      <c r="AG325" t="s">
        <v>38</v>
      </c>
      <c r="AH325">
        <v>0.98416800000000004</v>
      </c>
      <c r="AI325" t="s">
        <v>39</v>
      </c>
      <c r="AJ325">
        <v>0.77649999999999997</v>
      </c>
      <c r="AK325" t="s">
        <v>40</v>
      </c>
      <c r="AL325">
        <v>0.78449100000000005</v>
      </c>
      <c r="AM325" t="s">
        <v>41</v>
      </c>
      <c r="AN325">
        <v>42.326442999999998</v>
      </c>
      <c r="AO325" t="s">
        <v>42</v>
      </c>
      <c r="AP325">
        <v>22.937522999999999</v>
      </c>
    </row>
    <row r="326" spans="1:42" x14ac:dyDescent="0.3">
      <c r="A326" t="s">
        <v>22</v>
      </c>
      <c r="B326">
        <v>3.2599969999999998</v>
      </c>
      <c r="C326" t="s">
        <v>23</v>
      </c>
      <c r="D326">
        <v>1.013555</v>
      </c>
      <c r="E326" t="s">
        <v>24</v>
      </c>
      <c r="F326">
        <v>1.0462549999999999</v>
      </c>
      <c r="G326" t="s">
        <v>25</v>
      </c>
      <c r="H326">
        <v>0.91616900000000001</v>
      </c>
      <c r="I326" t="s">
        <v>26</v>
      </c>
      <c r="J326">
        <v>2.7300000000000002E-4</v>
      </c>
      <c r="K326" t="s">
        <v>27</v>
      </c>
      <c r="L326">
        <v>2.2386E-2</v>
      </c>
      <c r="M326" t="s">
        <v>28</v>
      </c>
      <c r="N326">
        <v>1.9602000000000001E-2</v>
      </c>
      <c r="O326" t="s">
        <v>29</v>
      </c>
      <c r="P326">
        <v>8.1108E-2</v>
      </c>
      <c r="Q326" t="s">
        <v>30</v>
      </c>
      <c r="R326">
        <v>-9.2688000000000006E-2</v>
      </c>
      <c r="S326" t="s">
        <v>31</v>
      </c>
      <c r="T326">
        <v>0.59869000000000006</v>
      </c>
      <c r="U326" t="s">
        <v>32</v>
      </c>
      <c r="V326">
        <v>2.6189E-2</v>
      </c>
      <c r="W326" t="s">
        <v>33</v>
      </c>
      <c r="X326">
        <v>0.17602200000000001</v>
      </c>
      <c r="Y326" t="s">
        <v>34</v>
      </c>
      <c r="Z326">
        <v>0.104183</v>
      </c>
      <c r="AA326" t="s">
        <v>35</v>
      </c>
      <c r="AB326">
        <v>6.5748000000000001E-2</v>
      </c>
      <c r="AC326" t="s">
        <v>36</v>
      </c>
      <c r="AD326">
        <v>0.265739</v>
      </c>
      <c r="AE326" t="s">
        <v>37</v>
      </c>
      <c r="AF326">
        <v>0.26155299999999998</v>
      </c>
      <c r="AG326" t="s">
        <v>38</v>
      </c>
      <c r="AH326">
        <v>0.98424900000000004</v>
      </c>
      <c r="AI326" t="s">
        <v>39</v>
      </c>
      <c r="AJ326">
        <v>0.77654199999999995</v>
      </c>
      <c r="AK326" t="s">
        <v>40</v>
      </c>
      <c r="AL326">
        <v>0.78449100000000005</v>
      </c>
      <c r="AM326" t="s">
        <v>41</v>
      </c>
      <c r="AN326">
        <v>42.456676000000002</v>
      </c>
      <c r="AO326" t="s">
        <v>42</v>
      </c>
      <c r="AP326">
        <v>23.004315999999999</v>
      </c>
    </row>
    <row r="327" spans="1:42" x14ac:dyDescent="0.3">
      <c r="A327" t="s">
        <v>22</v>
      </c>
      <c r="B327">
        <v>3.269997</v>
      </c>
      <c r="C327" t="s">
        <v>23</v>
      </c>
      <c r="D327">
        <v>1.0133909999999999</v>
      </c>
      <c r="E327" t="s">
        <v>24</v>
      </c>
      <c r="F327">
        <v>1.0459149999999999</v>
      </c>
      <c r="G327" t="s">
        <v>25</v>
      </c>
      <c r="H327">
        <v>0.91616900000000001</v>
      </c>
      <c r="I327" t="s">
        <v>26</v>
      </c>
      <c r="J327">
        <v>2.72E-4</v>
      </c>
      <c r="K327" t="s">
        <v>27</v>
      </c>
      <c r="L327">
        <v>2.2379E-2</v>
      </c>
      <c r="M327" t="s">
        <v>28</v>
      </c>
      <c r="N327">
        <v>1.9602000000000001E-2</v>
      </c>
      <c r="O327" t="s">
        <v>29</v>
      </c>
      <c r="P327">
        <v>8.1978999999999996E-2</v>
      </c>
      <c r="Q327" t="s">
        <v>30</v>
      </c>
      <c r="R327">
        <v>-9.0880000000000002E-2</v>
      </c>
      <c r="S327" t="s">
        <v>31</v>
      </c>
      <c r="T327">
        <v>0.59869000000000006</v>
      </c>
      <c r="U327" t="s">
        <v>32</v>
      </c>
      <c r="V327">
        <v>2.6116E-2</v>
      </c>
      <c r="W327" t="s">
        <v>33</v>
      </c>
      <c r="X327">
        <v>0.17613500000000001</v>
      </c>
      <c r="Y327" t="s">
        <v>34</v>
      </c>
      <c r="Z327">
        <v>0.104183</v>
      </c>
      <c r="AA327" t="s">
        <v>35</v>
      </c>
      <c r="AB327">
        <v>6.5564999999999998E-2</v>
      </c>
      <c r="AC327" t="s">
        <v>36</v>
      </c>
      <c r="AD327">
        <v>0.26571699999999998</v>
      </c>
      <c r="AE327" t="s">
        <v>37</v>
      </c>
      <c r="AF327">
        <v>0.26155299999999998</v>
      </c>
      <c r="AG327" t="s">
        <v>38</v>
      </c>
      <c r="AH327">
        <v>0.98432900000000001</v>
      </c>
      <c r="AI327" t="s">
        <v>39</v>
      </c>
      <c r="AJ327">
        <v>0.77658499999999997</v>
      </c>
      <c r="AK327" t="s">
        <v>40</v>
      </c>
      <c r="AL327">
        <v>0.78449100000000005</v>
      </c>
      <c r="AM327" t="s">
        <v>41</v>
      </c>
      <c r="AN327">
        <v>42.586910000000003</v>
      </c>
      <c r="AO327" t="s">
        <v>42</v>
      </c>
      <c r="AP327">
        <v>23.071114000000001</v>
      </c>
    </row>
    <row r="328" spans="1:42" x14ac:dyDescent="0.3">
      <c r="A328" t="s">
        <v>22</v>
      </c>
      <c r="B328">
        <v>3.2799969999999998</v>
      </c>
      <c r="C328" t="s">
        <v>23</v>
      </c>
      <c r="D328">
        <v>1.0132270000000001</v>
      </c>
      <c r="E328" t="s">
        <v>24</v>
      </c>
      <c r="F328">
        <v>1.0455760000000001</v>
      </c>
      <c r="G328" t="s">
        <v>25</v>
      </c>
      <c r="H328">
        <v>0.91616900000000001</v>
      </c>
      <c r="I328" t="s">
        <v>26</v>
      </c>
      <c r="J328">
        <v>2.7099999999999997E-4</v>
      </c>
      <c r="K328" t="s">
        <v>27</v>
      </c>
      <c r="L328">
        <v>2.2372E-2</v>
      </c>
      <c r="M328" t="s">
        <v>28</v>
      </c>
      <c r="N328">
        <v>1.9602000000000001E-2</v>
      </c>
      <c r="O328" t="s">
        <v>29</v>
      </c>
      <c r="P328">
        <v>8.2849999999999993E-2</v>
      </c>
      <c r="Q328" t="s">
        <v>30</v>
      </c>
      <c r="R328">
        <v>-8.9080999999999994E-2</v>
      </c>
      <c r="S328" t="s">
        <v>31</v>
      </c>
      <c r="T328">
        <v>0.59869000000000006</v>
      </c>
      <c r="U328" t="s">
        <v>32</v>
      </c>
      <c r="V328">
        <v>2.6044000000000001E-2</v>
      </c>
      <c r="W328" t="s">
        <v>33</v>
      </c>
      <c r="X328">
        <v>0.17624799999999999</v>
      </c>
      <c r="Y328" t="s">
        <v>34</v>
      </c>
      <c r="Z328">
        <v>0.104183</v>
      </c>
      <c r="AA328" t="s">
        <v>35</v>
      </c>
      <c r="AB328">
        <v>6.5383999999999998E-2</v>
      </c>
      <c r="AC328" t="s">
        <v>36</v>
      </c>
      <c r="AD328">
        <v>0.26569599999999999</v>
      </c>
      <c r="AE328" t="s">
        <v>37</v>
      </c>
      <c r="AF328">
        <v>0.26155299999999998</v>
      </c>
      <c r="AG328" t="s">
        <v>38</v>
      </c>
      <c r="AH328">
        <v>0.98440899999999998</v>
      </c>
      <c r="AI328" t="s">
        <v>39</v>
      </c>
      <c r="AJ328">
        <v>0.77662500000000001</v>
      </c>
      <c r="AK328" t="s">
        <v>40</v>
      </c>
      <c r="AL328">
        <v>0.78449100000000005</v>
      </c>
      <c r="AM328" t="s">
        <v>41</v>
      </c>
      <c r="AN328">
        <v>42.717148000000002</v>
      </c>
      <c r="AO328" t="s">
        <v>42</v>
      </c>
      <c r="AP328">
        <v>23.137917000000002</v>
      </c>
    </row>
    <row r="329" spans="1:42" x14ac:dyDescent="0.3">
      <c r="A329" t="s">
        <v>22</v>
      </c>
      <c r="B329">
        <v>3.2899970000000001</v>
      </c>
      <c r="C329" t="s">
        <v>23</v>
      </c>
      <c r="D329">
        <v>1.013063</v>
      </c>
      <c r="E329" t="s">
        <v>24</v>
      </c>
      <c r="F329">
        <v>1.045239</v>
      </c>
      <c r="G329" t="s">
        <v>25</v>
      </c>
      <c r="H329">
        <v>0.91616900000000001</v>
      </c>
      <c r="I329" t="s">
        <v>26</v>
      </c>
      <c r="J329">
        <v>2.6899999999999998E-4</v>
      </c>
      <c r="K329" t="s">
        <v>27</v>
      </c>
      <c r="L329">
        <v>2.2363999999999998E-2</v>
      </c>
      <c r="M329" t="s">
        <v>28</v>
      </c>
      <c r="N329">
        <v>1.9602000000000001E-2</v>
      </c>
      <c r="O329" t="s">
        <v>29</v>
      </c>
      <c r="P329">
        <v>8.3719000000000002E-2</v>
      </c>
      <c r="Q329" t="s">
        <v>30</v>
      </c>
      <c r="R329">
        <v>-8.7290000000000006E-2</v>
      </c>
      <c r="S329" t="s">
        <v>31</v>
      </c>
      <c r="T329">
        <v>0.59869000000000006</v>
      </c>
      <c r="U329" t="s">
        <v>32</v>
      </c>
      <c r="V329">
        <v>2.5971999999999999E-2</v>
      </c>
      <c r="W329" t="s">
        <v>33</v>
      </c>
      <c r="X329">
        <v>0.17636099999999999</v>
      </c>
      <c r="Y329" t="s">
        <v>34</v>
      </c>
      <c r="Z329">
        <v>0.104183</v>
      </c>
      <c r="AA329" t="s">
        <v>35</v>
      </c>
      <c r="AB329">
        <v>6.5202999999999997E-2</v>
      </c>
      <c r="AC329" t="s">
        <v>36</v>
      </c>
      <c r="AD329">
        <v>0.26567400000000002</v>
      </c>
      <c r="AE329" t="s">
        <v>37</v>
      </c>
      <c r="AF329">
        <v>0.26155299999999998</v>
      </c>
      <c r="AG329" t="s">
        <v>38</v>
      </c>
      <c r="AH329">
        <v>0.98448800000000003</v>
      </c>
      <c r="AI329" t="s">
        <v>39</v>
      </c>
      <c r="AJ329">
        <v>0.776667</v>
      </c>
      <c r="AK329" t="s">
        <v>40</v>
      </c>
      <c r="AL329">
        <v>0.78449100000000005</v>
      </c>
      <c r="AM329" t="s">
        <v>41</v>
      </c>
      <c r="AN329">
        <v>42.847382000000003</v>
      </c>
      <c r="AO329" t="s">
        <v>42</v>
      </c>
      <c r="AP329">
        <v>23.204723000000001</v>
      </c>
    </row>
    <row r="330" spans="1:42" x14ac:dyDescent="0.3">
      <c r="A330" t="s">
        <v>22</v>
      </c>
      <c r="B330">
        <v>3.2999969999999998</v>
      </c>
      <c r="C330" t="s">
        <v>23</v>
      </c>
      <c r="D330">
        <v>1.0128999999999999</v>
      </c>
      <c r="E330" t="s">
        <v>24</v>
      </c>
      <c r="F330">
        <v>1.0449040000000001</v>
      </c>
      <c r="G330" t="s">
        <v>25</v>
      </c>
      <c r="H330">
        <v>0.91616900000000001</v>
      </c>
      <c r="I330" t="s">
        <v>26</v>
      </c>
      <c r="J330">
        <v>2.6800000000000001E-4</v>
      </c>
      <c r="K330" t="s">
        <v>27</v>
      </c>
      <c r="L330">
        <v>2.2356999999999998E-2</v>
      </c>
      <c r="M330" t="s">
        <v>28</v>
      </c>
      <c r="N330">
        <v>1.9602000000000001E-2</v>
      </c>
      <c r="O330" t="s">
        <v>29</v>
      </c>
      <c r="P330">
        <v>8.4585999999999995E-2</v>
      </c>
      <c r="Q330" t="s">
        <v>30</v>
      </c>
      <c r="R330">
        <v>-8.5509000000000002E-2</v>
      </c>
      <c r="S330" t="s">
        <v>31</v>
      </c>
      <c r="T330">
        <v>0.59869000000000006</v>
      </c>
      <c r="U330" t="s">
        <v>32</v>
      </c>
      <c r="V330">
        <v>2.5899999999999999E-2</v>
      </c>
      <c r="W330" t="s">
        <v>33</v>
      </c>
      <c r="X330">
        <v>0.17647299999999999</v>
      </c>
      <c r="Y330" t="s">
        <v>34</v>
      </c>
      <c r="Z330">
        <v>0.104183</v>
      </c>
      <c r="AA330" t="s">
        <v>35</v>
      </c>
      <c r="AB330">
        <v>6.5022999999999997E-2</v>
      </c>
      <c r="AC330" t="s">
        <v>36</v>
      </c>
      <c r="AD330">
        <v>0.26565299999999997</v>
      </c>
      <c r="AE330" t="s">
        <v>37</v>
      </c>
      <c r="AF330">
        <v>0.26155299999999998</v>
      </c>
      <c r="AG330" t="s">
        <v>38</v>
      </c>
      <c r="AH330">
        <v>0.98456699999999997</v>
      </c>
      <c r="AI330" t="s">
        <v>39</v>
      </c>
      <c r="AJ330">
        <v>0.77670700000000004</v>
      </c>
      <c r="AK330" t="s">
        <v>40</v>
      </c>
      <c r="AL330">
        <v>0.78449100000000005</v>
      </c>
      <c r="AM330" t="s">
        <v>41</v>
      </c>
      <c r="AN330">
        <v>42.977615</v>
      </c>
      <c r="AO330" t="s">
        <v>42</v>
      </c>
      <c r="AP330">
        <v>23.271542</v>
      </c>
    </row>
    <row r="331" spans="1:42" x14ac:dyDescent="0.3">
      <c r="A331" t="s">
        <v>22</v>
      </c>
      <c r="B331">
        <v>3.3099970000000001</v>
      </c>
      <c r="C331" t="s">
        <v>23</v>
      </c>
      <c r="D331">
        <v>1.0127379999999999</v>
      </c>
      <c r="E331" t="s">
        <v>24</v>
      </c>
      <c r="F331">
        <v>1.0445709999999999</v>
      </c>
      <c r="G331" t="s">
        <v>25</v>
      </c>
      <c r="H331">
        <v>0.91616900000000001</v>
      </c>
      <c r="I331" t="s">
        <v>26</v>
      </c>
      <c r="J331">
        <v>2.6699999999999998E-4</v>
      </c>
      <c r="K331" t="s">
        <v>27</v>
      </c>
      <c r="L331">
        <v>2.2349999999999998E-2</v>
      </c>
      <c r="M331" t="s">
        <v>28</v>
      </c>
      <c r="N331">
        <v>1.9602000000000001E-2</v>
      </c>
      <c r="O331" t="s">
        <v>29</v>
      </c>
      <c r="P331">
        <v>8.5450999999999999E-2</v>
      </c>
      <c r="Q331" t="s">
        <v>30</v>
      </c>
      <c r="R331">
        <v>-8.3736000000000005E-2</v>
      </c>
      <c r="S331" t="s">
        <v>31</v>
      </c>
      <c r="T331">
        <v>0.59869000000000006</v>
      </c>
      <c r="U331" t="s">
        <v>32</v>
      </c>
      <c r="V331">
        <v>2.5829000000000001E-2</v>
      </c>
      <c r="W331" t="s">
        <v>33</v>
      </c>
      <c r="X331">
        <v>0.17658599999999999</v>
      </c>
      <c r="Y331" t="s">
        <v>34</v>
      </c>
      <c r="Z331">
        <v>0.104183</v>
      </c>
      <c r="AA331" t="s">
        <v>35</v>
      </c>
      <c r="AB331">
        <v>6.4843999999999999E-2</v>
      </c>
      <c r="AC331" t="s">
        <v>36</v>
      </c>
      <c r="AD331">
        <v>0.26563199999999998</v>
      </c>
      <c r="AE331" t="s">
        <v>37</v>
      </c>
      <c r="AF331">
        <v>0.26155299999999998</v>
      </c>
      <c r="AG331" t="s">
        <v>38</v>
      </c>
      <c r="AH331">
        <v>0.98464499999999999</v>
      </c>
      <c r="AI331" t="s">
        <v>39</v>
      </c>
      <c r="AJ331">
        <v>0.77674699999999997</v>
      </c>
      <c r="AK331" t="s">
        <v>40</v>
      </c>
      <c r="AL331">
        <v>0.78449100000000005</v>
      </c>
      <c r="AM331" t="s">
        <v>41</v>
      </c>
      <c r="AN331">
        <v>43.107852999999999</v>
      </c>
      <c r="AO331" t="s">
        <v>42</v>
      </c>
      <c r="AP331">
        <v>23.338362</v>
      </c>
    </row>
    <row r="332" spans="1:42" x14ac:dyDescent="0.3">
      <c r="A332" t="s">
        <v>22</v>
      </c>
      <c r="B332">
        <v>3.3199969999999999</v>
      </c>
      <c r="C332" t="s">
        <v>23</v>
      </c>
      <c r="D332">
        <v>1.012575</v>
      </c>
      <c r="E332" t="s">
        <v>24</v>
      </c>
      <c r="F332">
        <v>1.0442389999999999</v>
      </c>
      <c r="G332" t="s">
        <v>25</v>
      </c>
      <c r="H332">
        <v>0.91616900000000001</v>
      </c>
      <c r="I332" t="s">
        <v>26</v>
      </c>
      <c r="J332">
        <v>2.6600000000000001E-4</v>
      </c>
      <c r="K332" t="s">
        <v>27</v>
      </c>
      <c r="L332">
        <v>2.2342999999999998E-2</v>
      </c>
      <c r="M332" t="s">
        <v>28</v>
      </c>
      <c r="N332">
        <v>1.9602000000000001E-2</v>
      </c>
      <c r="O332" t="s">
        <v>29</v>
      </c>
      <c r="P332">
        <v>8.6313000000000001E-2</v>
      </c>
      <c r="Q332" t="s">
        <v>30</v>
      </c>
      <c r="R332">
        <v>-8.1973000000000004E-2</v>
      </c>
      <c r="S332" t="s">
        <v>31</v>
      </c>
      <c r="T332">
        <v>0.59869000000000006</v>
      </c>
      <c r="U332" t="s">
        <v>32</v>
      </c>
      <c r="V332">
        <v>2.5758E-2</v>
      </c>
      <c r="W332" t="s">
        <v>33</v>
      </c>
      <c r="X332">
        <v>0.17669899999999999</v>
      </c>
      <c r="Y332" t="s">
        <v>34</v>
      </c>
      <c r="Z332">
        <v>0.104183</v>
      </c>
      <c r="AA332" t="s">
        <v>35</v>
      </c>
      <c r="AB332">
        <v>6.4666000000000001E-2</v>
      </c>
      <c r="AC332" t="s">
        <v>36</v>
      </c>
      <c r="AD332">
        <v>0.26561099999999999</v>
      </c>
      <c r="AE332" t="s">
        <v>37</v>
      </c>
      <c r="AF332">
        <v>0.26155299999999998</v>
      </c>
      <c r="AG332" t="s">
        <v>38</v>
      </c>
      <c r="AH332">
        <v>0.98472199999999999</v>
      </c>
      <c r="AI332" t="s">
        <v>39</v>
      </c>
      <c r="AJ332">
        <v>0.77678700000000001</v>
      </c>
      <c r="AK332" t="s">
        <v>40</v>
      </c>
      <c r="AL332">
        <v>0.78449100000000005</v>
      </c>
      <c r="AM332" t="s">
        <v>41</v>
      </c>
      <c r="AN332">
        <v>43.238087</v>
      </c>
      <c r="AO332" t="s">
        <v>42</v>
      </c>
      <c r="AP332">
        <v>23.405186</v>
      </c>
    </row>
    <row r="333" spans="1:42" x14ac:dyDescent="0.3">
      <c r="A333" t="s">
        <v>22</v>
      </c>
      <c r="B333">
        <v>3.3299970000000001</v>
      </c>
      <c r="C333" t="s">
        <v>23</v>
      </c>
      <c r="D333">
        <v>1.012413</v>
      </c>
      <c r="E333" t="s">
        <v>24</v>
      </c>
      <c r="F333">
        <v>1.043909</v>
      </c>
      <c r="G333" t="s">
        <v>25</v>
      </c>
      <c r="H333">
        <v>0.91616900000000001</v>
      </c>
      <c r="I333" t="s">
        <v>26</v>
      </c>
      <c r="J333">
        <v>2.6499999999999999E-4</v>
      </c>
      <c r="K333" t="s">
        <v>27</v>
      </c>
      <c r="L333">
        <v>2.2336000000000002E-2</v>
      </c>
      <c r="M333" t="s">
        <v>28</v>
      </c>
      <c r="N333">
        <v>1.9602000000000001E-2</v>
      </c>
      <c r="O333" t="s">
        <v>29</v>
      </c>
      <c r="P333">
        <v>8.7175000000000002E-2</v>
      </c>
      <c r="Q333" t="s">
        <v>30</v>
      </c>
      <c r="R333">
        <v>-8.0217999999999998E-2</v>
      </c>
      <c r="S333" t="s">
        <v>31</v>
      </c>
      <c r="T333">
        <v>0.59869000000000006</v>
      </c>
      <c r="U333" t="s">
        <v>32</v>
      </c>
      <c r="V333">
        <v>2.5687999999999999E-2</v>
      </c>
      <c r="W333" t="s">
        <v>33</v>
      </c>
      <c r="X333">
        <v>0.176812</v>
      </c>
      <c r="Y333" t="s">
        <v>34</v>
      </c>
      <c r="Z333">
        <v>0.104183</v>
      </c>
      <c r="AA333" t="s">
        <v>35</v>
      </c>
      <c r="AB333">
        <v>6.4489000000000005E-2</v>
      </c>
      <c r="AC333" t="s">
        <v>36</v>
      </c>
      <c r="AD333">
        <v>0.26558999999999999</v>
      </c>
      <c r="AE333" t="s">
        <v>37</v>
      </c>
      <c r="AF333">
        <v>0.26155299999999998</v>
      </c>
      <c r="AG333" t="s">
        <v>38</v>
      </c>
      <c r="AH333">
        <v>0.98479899999999998</v>
      </c>
      <c r="AI333" t="s">
        <v>39</v>
      </c>
      <c r="AJ333">
        <v>0.77682799999999996</v>
      </c>
      <c r="AK333" t="s">
        <v>40</v>
      </c>
      <c r="AL333">
        <v>0.78449100000000005</v>
      </c>
      <c r="AM333" t="s">
        <v>41</v>
      </c>
      <c r="AN333">
        <v>43.368324000000001</v>
      </c>
      <c r="AO333" t="s">
        <v>42</v>
      </c>
      <c r="AP333">
        <v>23.472021000000002</v>
      </c>
    </row>
    <row r="334" spans="1:42" x14ac:dyDescent="0.3">
      <c r="A334" t="s">
        <v>22</v>
      </c>
      <c r="B334">
        <v>3.3399969999999999</v>
      </c>
      <c r="C334" t="s">
        <v>23</v>
      </c>
      <c r="D334">
        <v>1.012251</v>
      </c>
      <c r="E334" t="s">
        <v>24</v>
      </c>
      <c r="F334">
        <v>1.04358</v>
      </c>
      <c r="G334" t="s">
        <v>25</v>
      </c>
      <c r="H334">
        <v>0.91616900000000001</v>
      </c>
      <c r="I334" t="s">
        <v>26</v>
      </c>
      <c r="J334">
        <v>2.6400000000000002E-4</v>
      </c>
      <c r="K334" t="s">
        <v>27</v>
      </c>
      <c r="L334">
        <v>2.2329000000000002E-2</v>
      </c>
      <c r="M334" t="s">
        <v>28</v>
      </c>
      <c r="N334">
        <v>1.9602000000000001E-2</v>
      </c>
      <c r="O334" t="s">
        <v>29</v>
      </c>
      <c r="P334">
        <v>8.8035000000000002E-2</v>
      </c>
      <c r="Q334" t="s">
        <v>30</v>
      </c>
      <c r="R334">
        <v>-7.8472E-2</v>
      </c>
      <c r="S334" t="s">
        <v>31</v>
      </c>
      <c r="T334">
        <v>0.59869000000000006</v>
      </c>
      <c r="U334" t="s">
        <v>32</v>
      </c>
      <c r="V334">
        <v>2.5617999999999998E-2</v>
      </c>
      <c r="W334" t="s">
        <v>33</v>
      </c>
      <c r="X334">
        <v>0.176926</v>
      </c>
      <c r="Y334" t="s">
        <v>34</v>
      </c>
      <c r="Z334">
        <v>0.104183</v>
      </c>
      <c r="AA334" t="s">
        <v>35</v>
      </c>
      <c r="AB334">
        <v>6.4312999999999995E-2</v>
      </c>
      <c r="AC334" t="s">
        <v>36</v>
      </c>
      <c r="AD334">
        <v>0.26556999999999997</v>
      </c>
      <c r="AE334" t="s">
        <v>37</v>
      </c>
      <c r="AF334">
        <v>0.26155299999999998</v>
      </c>
      <c r="AG334" t="s">
        <v>38</v>
      </c>
      <c r="AH334">
        <v>0.98487499999999994</v>
      </c>
      <c r="AI334" t="s">
        <v>39</v>
      </c>
      <c r="AJ334">
        <v>0.77686699999999997</v>
      </c>
      <c r="AK334" t="s">
        <v>40</v>
      </c>
      <c r="AL334">
        <v>0.78449100000000005</v>
      </c>
      <c r="AM334" t="s">
        <v>41</v>
      </c>
      <c r="AN334">
        <v>43.498558000000003</v>
      </c>
      <c r="AO334" t="s">
        <v>42</v>
      </c>
      <c r="AP334">
        <v>23.538857</v>
      </c>
    </row>
    <row r="335" spans="1:42" x14ac:dyDescent="0.3">
      <c r="A335" t="s">
        <v>22</v>
      </c>
      <c r="B335">
        <v>3.3499970000000001</v>
      </c>
      <c r="C335" t="s">
        <v>23</v>
      </c>
      <c r="D335">
        <v>1.0120899999999999</v>
      </c>
      <c r="E335" t="s">
        <v>24</v>
      </c>
      <c r="F335">
        <v>1.0432539999999999</v>
      </c>
      <c r="G335" t="s">
        <v>25</v>
      </c>
      <c r="H335">
        <v>0.91616900000000001</v>
      </c>
      <c r="I335" t="s">
        <v>26</v>
      </c>
      <c r="J335">
        <v>2.63E-4</v>
      </c>
      <c r="K335" t="s">
        <v>27</v>
      </c>
      <c r="L335">
        <v>2.2322000000000002E-2</v>
      </c>
      <c r="M335" t="s">
        <v>28</v>
      </c>
      <c r="N335">
        <v>1.9602000000000001E-2</v>
      </c>
      <c r="O335" t="s">
        <v>29</v>
      </c>
      <c r="P335">
        <v>8.8891999999999999E-2</v>
      </c>
      <c r="Q335" t="s">
        <v>30</v>
      </c>
      <c r="R335">
        <v>-7.6735999999999999E-2</v>
      </c>
      <c r="S335" t="s">
        <v>31</v>
      </c>
      <c r="T335">
        <v>0.59869000000000006</v>
      </c>
      <c r="U335" t="s">
        <v>32</v>
      </c>
      <c r="V335">
        <v>2.5548000000000001E-2</v>
      </c>
      <c r="W335" t="s">
        <v>33</v>
      </c>
      <c r="X335">
        <v>0.177039</v>
      </c>
      <c r="Y335" t="s">
        <v>34</v>
      </c>
      <c r="Z335">
        <v>0.104183</v>
      </c>
      <c r="AA335" t="s">
        <v>35</v>
      </c>
      <c r="AB335">
        <v>6.4138000000000001E-2</v>
      </c>
      <c r="AC335" t="s">
        <v>36</v>
      </c>
      <c r="AD335">
        <v>0.26554899999999998</v>
      </c>
      <c r="AE335" t="s">
        <v>37</v>
      </c>
      <c r="AF335">
        <v>0.26155299999999998</v>
      </c>
      <c r="AG335" t="s">
        <v>38</v>
      </c>
      <c r="AH335">
        <v>0.98495100000000002</v>
      </c>
      <c r="AI335" t="s">
        <v>39</v>
      </c>
      <c r="AJ335">
        <v>0.77690700000000001</v>
      </c>
      <c r="AK335" t="s">
        <v>40</v>
      </c>
      <c r="AL335">
        <v>0.78449100000000005</v>
      </c>
      <c r="AM335" t="s">
        <v>41</v>
      </c>
      <c r="AN335">
        <v>43.628791999999997</v>
      </c>
      <c r="AO335" t="s">
        <v>42</v>
      </c>
      <c r="AP335">
        <v>23.605702999999998</v>
      </c>
    </row>
    <row r="336" spans="1:42" x14ac:dyDescent="0.3">
      <c r="A336" t="s">
        <v>22</v>
      </c>
      <c r="B336">
        <v>3.3599969999999999</v>
      </c>
      <c r="C336" t="s">
        <v>23</v>
      </c>
      <c r="D336">
        <v>1.0119290000000001</v>
      </c>
      <c r="E336" t="s">
        <v>24</v>
      </c>
      <c r="F336">
        <v>1.0429280000000001</v>
      </c>
      <c r="G336" t="s">
        <v>25</v>
      </c>
      <c r="H336">
        <v>0.91616900000000001</v>
      </c>
      <c r="I336" t="s">
        <v>26</v>
      </c>
      <c r="J336">
        <v>2.6200000000000003E-4</v>
      </c>
      <c r="K336" t="s">
        <v>27</v>
      </c>
      <c r="L336">
        <v>2.2315000000000002E-2</v>
      </c>
      <c r="M336" t="s">
        <v>28</v>
      </c>
      <c r="N336">
        <v>1.9602000000000001E-2</v>
      </c>
      <c r="O336" t="s">
        <v>29</v>
      </c>
      <c r="P336">
        <v>8.9746999999999993E-2</v>
      </c>
      <c r="Q336" t="s">
        <v>30</v>
      </c>
      <c r="R336">
        <v>-7.5006000000000003E-2</v>
      </c>
      <c r="S336" t="s">
        <v>31</v>
      </c>
      <c r="T336">
        <v>0.59869000000000006</v>
      </c>
      <c r="U336" t="s">
        <v>32</v>
      </c>
      <c r="V336">
        <v>2.5478000000000001E-2</v>
      </c>
      <c r="W336" t="s">
        <v>33</v>
      </c>
      <c r="X336">
        <v>0.177152</v>
      </c>
      <c r="Y336" t="s">
        <v>34</v>
      </c>
      <c r="Z336">
        <v>0.104183</v>
      </c>
      <c r="AA336" t="s">
        <v>35</v>
      </c>
      <c r="AB336">
        <v>6.3963999999999993E-2</v>
      </c>
      <c r="AC336" t="s">
        <v>36</v>
      </c>
      <c r="AD336">
        <v>0.26552900000000002</v>
      </c>
      <c r="AE336" t="s">
        <v>37</v>
      </c>
      <c r="AF336">
        <v>0.26155299999999998</v>
      </c>
      <c r="AG336" t="s">
        <v>38</v>
      </c>
      <c r="AH336">
        <v>0.98502599999999996</v>
      </c>
      <c r="AI336" t="s">
        <v>39</v>
      </c>
      <c r="AJ336">
        <v>0.776945</v>
      </c>
      <c r="AK336" t="s">
        <v>40</v>
      </c>
      <c r="AL336">
        <v>0.78449100000000005</v>
      </c>
      <c r="AM336" t="s">
        <v>41</v>
      </c>
      <c r="AN336">
        <v>43.759028999999998</v>
      </c>
      <c r="AO336" t="s">
        <v>42</v>
      </c>
      <c r="AP336">
        <v>23.672550000000001</v>
      </c>
    </row>
    <row r="337" spans="1:42" x14ac:dyDescent="0.3">
      <c r="A337" t="s">
        <v>22</v>
      </c>
      <c r="B337">
        <v>3.3699970000000001</v>
      </c>
      <c r="C337" t="s">
        <v>23</v>
      </c>
      <c r="D337">
        <v>1.011768</v>
      </c>
      <c r="E337" t="s">
        <v>24</v>
      </c>
      <c r="F337">
        <v>1.042605</v>
      </c>
      <c r="G337" t="s">
        <v>25</v>
      </c>
      <c r="H337">
        <v>0.91616900000000001</v>
      </c>
      <c r="I337" t="s">
        <v>26</v>
      </c>
      <c r="J337">
        <v>2.5999999999999998E-4</v>
      </c>
      <c r="K337" t="s">
        <v>27</v>
      </c>
      <c r="L337">
        <v>2.2308000000000001E-2</v>
      </c>
      <c r="M337" t="s">
        <v>28</v>
      </c>
      <c r="N337">
        <v>1.9602000000000001E-2</v>
      </c>
      <c r="O337" t="s">
        <v>29</v>
      </c>
      <c r="P337">
        <v>9.0602000000000002E-2</v>
      </c>
      <c r="Q337" t="s">
        <v>30</v>
      </c>
      <c r="R337">
        <v>-7.3287000000000005E-2</v>
      </c>
      <c r="S337" t="s">
        <v>31</v>
      </c>
      <c r="T337">
        <v>0.59869000000000006</v>
      </c>
      <c r="U337" t="s">
        <v>32</v>
      </c>
      <c r="V337">
        <v>2.5409000000000001E-2</v>
      </c>
      <c r="W337" t="s">
        <v>33</v>
      </c>
      <c r="X337">
        <v>0.17726500000000001</v>
      </c>
      <c r="Y337" t="s">
        <v>34</v>
      </c>
      <c r="Z337">
        <v>0.104183</v>
      </c>
      <c r="AA337" t="s">
        <v>35</v>
      </c>
      <c r="AB337">
        <v>6.3789999999999999E-2</v>
      </c>
      <c r="AC337" t="s">
        <v>36</v>
      </c>
      <c r="AD337">
        <v>0.265509</v>
      </c>
      <c r="AE337" t="s">
        <v>37</v>
      </c>
      <c r="AF337">
        <v>0.26155299999999998</v>
      </c>
      <c r="AG337" t="s">
        <v>38</v>
      </c>
      <c r="AH337">
        <v>0.985101</v>
      </c>
      <c r="AI337" t="s">
        <v>39</v>
      </c>
      <c r="AJ337">
        <v>0.77698400000000001</v>
      </c>
      <c r="AK337" t="s">
        <v>40</v>
      </c>
      <c r="AL337">
        <v>0.78449100000000005</v>
      </c>
      <c r="AM337" t="s">
        <v>41</v>
      </c>
      <c r="AN337">
        <v>43.889263</v>
      </c>
      <c r="AO337" t="s">
        <v>42</v>
      </c>
      <c r="AP337">
        <v>23.739405000000001</v>
      </c>
    </row>
    <row r="338" spans="1:42" x14ac:dyDescent="0.3">
      <c r="A338" t="s">
        <v>22</v>
      </c>
      <c r="B338">
        <v>3.3799969999999999</v>
      </c>
      <c r="C338" t="s">
        <v>23</v>
      </c>
      <c r="D338">
        <v>1.0116080000000001</v>
      </c>
      <c r="E338" t="s">
        <v>24</v>
      </c>
      <c r="F338">
        <v>1.0422830000000001</v>
      </c>
      <c r="G338" t="s">
        <v>25</v>
      </c>
      <c r="H338">
        <v>0.91616900000000001</v>
      </c>
      <c r="I338" t="s">
        <v>26</v>
      </c>
      <c r="J338">
        <v>2.5900000000000001E-4</v>
      </c>
      <c r="K338" t="s">
        <v>27</v>
      </c>
      <c r="L338">
        <v>2.2301000000000001E-2</v>
      </c>
      <c r="M338" t="s">
        <v>28</v>
      </c>
      <c r="N338">
        <v>1.9602000000000001E-2</v>
      </c>
      <c r="O338" t="s">
        <v>29</v>
      </c>
      <c r="P338">
        <v>9.1451000000000005E-2</v>
      </c>
      <c r="Q338" t="s">
        <v>30</v>
      </c>
      <c r="R338">
        <v>-7.1575E-2</v>
      </c>
      <c r="S338" t="s">
        <v>31</v>
      </c>
      <c r="T338">
        <v>0.59869000000000006</v>
      </c>
      <c r="U338" t="s">
        <v>32</v>
      </c>
      <c r="V338">
        <v>2.5340999999999999E-2</v>
      </c>
      <c r="W338" t="s">
        <v>33</v>
      </c>
      <c r="X338">
        <v>0.17737900000000001</v>
      </c>
      <c r="Y338" t="s">
        <v>34</v>
      </c>
      <c r="Z338">
        <v>0.104183</v>
      </c>
      <c r="AA338" t="s">
        <v>35</v>
      </c>
      <c r="AB338">
        <v>6.3617999999999994E-2</v>
      </c>
      <c r="AC338" t="s">
        <v>36</v>
      </c>
      <c r="AD338">
        <v>0.26548899999999998</v>
      </c>
      <c r="AE338" t="s">
        <v>37</v>
      </c>
      <c r="AF338">
        <v>0.26155299999999998</v>
      </c>
      <c r="AG338" t="s">
        <v>38</v>
      </c>
      <c r="AH338">
        <v>0.98517500000000002</v>
      </c>
      <c r="AI338" t="s">
        <v>39</v>
      </c>
      <c r="AJ338">
        <v>0.77702300000000002</v>
      </c>
      <c r="AK338" t="s">
        <v>40</v>
      </c>
      <c r="AL338">
        <v>0.78449100000000005</v>
      </c>
      <c r="AM338" t="s">
        <v>41</v>
      </c>
      <c r="AN338">
        <v>44.019497000000001</v>
      </c>
      <c r="AO338" t="s">
        <v>42</v>
      </c>
      <c r="AP338">
        <v>23.806265</v>
      </c>
    </row>
    <row r="339" spans="1:42" x14ac:dyDescent="0.3">
      <c r="A339" t="s">
        <v>22</v>
      </c>
      <c r="B339">
        <v>3.3899970000000001</v>
      </c>
      <c r="C339" t="s">
        <v>23</v>
      </c>
      <c r="D339">
        <v>1.0114479999999999</v>
      </c>
      <c r="E339" t="s">
        <v>24</v>
      </c>
      <c r="F339">
        <v>1.0419620000000001</v>
      </c>
      <c r="G339" t="s">
        <v>25</v>
      </c>
      <c r="H339">
        <v>0.91616900000000001</v>
      </c>
      <c r="I339" t="s">
        <v>26</v>
      </c>
      <c r="J339">
        <v>2.5799999999999998E-4</v>
      </c>
      <c r="K339" t="s">
        <v>27</v>
      </c>
      <c r="L339">
        <v>2.2294000000000001E-2</v>
      </c>
      <c r="M339" t="s">
        <v>28</v>
      </c>
      <c r="N339">
        <v>1.9602000000000001E-2</v>
      </c>
      <c r="O339" t="s">
        <v>29</v>
      </c>
      <c r="P339">
        <v>9.2303999999999997E-2</v>
      </c>
      <c r="Q339" t="s">
        <v>30</v>
      </c>
      <c r="R339">
        <v>-6.9872000000000004E-2</v>
      </c>
      <c r="S339" t="s">
        <v>31</v>
      </c>
      <c r="T339">
        <v>0.59869000000000006</v>
      </c>
      <c r="U339" t="s">
        <v>32</v>
      </c>
      <c r="V339">
        <v>2.5271999999999999E-2</v>
      </c>
      <c r="W339" t="s">
        <v>33</v>
      </c>
      <c r="X339">
        <v>0.17749200000000001</v>
      </c>
      <c r="Y339" t="s">
        <v>34</v>
      </c>
      <c r="Z339">
        <v>0.104183</v>
      </c>
      <c r="AA339" t="s">
        <v>35</v>
      </c>
      <c r="AB339">
        <v>6.3446000000000002E-2</v>
      </c>
      <c r="AC339" t="s">
        <v>36</v>
      </c>
      <c r="AD339">
        <v>0.26546900000000001</v>
      </c>
      <c r="AE339" t="s">
        <v>37</v>
      </c>
      <c r="AF339">
        <v>0.26155299999999998</v>
      </c>
      <c r="AG339" t="s">
        <v>38</v>
      </c>
      <c r="AH339">
        <v>0.98524900000000004</v>
      </c>
      <c r="AI339" t="s">
        <v>39</v>
      </c>
      <c r="AJ339">
        <v>0.777061</v>
      </c>
      <c r="AK339" t="s">
        <v>40</v>
      </c>
      <c r="AL339">
        <v>0.78449100000000005</v>
      </c>
      <c r="AM339" t="s">
        <v>41</v>
      </c>
      <c r="AN339">
        <v>44.149734000000002</v>
      </c>
      <c r="AO339" t="s">
        <v>42</v>
      </c>
      <c r="AP339">
        <v>23.873131000000001</v>
      </c>
    </row>
    <row r="340" spans="1:42" x14ac:dyDescent="0.3">
      <c r="A340" t="s">
        <v>22</v>
      </c>
      <c r="B340">
        <v>3.3999969999999999</v>
      </c>
      <c r="C340" t="s">
        <v>23</v>
      </c>
      <c r="D340">
        <v>1.011288</v>
      </c>
      <c r="E340" t="s">
        <v>24</v>
      </c>
      <c r="F340">
        <v>1.0416430000000001</v>
      </c>
      <c r="G340" t="s">
        <v>25</v>
      </c>
      <c r="H340">
        <v>0.91616900000000001</v>
      </c>
      <c r="I340" t="s">
        <v>26</v>
      </c>
      <c r="J340">
        <v>2.5700000000000001E-4</v>
      </c>
      <c r="K340" t="s">
        <v>27</v>
      </c>
      <c r="L340">
        <v>2.2287000000000001E-2</v>
      </c>
      <c r="M340" t="s">
        <v>28</v>
      </c>
      <c r="N340">
        <v>1.9602000000000001E-2</v>
      </c>
      <c r="O340" t="s">
        <v>29</v>
      </c>
      <c r="P340">
        <v>9.3153E-2</v>
      </c>
      <c r="Q340" t="s">
        <v>30</v>
      </c>
      <c r="R340">
        <v>-6.8177000000000001E-2</v>
      </c>
      <c r="S340" t="s">
        <v>31</v>
      </c>
      <c r="T340">
        <v>0.59869000000000006</v>
      </c>
      <c r="U340" t="s">
        <v>32</v>
      </c>
      <c r="V340">
        <v>2.5204000000000001E-2</v>
      </c>
      <c r="W340" t="s">
        <v>33</v>
      </c>
      <c r="X340">
        <v>0.17760600000000001</v>
      </c>
      <c r="Y340" t="s">
        <v>34</v>
      </c>
      <c r="Z340">
        <v>0.104183</v>
      </c>
      <c r="AA340" t="s">
        <v>35</v>
      </c>
      <c r="AB340">
        <v>6.3274999999999998E-2</v>
      </c>
      <c r="AC340" t="s">
        <v>36</v>
      </c>
      <c r="AD340">
        <v>0.26544899999999999</v>
      </c>
      <c r="AE340" t="s">
        <v>37</v>
      </c>
      <c r="AF340">
        <v>0.26155299999999998</v>
      </c>
      <c r="AG340" t="s">
        <v>38</v>
      </c>
      <c r="AH340">
        <v>0.98532200000000003</v>
      </c>
      <c r="AI340" t="s">
        <v>39</v>
      </c>
      <c r="AJ340">
        <v>0.77709899999999998</v>
      </c>
      <c r="AK340" t="s">
        <v>40</v>
      </c>
      <c r="AL340">
        <v>0.78449100000000005</v>
      </c>
      <c r="AM340" t="s">
        <v>41</v>
      </c>
      <c r="AN340">
        <v>44.279967999999997</v>
      </c>
      <c r="AO340" t="s">
        <v>42</v>
      </c>
      <c r="AP340">
        <v>23.940002</v>
      </c>
    </row>
    <row r="341" spans="1:42" x14ac:dyDescent="0.3">
      <c r="A341" t="s">
        <v>22</v>
      </c>
      <c r="B341">
        <v>3.4099970000000002</v>
      </c>
      <c r="C341" t="s">
        <v>23</v>
      </c>
      <c r="D341">
        <v>1.0111289999999999</v>
      </c>
      <c r="E341" t="s">
        <v>24</v>
      </c>
      <c r="F341">
        <v>1.041326</v>
      </c>
      <c r="G341" t="s">
        <v>25</v>
      </c>
      <c r="H341">
        <v>0.91616900000000001</v>
      </c>
      <c r="I341" t="s">
        <v>26</v>
      </c>
      <c r="J341">
        <v>2.5599999999999999E-4</v>
      </c>
      <c r="K341" t="s">
        <v>27</v>
      </c>
      <c r="L341">
        <v>2.2280999999999999E-2</v>
      </c>
      <c r="M341" t="s">
        <v>28</v>
      </c>
      <c r="N341">
        <v>1.9602000000000001E-2</v>
      </c>
      <c r="O341" t="s">
        <v>29</v>
      </c>
      <c r="P341">
        <v>9.3997999999999998E-2</v>
      </c>
      <c r="Q341" t="s">
        <v>30</v>
      </c>
      <c r="R341">
        <v>-6.6490999999999995E-2</v>
      </c>
      <c r="S341" t="s">
        <v>31</v>
      </c>
      <c r="T341">
        <v>0.59869000000000006</v>
      </c>
      <c r="U341" t="s">
        <v>32</v>
      </c>
      <c r="V341">
        <v>2.5135999999999999E-2</v>
      </c>
      <c r="W341" t="s">
        <v>33</v>
      </c>
      <c r="X341">
        <v>0.17771999999999999</v>
      </c>
      <c r="Y341" t="s">
        <v>34</v>
      </c>
      <c r="Z341">
        <v>0.104183</v>
      </c>
      <c r="AA341" t="s">
        <v>35</v>
      </c>
      <c r="AB341">
        <v>6.3104999999999994E-2</v>
      </c>
      <c r="AC341" t="s">
        <v>36</v>
      </c>
      <c r="AD341">
        <v>0.26543</v>
      </c>
      <c r="AE341" t="s">
        <v>37</v>
      </c>
      <c r="AF341">
        <v>0.26155299999999998</v>
      </c>
      <c r="AG341" t="s">
        <v>38</v>
      </c>
      <c r="AH341">
        <v>0.98539399999999999</v>
      </c>
      <c r="AI341" t="s">
        <v>39</v>
      </c>
      <c r="AJ341">
        <v>0.77713600000000005</v>
      </c>
      <c r="AK341" t="s">
        <v>40</v>
      </c>
      <c r="AL341">
        <v>0.78449100000000005</v>
      </c>
      <c r="AM341" t="s">
        <v>41</v>
      </c>
      <c r="AN341">
        <v>44.410206000000002</v>
      </c>
      <c r="AO341" t="s">
        <v>42</v>
      </c>
      <c r="AP341">
        <v>24.006883999999999</v>
      </c>
    </row>
    <row r="342" spans="1:42" x14ac:dyDescent="0.3">
      <c r="A342" t="s">
        <v>22</v>
      </c>
      <c r="B342">
        <v>3.419997</v>
      </c>
      <c r="C342" t="s">
        <v>23</v>
      </c>
      <c r="D342">
        <v>1.0109699999999999</v>
      </c>
      <c r="E342" t="s">
        <v>24</v>
      </c>
      <c r="F342">
        <v>1.04101</v>
      </c>
      <c r="G342" t="s">
        <v>25</v>
      </c>
      <c r="H342">
        <v>0.91616900000000001</v>
      </c>
      <c r="I342" t="s">
        <v>26</v>
      </c>
      <c r="J342">
        <v>2.5500000000000002E-4</v>
      </c>
      <c r="K342" t="s">
        <v>27</v>
      </c>
      <c r="L342">
        <v>2.2273999999999999E-2</v>
      </c>
      <c r="M342" t="s">
        <v>28</v>
      </c>
      <c r="N342">
        <v>1.9602000000000001E-2</v>
      </c>
      <c r="O342" t="s">
        <v>29</v>
      </c>
      <c r="P342">
        <v>9.4843999999999998E-2</v>
      </c>
      <c r="Q342" t="s">
        <v>30</v>
      </c>
      <c r="R342">
        <v>-6.4812999999999996E-2</v>
      </c>
      <c r="S342" t="s">
        <v>31</v>
      </c>
      <c r="T342">
        <v>0.59869000000000006</v>
      </c>
      <c r="U342" t="s">
        <v>32</v>
      </c>
      <c r="V342">
        <v>2.5069000000000001E-2</v>
      </c>
      <c r="W342" t="s">
        <v>33</v>
      </c>
      <c r="X342">
        <v>0.17783299999999999</v>
      </c>
      <c r="Y342" t="s">
        <v>34</v>
      </c>
      <c r="Z342">
        <v>0.104183</v>
      </c>
      <c r="AA342" t="s">
        <v>35</v>
      </c>
      <c r="AB342">
        <v>6.2936000000000006E-2</v>
      </c>
      <c r="AC342" t="s">
        <v>36</v>
      </c>
      <c r="AD342">
        <v>0.26540999999999998</v>
      </c>
      <c r="AE342" t="s">
        <v>37</v>
      </c>
      <c r="AF342">
        <v>0.26155299999999998</v>
      </c>
      <c r="AG342" t="s">
        <v>38</v>
      </c>
      <c r="AH342">
        <v>0.98546599999999995</v>
      </c>
      <c r="AI342" t="s">
        <v>39</v>
      </c>
      <c r="AJ342">
        <v>0.777173</v>
      </c>
      <c r="AK342" t="s">
        <v>40</v>
      </c>
      <c r="AL342">
        <v>0.78449100000000005</v>
      </c>
      <c r="AM342" t="s">
        <v>41</v>
      </c>
      <c r="AN342">
        <v>44.540439999999997</v>
      </c>
      <c r="AO342" t="s">
        <v>42</v>
      </c>
      <c r="AP342">
        <v>24.073763</v>
      </c>
    </row>
    <row r="343" spans="1:42" x14ac:dyDescent="0.3">
      <c r="A343" t="s">
        <v>22</v>
      </c>
      <c r="B343">
        <v>3.4299970000000002</v>
      </c>
      <c r="C343" t="s">
        <v>23</v>
      </c>
      <c r="D343">
        <v>1.010812</v>
      </c>
      <c r="E343" t="s">
        <v>24</v>
      </c>
      <c r="F343">
        <v>1.0406960000000001</v>
      </c>
      <c r="G343" t="s">
        <v>25</v>
      </c>
      <c r="H343">
        <v>0.91616900000000001</v>
      </c>
      <c r="I343" t="s">
        <v>26</v>
      </c>
      <c r="J343">
        <v>2.5399999999999999E-4</v>
      </c>
      <c r="K343" t="s">
        <v>27</v>
      </c>
      <c r="L343">
        <v>2.2266999999999999E-2</v>
      </c>
      <c r="M343" t="s">
        <v>28</v>
      </c>
      <c r="N343">
        <v>1.9602000000000001E-2</v>
      </c>
      <c r="O343" t="s">
        <v>29</v>
      </c>
      <c r="P343">
        <v>9.5684000000000005E-2</v>
      </c>
      <c r="Q343" t="s">
        <v>30</v>
      </c>
      <c r="R343">
        <v>-6.3143000000000005E-2</v>
      </c>
      <c r="S343" t="s">
        <v>31</v>
      </c>
      <c r="T343">
        <v>0.59869000000000006</v>
      </c>
      <c r="U343" t="s">
        <v>32</v>
      </c>
      <c r="V343">
        <v>2.5002E-2</v>
      </c>
      <c r="W343" t="s">
        <v>33</v>
      </c>
      <c r="X343">
        <v>0.17794699999999999</v>
      </c>
      <c r="Y343" t="s">
        <v>34</v>
      </c>
      <c r="Z343">
        <v>0.104183</v>
      </c>
      <c r="AA343" t="s">
        <v>35</v>
      </c>
      <c r="AB343">
        <v>6.2768000000000004E-2</v>
      </c>
      <c r="AC343" t="s">
        <v>36</v>
      </c>
      <c r="AD343">
        <v>0.26539099999999999</v>
      </c>
      <c r="AE343" t="s">
        <v>37</v>
      </c>
      <c r="AF343">
        <v>0.26155299999999998</v>
      </c>
      <c r="AG343" t="s">
        <v>38</v>
      </c>
      <c r="AH343">
        <v>0.98553800000000003</v>
      </c>
      <c r="AI343" t="s">
        <v>39</v>
      </c>
      <c r="AJ343">
        <v>0.77720999999999996</v>
      </c>
      <c r="AK343" t="s">
        <v>40</v>
      </c>
      <c r="AL343">
        <v>0.78449100000000005</v>
      </c>
      <c r="AM343" t="s">
        <v>41</v>
      </c>
      <c r="AN343">
        <v>44.670673000000001</v>
      </c>
      <c r="AO343" t="s">
        <v>42</v>
      </c>
      <c r="AP343">
        <v>24.140654000000001</v>
      </c>
    </row>
    <row r="344" spans="1:42" x14ac:dyDescent="0.3">
      <c r="A344" t="s">
        <v>22</v>
      </c>
      <c r="B344">
        <v>3.439997</v>
      </c>
      <c r="C344" t="s">
        <v>23</v>
      </c>
      <c r="D344">
        <v>1.0106539999999999</v>
      </c>
      <c r="E344" t="s">
        <v>24</v>
      </c>
      <c r="F344">
        <v>1.0403830000000001</v>
      </c>
      <c r="G344" t="s">
        <v>25</v>
      </c>
      <c r="H344">
        <v>0.91616900000000001</v>
      </c>
      <c r="I344" t="s">
        <v>26</v>
      </c>
      <c r="J344">
        <v>2.5300000000000002E-4</v>
      </c>
      <c r="K344" t="s">
        <v>27</v>
      </c>
      <c r="L344">
        <v>2.2259999999999999E-2</v>
      </c>
      <c r="M344" t="s">
        <v>28</v>
      </c>
      <c r="N344">
        <v>1.9602000000000001E-2</v>
      </c>
      <c r="O344" t="s">
        <v>29</v>
      </c>
      <c r="P344">
        <v>9.6525E-2</v>
      </c>
      <c r="Q344" t="s">
        <v>30</v>
      </c>
      <c r="R344">
        <v>-6.1482000000000002E-2</v>
      </c>
      <c r="S344" t="s">
        <v>31</v>
      </c>
      <c r="T344">
        <v>0.59869000000000006</v>
      </c>
      <c r="U344" t="s">
        <v>32</v>
      </c>
      <c r="V344">
        <v>2.4934999999999999E-2</v>
      </c>
      <c r="W344" t="s">
        <v>33</v>
      </c>
      <c r="X344">
        <v>0.178061</v>
      </c>
      <c r="Y344" t="s">
        <v>34</v>
      </c>
      <c r="Z344">
        <v>0.104183</v>
      </c>
      <c r="AA344" t="s">
        <v>35</v>
      </c>
      <c r="AB344">
        <v>6.2601000000000004E-2</v>
      </c>
      <c r="AC344" t="s">
        <v>36</v>
      </c>
      <c r="AD344">
        <v>0.265372</v>
      </c>
      <c r="AE344" t="s">
        <v>37</v>
      </c>
      <c r="AF344">
        <v>0.26155299999999998</v>
      </c>
      <c r="AG344" t="s">
        <v>38</v>
      </c>
      <c r="AH344">
        <v>0.98560899999999996</v>
      </c>
      <c r="AI344" t="s">
        <v>39</v>
      </c>
      <c r="AJ344">
        <v>0.77724700000000002</v>
      </c>
      <c r="AK344" t="s">
        <v>40</v>
      </c>
      <c r="AL344">
        <v>0.78449100000000005</v>
      </c>
      <c r="AM344" t="s">
        <v>41</v>
      </c>
      <c r="AN344">
        <v>44.800910999999999</v>
      </c>
      <c r="AO344" t="s">
        <v>42</v>
      </c>
      <c r="AP344">
        <v>24.207550000000001</v>
      </c>
    </row>
    <row r="345" spans="1:42" x14ac:dyDescent="0.3">
      <c r="A345" t="s">
        <v>22</v>
      </c>
      <c r="B345">
        <v>3.4499970000000002</v>
      </c>
      <c r="C345" t="s">
        <v>23</v>
      </c>
      <c r="D345">
        <v>1.0104960000000001</v>
      </c>
      <c r="E345" t="s">
        <v>24</v>
      </c>
      <c r="F345">
        <v>1.0400720000000001</v>
      </c>
      <c r="G345" t="s">
        <v>25</v>
      </c>
      <c r="H345">
        <v>0.91616900000000001</v>
      </c>
      <c r="I345" t="s">
        <v>26</v>
      </c>
      <c r="J345">
        <v>2.52E-4</v>
      </c>
      <c r="K345" t="s">
        <v>27</v>
      </c>
      <c r="L345">
        <v>2.2253999999999999E-2</v>
      </c>
      <c r="M345" t="s">
        <v>28</v>
      </c>
      <c r="N345">
        <v>1.9602000000000001E-2</v>
      </c>
      <c r="O345" t="s">
        <v>29</v>
      </c>
      <c r="P345">
        <v>9.7364000000000006E-2</v>
      </c>
      <c r="Q345" t="s">
        <v>30</v>
      </c>
      <c r="R345">
        <v>-5.9827999999999999E-2</v>
      </c>
      <c r="S345" t="s">
        <v>31</v>
      </c>
      <c r="T345">
        <v>0.59869000000000006</v>
      </c>
      <c r="U345" t="s">
        <v>32</v>
      </c>
      <c r="V345">
        <v>2.4868999999999999E-2</v>
      </c>
      <c r="W345" t="s">
        <v>33</v>
      </c>
      <c r="X345">
        <v>0.178175</v>
      </c>
      <c r="Y345" t="s">
        <v>34</v>
      </c>
      <c r="Z345">
        <v>0.104183</v>
      </c>
      <c r="AA345" t="s">
        <v>35</v>
      </c>
      <c r="AB345">
        <v>6.2434000000000003E-2</v>
      </c>
      <c r="AC345" t="s">
        <v>36</v>
      </c>
      <c r="AD345">
        <v>0.26535300000000001</v>
      </c>
      <c r="AE345" t="s">
        <v>37</v>
      </c>
      <c r="AF345">
        <v>0.26155299999999998</v>
      </c>
      <c r="AG345" t="s">
        <v>38</v>
      </c>
      <c r="AH345">
        <v>0.98567899999999997</v>
      </c>
      <c r="AI345" t="s">
        <v>39</v>
      </c>
      <c r="AJ345">
        <v>0.77728299999999995</v>
      </c>
      <c r="AK345" t="s">
        <v>40</v>
      </c>
      <c r="AL345">
        <v>0.78449100000000005</v>
      </c>
      <c r="AM345" t="s">
        <v>41</v>
      </c>
      <c r="AN345">
        <v>44.931145000000001</v>
      </c>
      <c r="AO345" t="s">
        <v>42</v>
      </c>
      <c r="AP345">
        <v>24.274450000000002</v>
      </c>
    </row>
    <row r="346" spans="1:42" x14ac:dyDescent="0.3">
      <c r="A346" t="s">
        <v>22</v>
      </c>
      <c r="B346">
        <v>3.459997</v>
      </c>
      <c r="C346" t="s">
        <v>23</v>
      </c>
      <c r="D346">
        <v>1.010338</v>
      </c>
      <c r="E346" t="s">
        <v>24</v>
      </c>
      <c r="F346">
        <v>1.039763</v>
      </c>
      <c r="G346" t="s">
        <v>25</v>
      </c>
      <c r="H346">
        <v>0.91616900000000001</v>
      </c>
      <c r="I346" t="s">
        <v>26</v>
      </c>
      <c r="J346">
        <v>2.5099999999999998E-4</v>
      </c>
      <c r="K346" t="s">
        <v>27</v>
      </c>
      <c r="L346">
        <v>2.2246999999999999E-2</v>
      </c>
      <c r="M346" t="s">
        <v>28</v>
      </c>
      <c r="N346">
        <v>1.9602000000000001E-2</v>
      </c>
      <c r="O346" t="s">
        <v>29</v>
      </c>
      <c r="P346">
        <v>9.8201999999999998E-2</v>
      </c>
      <c r="Q346" t="s">
        <v>30</v>
      </c>
      <c r="R346">
        <v>-5.8181999999999998E-2</v>
      </c>
      <c r="S346" t="s">
        <v>31</v>
      </c>
      <c r="T346">
        <v>0.59869000000000006</v>
      </c>
      <c r="U346" t="s">
        <v>32</v>
      </c>
      <c r="V346">
        <v>2.4802999999999999E-2</v>
      </c>
      <c r="W346" t="s">
        <v>33</v>
      </c>
      <c r="X346">
        <v>0.178289</v>
      </c>
      <c r="Y346" t="s">
        <v>34</v>
      </c>
      <c r="Z346">
        <v>0.104183</v>
      </c>
      <c r="AA346" t="s">
        <v>35</v>
      </c>
      <c r="AB346">
        <v>6.2267999999999997E-2</v>
      </c>
      <c r="AC346" t="s">
        <v>36</v>
      </c>
      <c r="AD346">
        <v>0.26533400000000001</v>
      </c>
      <c r="AE346" t="s">
        <v>37</v>
      </c>
      <c r="AF346">
        <v>0.26155299999999998</v>
      </c>
      <c r="AG346" t="s">
        <v>38</v>
      </c>
      <c r="AH346">
        <v>0.98574899999999999</v>
      </c>
      <c r="AI346" t="s">
        <v>39</v>
      </c>
      <c r="AJ346">
        <v>0.77731899999999998</v>
      </c>
      <c r="AK346" t="s">
        <v>40</v>
      </c>
      <c r="AL346">
        <v>0.78449100000000005</v>
      </c>
      <c r="AM346" t="s">
        <v>41</v>
      </c>
      <c r="AN346">
        <v>45.061377999999998</v>
      </c>
      <c r="AO346" t="s">
        <v>42</v>
      </c>
      <c r="AP346">
        <v>24.341351</v>
      </c>
    </row>
    <row r="347" spans="1:42" x14ac:dyDescent="0.3">
      <c r="A347" t="s">
        <v>22</v>
      </c>
      <c r="B347">
        <v>3.4699970000000002</v>
      </c>
      <c r="C347" t="s">
        <v>23</v>
      </c>
      <c r="D347">
        <v>1.0101819999999999</v>
      </c>
      <c r="E347" t="s">
        <v>24</v>
      </c>
      <c r="F347">
        <v>1.0394540000000001</v>
      </c>
      <c r="G347" t="s">
        <v>25</v>
      </c>
      <c r="H347">
        <v>0.91616900000000001</v>
      </c>
      <c r="I347" t="s">
        <v>26</v>
      </c>
      <c r="J347">
        <v>2.5000000000000001E-4</v>
      </c>
      <c r="K347" t="s">
        <v>27</v>
      </c>
      <c r="L347">
        <v>2.2241E-2</v>
      </c>
      <c r="M347" t="s">
        <v>28</v>
      </c>
      <c r="N347">
        <v>1.9602000000000001E-2</v>
      </c>
      <c r="O347" t="s">
        <v>29</v>
      </c>
      <c r="P347">
        <v>9.9033999999999997E-2</v>
      </c>
      <c r="Q347" t="s">
        <v>30</v>
      </c>
      <c r="R347">
        <v>-5.6543999999999997E-2</v>
      </c>
      <c r="S347" t="s">
        <v>31</v>
      </c>
      <c r="T347">
        <v>0.59869000000000006</v>
      </c>
      <c r="U347" t="s">
        <v>32</v>
      </c>
      <c r="V347">
        <v>2.4736999999999999E-2</v>
      </c>
      <c r="W347" t="s">
        <v>33</v>
      </c>
      <c r="X347">
        <v>0.17840300000000001</v>
      </c>
      <c r="Y347" t="s">
        <v>34</v>
      </c>
      <c r="Z347">
        <v>0.104183</v>
      </c>
      <c r="AA347" t="s">
        <v>35</v>
      </c>
      <c r="AB347">
        <v>6.2102999999999998E-2</v>
      </c>
      <c r="AC347" t="s">
        <v>36</v>
      </c>
      <c r="AD347">
        <v>0.265316</v>
      </c>
      <c r="AE347" t="s">
        <v>37</v>
      </c>
      <c r="AF347">
        <v>0.26155299999999998</v>
      </c>
      <c r="AG347" t="s">
        <v>38</v>
      </c>
      <c r="AH347">
        <v>0.98581799999999997</v>
      </c>
      <c r="AI347" t="s">
        <v>39</v>
      </c>
      <c r="AJ347">
        <v>0.77735500000000002</v>
      </c>
      <c r="AK347" t="s">
        <v>40</v>
      </c>
      <c r="AL347">
        <v>0.78449100000000005</v>
      </c>
      <c r="AM347" t="s">
        <v>41</v>
      </c>
      <c r="AN347">
        <v>45.191616000000003</v>
      </c>
      <c r="AO347" t="s">
        <v>42</v>
      </c>
      <c r="AP347">
        <v>24.408262000000001</v>
      </c>
    </row>
    <row r="348" spans="1:42" x14ac:dyDescent="0.3">
      <c r="A348" t="s">
        <v>22</v>
      </c>
      <c r="B348">
        <v>3.479997</v>
      </c>
      <c r="C348" t="s">
        <v>23</v>
      </c>
      <c r="D348">
        <v>1.010025</v>
      </c>
      <c r="E348" t="s">
        <v>24</v>
      </c>
      <c r="F348">
        <v>1.039148</v>
      </c>
      <c r="G348" t="s">
        <v>25</v>
      </c>
      <c r="H348">
        <v>0.91616900000000001</v>
      </c>
      <c r="I348" t="s">
        <v>26</v>
      </c>
      <c r="J348">
        <v>2.4899999999999998E-4</v>
      </c>
      <c r="K348" t="s">
        <v>27</v>
      </c>
      <c r="L348">
        <v>2.2234E-2</v>
      </c>
      <c r="M348" t="s">
        <v>28</v>
      </c>
      <c r="N348">
        <v>1.9602000000000001E-2</v>
      </c>
      <c r="O348" t="s">
        <v>29</v>
      </c>
      <c r="P348">
        <v>9.9867999999999998E-2</v>
      </c>
      <c r="Q348" t="s">
        <v>30</v>
      </c>
      <c r="R348">
        <v>-5.4914999999999999E-2</v>
      </c>
      <c r="S348" t="s">
        <v>31</v>
      </c>
      <c r="T348">
        <v>0.59869000000000006</v>
      </c>
      <c r="U348" t="s">
        <v>32</v>
      </c>
      <c r="V348">
        <v>2.4671999999999999E-2</v>
      </c>
      <c r="W348" t="s">
        <v>33</v>
      </c>
      <c r="X348">
        <v>0.17851700000000001</v>
      </c>
      <c r="Y348" t="s">
        <v>34</v>
      </c>
      <c r="Z348">
        <v>0.104183</v>
      </c>
      <c r="AA348" t="s">
        <v>35</v>
      </c>
      <c r="AB348">
        <v>6.1939000000000001E-2</v>
      </c>
      <c r="AC348" t="s">
        <v>36</v>
      </c>
      <c r="AD348">
        <v>0.26529700000000001</v>
      </c>
      <c r="AE348" t="s">
        <v>37</v>
      </c>
      <c r="AF348">
        <v>0.26155299999999998</v>
      </c>
      <c r="AG348" t="s">
        <v>38</v>
      </c>
      <c r="AH348">
        <v>0.98588699999999996</v>
      </c>
      <c r="AI348" t="s">
        <v>39</v>
      </c>
      <c r="AJ348">
        <v>0.77739100000000005</v>
      </c>
      <c r="AK348" t="s">
        <v>40</v>
      </c>
      <c r="AL348">
        <v>0.78449100000000005</v>
      </c>
      <c r="AM348" t="s">
        <v>41</v>
      </c>
      <c r="AN348">
        <v>45.321849999999998</v>
      </c>
      <c r="AO348" t="s">
        <v>42</v>
      </c>
      <c r="AP348">
        <v>24.475180000000002</v>
      </c>
    </row>
    <row r="349" spans="1:42" x14ac:dyDescent="0.3">
      <c r="A349" t="s">
        <v>22</v>
      </c>
      <c r="B349">
        <v>3.4899969999999998</v>
      </c>
      <c r="C349" t="s">
        <v>23</v>
      </c>
      <c r="D349">
        <v>1.0098689999999999</v>
      </c>
      <c r="E349" t="s">
        <v>24</v>
      </c>
      <c r="F349">
        <v>1.038843</v>
      </c>
      <c r="G349" t="s">
        <v>25</v>
      </c>
      <c r="H349">
        <v>0.91616900000000001</v>
      </c>
      <c r="I349" t="s">
        <v>26</v>
      </c>
      <c r="J349">
        <v>2.4800000000000001E-4</v>
      </c>
      <c r="K349" t="s">
        <v>27</v>
      </c>
      <c r="L349">
        <v>2.2227E-2</v>
      </c>
      <c r="M349" t="s">
        <v>28</v>
      </c>
      <c r="N349">
        <v>1.9602000000000001E-2</v>
      </c>
      <c r="O349" t="s">
        <v>29</v>
      </c>
      <c r="P349">
        <v>0.100699</v>
      </c>
      <c r="Q349" t="s">
        <v>30</v>
      </c>
      <c r="R349">
        <v>-5.3293E-2</v>
      </c>
      <c r="S349" t="s">
        <v>31</v>
      </c>
      <c r="T349">
        <v>0.59869000000000006</v>
      </c>
      <c r="U349" t="s">
        <v>32</v>
      </c>
      <c r="V349">
        <v>2.4607E-2</v>
      </c>
      <c r="W349" t="s">
        <v>33</v>
      </c>
      <c r="X349">
        <v>0.17863100000000001</v>
      </c>
      <c r="Y349" t="s">
        <v>34</v>
      </c>
      <c r="Z349">
        <v>0.104183</v>
      </c>
      <c r="AA349" t="s">
        <v>35</v>
      </c>
      <c r="AB349">
        <v>6.1775999999999998E-2</v>
      </c>
      <c r="AC349" t="s">
        <v>36</v>
      </c>
      <c r="AD349">
        <v>0.26527899999999999</v>
      </c>
      <c r="AE349" t="s">
        <v>37</v>
      </c>
      <c r="AF349">
        <v>0.26155299999999998</v>
      </c>
      <c r="AG349" t="s">
        <v>38</v>
      </c>
      <c r="AH349">
        <v>0.98595600000000005</v>
      </c>
      <c r="AI349" t="s">
        <v>39</v>
      </c>
      <c r="AJ349">
        <v>0.77742599999999995</v>
      </c>
      <c r="AK349" t="s">
        <v>40</v>
      </c>
      <c r="AL349">
        <v>0.78449100000000005</v>
      </c>
      <c r="AM349" t="s">
        <v>41</v>
      </c>
      <c r="AN349">
        <v>45.452086999999999</v>
      </c>
      <c r="AO349" t="s">
        <v>42</v>
      </c>
      <c r="AP349">
        <v>24.542100999999999</v>
      </c>
    </row>
    <row r="350" spans="1:42" x14ac:dyDescent="0.3">
      <c r="A350" t="s">
        <v>22</v>
      </c>
      <c r="B350">
        <v>3.499997</v>
      </c>
      <c r="C350" t="s">
        <v>23</v>
      </c>
      <c r="D350">
        <v>1.0097119999999999</v>
      </c>
      <c r="E350" t="s">
        <v>24</v>
      </c>
      <c r="F350">
        <v>1.0385390000000001</v>
      </c>
      <c r="G350" t="s">
        <v>25</v>
      </c>
      <c r="H350">
        <v>0.91616900000000001</v>
      </c>
      <c r="I350" t="s">
        <v>26</v>
      </c>
      <c r="J350">
        <v>2.4699999999999999E-4</v>
      </c>
      <c r="K350" t="s">
        <v>27</v>
      </c>
      <c r="L350">
        <v>2.2221000000000001E-2</v>
      </c>
      <c r="M350" t="s">
        <v>28</v>
      </c>
      <c r="N350">
        <v>1.9602000000000001E-2</v>
      </c>
      <c r="O350" t="s">
        <v>29</v>
      </c>
      <c r="P350">
        <v>0.10152799999999999</v>
      </c>
      <c r="Q350" t="s">
        <v>30</v>
      </c>
      <c r="R350">
        <v>-5.1678000000000002E-2</v>
      </c>
      <c r="S350" t="s">
        <v>31</v>
      </c>
      <c r="T350">
        <v>0.59869000000000006</v>
      </c>
      <c r="U350" t="s">
        <v>32</v>
      </c>
      <c r="V350">
        <v>2.4542000000000001E-2</v>
      </c>
      <c r="W350" t="s">
        <v>33</v>
      </c>
      <c r="X350">
        <v>0.17874499999999999</v>
      </c>
      <c r="Y350" t="s">
        <v>34</v>
      </c>
      <c r="Z350">
        <v>0.104183</v>
      </c>
      <c r="AA350" t="s">
        <v>35</v>
      </c>
      <c r="AB350">
        <v>6.1614000000000002E-2</v>
      </c>
      <c r="AC350" t="s">
        <v>36</v>
      </c>
      <c r="AD350">
        <v>0.26526</v>
      </c>
      <c r="AE350" t="s">
        <v>37</v>
      </c>
      <c r="AF350">
        <v>0.26155299999999998</v>
      </c>
      <c r="AG350" t="s">
        <v>38</v>
      </c>
      <c r="AH350">
        <v>0.98602400000000001</v>
      </c>
      <c r="AI350" t="s">
        <v>39</v>
      </c>
      <c r="AJ350">
        <v>0.77746099999999996</v>
      </c>
      <c r="AK350" t="s">
        <v>40</v>
      </c>
      <c r="AL350">
        <v>0.78449100000000005</v>
      </c>
      <c r="AM350" t="s">
        <v>41</v>
      </c>
      <c r="AN350">
        <v>45.582321</v>
      </c>
      <c r="AO350" t="s">
        <v>42</v>
      </c>
      <c r="AP350">
        <v>24.609026</v>
      </c>
    </row>
    <row r="351" spans="1:42" x14ac:dyDescent="0.3">
      <c r="A351" t="s">
        <v>22</v>
      </c>
      <c r="B351">
        <v>3.5099969999999998</v>
      </c>
      <c r="C351" t="s">
        <v>23</v>
      </c>
      <c r="D351">
        <v>1.009557</v>
      </c>
      <c r="E351" t="s">
        <v>24</v>
      </c>
      <c r="F351">
        <v>1.0382370000000001</v>
      </c>
      <c r="G351" t="s">
        <v>25</v>
      </c>
      <c r="H351">
        <v>0.91616900000000001</v>
      </c>
      <c r="I351" t="s">
        <v>26</v>
      </c>
      <c r="J351">
        <v>2.4600000000000002E-4</v>
      </c>
      <c r="K351" t="s">
        <v>27</v>
      </c>
      <c r="L351">
        <v>2.2214000000000001E-2</v>
      </c>
      <c r="M351" t="s">
        <v>28</v>
      </c>
      <c r="N351">
        <v>1.9602000000000001E-2</v>
      </c>
      <c r="O351" t="s">
        <v>29</v>
      </c>
      <c r="P351">
        <v>0.102355</v>
      </c>
      <c r="Q351" t="s">
        <v>30</v>
      </c>
      <c r="R351">
        <v>-5.0071999999999998E-2</v>
      </c>
      <c r="S351" t="s">
        <v>31</v>
      </c>
      <c r="T351">
        <v>0.59869000000000006</v>
      </c>
      <c r="U351" t="s">
        <v>32</v>
      </c>
      <c r="V351">
        <v>2.4478E-2</v>
      </c>
      <c r="W351" t="s">
        <v>33</v>
      </c>
      <c r="X351">
        <v>0.17885899999999999</v>
      </c>
      <c r="Y351" t="s">
        <v>34</v>
      </c>
      <c r="Z351">
        <v>0.104183</v>
      </c>
      <c r="AA351" t="s">
        <v>35</v>
      </c>
      <c r="AB351">
        <v>6.1452E-2</v>
      </c>
      <c r="AC351" t="s">
        <v>36</v>
      </c>
      <c r="AD351">
        <v>0.26524199999999998</v>
      </c>
      <c r="AE351" t="s">
        <v>37</v>
      </c>
      <c r="AF351">
        <v>0.26155299999999998</v>
      </c>
      <c r="AG351" t="s">
        <v>38</v>
      </c>
      <c r="AH351">
        <v>0.98609199999999997</v>
      </c>
      <c r="AI351" t="s">
        <v>39</v>
      </c>
      <c r="AJ351">
        <v>0.77749599999999996</v>
      </c>
      <c r="AK351" t="s">
        <v>40</v>
      </c>
      <c r="AL351">
        <v>0.78449100000000005</v>
      </c>
      <c r="AM351" t="s">
        <v>41</v>
      </c>
      <c r="AN351">
        <v>45.712555000000002</v>
      </c>
      <c r="AO351" t="s">
        <v>42</v>
      </c>
      <c r="AP351">
        <v>24.675957</v>
      </c>
    </row>
    <row r="352" spans="1:42" x14ac:dyDescent="0.3">
      <c r="A352" t="s">
        <v>22</v>
      </c>
      <c r="B352">
        <v>3.519997</v>
      </c>
      <c r="C352" t="s">
        <v>23</v>
      </c>
      <c r="D352">
        <v>1.0094019999999999</v>
      </c>
      <c r="E352" t="s">
        <v>24</v>
      </c>
      <c r="F352">
        <v>1.037936</v>
      </c>
      <c r="G352" t="s">
        <v>25</v>
      </c>
      <c r="H352">
        <v>0.91616900000000001</v>
      </c>
      <c r="I352" t="s">
        <v>26</v>
      </c>
      <c r="J352">
        <v>2.4499999999999999E-4</v>
      </c>
      <c r="K352" t="s">
        <v>27</v>
      </c>
      <c r="L352">
        <v>2.2207999999999999E-2</v>
      </c>
      <c r="M352" t="s">
        <v>28</v>
      </c>
      <c r="N352">
        <v>1.9602000000000001E-2</v>
      </c>
      <c r="O352" t="s">
        <v>29</v>
      </c>
      <c r="P352">
        <v>0.10317999999999999</v>
      </c>
      <c r="Q352" t="s">
        <v>30</v>
      </c>
      <c r="R352">
        <v>-4.8474000000000003E-2</v>
      </c>
      <c r="S352" t="s">
        <v>31</v>
      </c>
      <c r="T352">
        <v>0.59869000000000006</v>
      </c>
      <c r="U352" t="s">
        <v>32</v>
      </c>
      <c r="V352">
        <v>2.4414000000000002E-2</v>
      </c>
      <c r="W352" t="s">
        <v>33</v>
      </c>
      <c r="X352">
        <v>0.17897299999999999</v>
      </c>
      <c r="Y352" t="s">
        <v>34</v>
      </c>
      <c r="Z352">
        <v>0.104183</v>
      </c>
      <c r="AA352" t="s">
        <v>35</v>
      </c>
      <c r="AB352">
        <v>6.1290999999999998E-2</v>
      </c>
      <c r="AC352" t="s">
        <v>36</v>
      </c>
      <c r="AD352">
        <v>0.26522400000000002</v>
      </c>
      <c r="AE352" t="s">
        <v>37</v>
      </c>
      <c r="AF352">
        <v>0.26155299999999998</v>
      </c>
      <c r="AG352" t="s">
        <v>38</v>
      </c>
      <c r="AH352">
        <v>0.98615900000000001</v>
      </c>
      <c r="AI352" t="s">
        <v>39</v>
      </c>
      <c r="AJ352">
        <v>0.77753099999999997</v>
      </c>
      <c r="AK352" t="s">
        <v>40</v>
      </c>
      <c r="AL352">
        <v>0.78449100000000005</v>
      </c>
      <c r="AM352" t="s">
        <v>41</v>
      </c>
      <c r="AN352">
        <v>45.842793</v>
      </c>
      <c r="AO352" t="s">
        <v>42</v>
      </c>
      <c r="AP352">
        <v>24.742895000000001</v>
      </c>
    </row>
    <row r="353" spans="1:42" x14ac:dyDescent="0.3">
      <c r="A353" t="s">
        <v>22</v>
      </c>
      <c r="B353">
        <v>3.5299969999999998</v>
      </c>
      <c r="C353" t="s">
        <v>23</v>
      </c>
      <c r="D353">
        <v>1.009247</v>
      </c>
      <c r="E353" t="s">
        <v>24</v>
      </c>
      <c r="F353">
        <v>1.0376369999999999</v>
      </c>
      <c r="G353" t="s">
        <v>25</v>
      </c>
      <c r="H353">
        <v>0.91616900000000001</v>
      </c>
      <c r="I353" t="s">
        <v>26</v>
      </c>
      <c r="J353">
        <v>2.4399999999999999E-4</v>
      </c>
      <c r="K353" t="s">
        <v>27</v>
      </c>
      <c r="L353">
        <v>2.2202E-2</v>
      </c>
      <c r="M353" t="s">
        <v>28</v>
      </c>
      <c r="N353">
        <v>1.9602000000000001E-2</v>
      </c>
      <c r="O353" t="s">
        <v>29</v>
      </c>
      <c r="P353">
        <v>0.104001</v>
      </c>
      <c r="Q353" t="s">
        <v>30</v>
      </c>
      <c r="R353">
        <v>-4.6883000000000001E-2</v>
      </c>
      <c r="S353" t="s">
        <v>31</v>
      </c>
      <c r="T353">
        <v>0.59869000000000006</v>
      </c>
      <c r="U353" t="s">
        <v>32</v>
      </c>
      <c r="V353">
        <v>2.435E-2</v>
      </c>
      <c r="W353" t="s">
        <v>33</v>
      </c>
      <c r="X353">
        <v>0.179088</v>
      </c>
      <c r="Y353" t="s">
        <v>34</v>
      </c>
      <c r="Z353">
        <v>0.104183</v>
      </c>
      <c r="AA353" t="s">
        <v>35</v>
      </c>
      <c r="AB353">
        <v>6.1130999999999998E-2</v>
      </c>
      <c r="AC353" t="s">
        <v>36</v>
      </c>
      <c r="AD353">
        <v>0.265206</v>
      </c>
      <c r="AE353" t="s">
        <v>37</v>
      </c>
      <c r="AF353">
        <v>0.26155299999999998</v>
      </c>
      <c r="AG353" t="s">
        <v>38</v>
      </c>
      <c r="AH353">
        <v>0.98622500000000002</v>
      </c>
      <c r="AI353" t="s">
        <v>39</v>
      </c>
      <c r="AJ353">
        <v>0.77756499999999995</v>
      </c>
      <c r="AK353" t="s">
        <v>40</v>
      </c>
      <c r="AL353">
        <v>0.78449100000000005</v>
      </c>
      <c r="AM353" t="s">
        <v>41</v>
      </c>
      <c r="AN353">
        <v>45.973025999999997</v>
      </c>
      <c r="AO353" t="s">
        <v>42</v>
      </c>
      <c r="AP353">
        <v>24.809839</v>
      </c>
    </row>
    <row r="354" spans="1:42" x14ac:dyDescent="0.3">
      <c r="A354" t="s">
        <v>22</v>
      </c>
      <c r="B354">
        <v>3.5399970000000001</v>
      </c>
      <c r="C354" t="s">
        <v>23</v>
      </c>
      <c r="D354">
        <v>1.0090920000000001</v>
      </c>
      <c r="E354" t="s">
        <v>24</v>
      </c>
      <c r="F354">
        <v>1.037339</v>
      </c>
      <c r="G354" t="s">
        <v>25</v>
      </c>
      <c r="H354">
        <v>0.91616900000000001</v>
      </c>
      <c r="I354" t="s">
        <v>26</v>
      </c>
      <c r="J354">
        <v>2.43E-4</v>
      </c>
      <c r="K354" t="s">
        <v>27</v>
      </c>
      <c r="L354">
        <v>2.2194999999999999E-2</v>
      </c>
      <c r="M354" t="s">
        <v>28</v>
      </c>
      <c r="N354">
        <v>1.9602000000000001E-2</v>
      </c>
      <c r="O354" t="s">
        <v>29</v>
      </c>
      <c r="P354">
        <v>0.104824</v>
      </c>
      <c r="Q354" t="s">
        <v>30</v>
      </c>
      <c r="R354">
        <v>-4.53E-2</v>
      </c>
      <c r="S354" t="s">
        <v>31</v>
      </c>
      <c r="T354">
        <v>0.59869000000000006</v>
      </c>
      <c r="U354" t="s">
        <v>32</v>
      </c>
      <c r="V354">
        <v>2.4287E-2</v>
      </c>
      <c r="W354" t="s">
        <v>33</v>
      </c>
      <c r="X354">
        <v>0.179202</v>
      </c>
      <c r="Y354" t="s">
        <v>34</v>
      </c>
      <c r="Z354">
        <v>0.104183</v>
      </c>
      <c r="AA354" t="s">
        <v>35</v>
      </c>
      <c r="AB354">
        <v>6.0971999999999998E-2</v>
      </c>
      <c r="AC354" t="s">
        <v>36</v>
      </c>
      <c r="AD354">
        <v>0.26518900000000001</v>
      </c>
      <c r="AE354" t="s">
        <v>37</v>
      </c>
      <c r="AF354">
        <v>0.26155299999999998</v>
      </c>
      <c r="AG354" t="s">
        <v>38</v>
      </c>
      <c r="AH354">
        <v>0.98629100000000003</v>
      </c>
      <c r="AI354" t="s">
        <v>39</v>
      </c>
      <c r="AJ354">
        <v>0.77759900000000004</v>
      </c>
      <c r="AK354" t="s">
        <v>40</v>
      </c>
      <c r="AL354">
        <v>0.78449100000000005</v>
      </c>
      <c r="AM354" t="s">
        <v>41</v>
      </c>
      <c r="AN354">
        <v>46.103264000000003</v>
      </c>
      <c r="AO354" t="s">
        <v>42</v>
      </c>
      <c r="AP354">
        <v>24.876785000000002</v>
      </c>
    </row>
    <row r="355" spans="1:42" x14ac:dyDescent="0.3">
      <c r="A355" t="s">
        <v>22</v>
      </c>
      <c r="B355">
        <v>3.5499969999999998</v>
      </c>
      <c r="C355" t="s">
        <v>23</v>
      </c>
      <c r="D355">
        <v>1.0089379999999999</v>
      </c>
      <c r="E355" t="s">
        <v>24</v>
      </c>
      <c r="F355">
        <v>1.037042</v>
      </c>
      <c r="G355" t="s">
        <v>25</v>
      </c>
      <c r="H355">
        <v>0.91616900000000001</v>
      </c>
      <c r="I355" t="s">
        <v>26</v>
      </c>
      <c r="J355">
        <v>2.42E-4</v>
      </c>
      <c r="K355" t="s">
        <v>27</v>
      </c>
      <c r="L355">
        <v>2.2189E-2</v>
      </c>
      <c r="M355" t="s">
        <v>28</v>
      </c>
      <c r="N355">
        <v>1.9602000000000001E-2</v>
      </c>
      <c r="O355" t="s">
        <v>29</v>
      </c>
      <c r="P355">
        <v>0.105643</v>
      </c>
      <c r="Q355" t="s">
        <v>30</v>
      </c>
      <c r="R355">
        <v>-4.3723999999999999E-2</v>
      </c>
      <c r="S355" t="s">
        <v>31</v>
      </c>
      <c r="T355">
        <v>0.59869000000000006</v>
      </c>
      <c r="U355" t="s">
        <v>32</v>
      </c>
      <c r="V355">
        <v>2.4223000000000001E-2</v>
      </c>
      <c r="W355" t="s">
        <v>33</v>
      </c>
      <c r="X355">
        <v>0.179317</v>
      </c>
      <c r="Y355" t="s">
        <v>34</v>
      </c>
      <c r="Z355">
        <v>0.104183</v>
      </c>
      <c r="AA355" t="s">
        <v>35</v>
      </c>
      <c r="AB355">
        <v>6.0812999999999999E-2</v>
      </c>
      <c r="AC355" t="s">
        <v>36</v>
      </c>
      <c r="AD355">
        <v>0.26517099999999999</v>
      </c>
      <c r="AE355" t="s">
        <v>37</v>
      </c>
      <c r="AF355">
        <v>0.26155299999999998</v>
      </c>
      <c r="AG355" t="s">
        <v>38</v>
      </c>
      <c r="AH355">
        <v>0.98635700000000004</v>
      </c>
      <c r="AI355" t="s">
        <v>39</v>
      </c>
      <c r="AJ355">
        <v>0.77763300000000002</v>
      </c>
      <c r="AK355" t="s">
        <v>40</v>
      </c>
      <c r="AL355">
        <v>0.78449100000000005</v>
      </c>
      <c r="AM355" t="s">
        <v>41</v>
      </c>
      <c r="AN355">
        <v>46.233497999999997</v>
      </c>
      <c r="AO355" t="s">
        <v>42</v>
      </c>
      <c r="AP355">
        <v>24.943740999999999</v>
      </c>
    </row>
    <row r="356" spans="1:42" x14ac:dyDescent="0.3">
      <c r="A356" t="s">
        <v>22</v>
      </c>
      <c r="B356">
        <v>3.5599970000000001</v>
      </c>
      <c r="C356" t="s">
        <v>23</v>
      </c>
      <c r="D356">
        <v>1.0087839999999999</v>
      </c>
      <c r="E356" t="s">
        <v>24</v>
      </c>
      <c r="F356">
        <v>1.0367470000000001</v>
      </c>
      <c r="G356" t="s">
        <v>25</v>
      </c>
      <c r="H356">
        <v>0.91616900000000001</v>
      </c>
      <c r="I356" t="s">
        <v>26</v>
      </c>
      <c r="J356">
        <v>2.41E-4</v>
      </c>
      <c r="K356" t="s">
        <v>27</v>
      </c>
      <c r="L356">
        <v>2.2183000000000001E-2</v>
      </c>
      <c r="M356" t="s">
        <v>28</v>
      </c>
      <c r="N356">
        <v>1.9602000000000001E-2</v>
      </c>
      <c r="O356" t="s">
        <v>29</v>
      </c>
      <c r="P356">
        <v>0.106461</v>
      </c>
      <c r="Q356" t="s">
        <v>30</v>
      </c>
      <c r="R356">
        <v>-4.2154999999999998E-2</v>
      </c>
      <c r="S356" t="s">
        <v>31</v>
      </c>
      <c r="T356">
        <v>0.59869000000000006</v>
      </c>
      <c r="U356" t="s">
        <v>32</v>
      </c>
      <c r="V356">
        <v>2.4160999999999998E-2</v>
      </c>
      <c r="W356" t="s">
        <v>33</v>
      </c>
      <c r="X356">
        <v>0.17943100000000001</v>
      </c>
      <c r="Y356" t="s">
        <v>34</v>
      </c>
      <c r="Z356">
        <v>0.104183</v>
      </c>
      <c r="AA356" t="s">
        <v>35</v>
      </c>
      <c r="AB356">
        <v>6.0656000000000002E-2</v>
      </c>
      <c r="AC356" t="s">
        <v>36</v>
      </c>
      <c r="AD356">
        <v>0.26515300000000003</v>
      </c>
      <c r="AE356" t="s">
        <v>37</v>
      </c>
      <c r="AF356">
        <v>0.26155299999999998</v>
      </c>
      <c r="AG356" t="s">
        <v>38</v>
      </c>
      <c r="AH356">
        <v>0.98642200000000002</v>
      </c>
      <c r="AI356" t="s">
        <v>39</v>
      </c>
      <c r="AJ356">
        <v>0.777667</v>
      </c>
      <c r="AK356" t="s">
        <v>40</v>
      </c>
      <c r="AL356">
        <v>0.78449100000000005</v>
      </c>
      <c r="AM356" t="s">
        <v>41</v>
      </c>
      <c r="AN356">
        <v>46.363731000000001</v>
      </c>
      <c r="AO356" t="s">
        <v>42</v>
      </c>
      <c r="AP356">
        <v>25.010698000000001</v>
      </c>
    </row>
    <row r="357" spans="1:42" x14ac:dyDescent="0.3">
      <c r="A357" t="s">
        <v>22</v>
      </c>
      <c r="B357">
        <v>3.5699969999999999</v>
      </c>
      <c r="C357" t="s">
        <v>23</v>
      </c>
      <c r="D357">
        <v>1.0086310000000001</v>
      </c>
      <c r="E357" t="s">
        <v>24</v>
      </c>
      <c r="F357">
        <v>1.0364530000000001</v>
      </c>
      <c r="G357" t="s">
        <v>25</v>
      </c>
      <c r="H357">
        <v>0.91616900000000001</v>
      </c>
      <c r="I357" t="s">
        <v>26</v>
      </c>
      <c r="J357">
        <v>2.4000000000000001E-4</v>
      </c>
      <c r="K357" t="s">
        <v>27</v>
      </c>
      <c r="L357">
        <v>2.2176000000000001E-2</v>
      </c>
      <c r="M357" t="s">
        <v>28</v>
      </c>
      <c r="N357">
        <v>1.9602000000000001E-2</v>
      </c>
      <c r="O357" t="s">
        <v>29</v>
      </c>
      <c r="P357">
        <v>0.107276</v>
      </c>
      <c r="Q357" t="s">
        <v>30</v>
      </c>
      <c r="R357">
        <v>-4.0593999999999998E-2</v>
      </c>
      <c r="S357" t="s">
        <v>31</v>
      </c>
      <c r="T357">
        <v>0.59869000000000006</v>
      </c>
      <c r="U357" t="s">
        <v>32</v>
      </c>
      <c r="V357">
        <v>2.4098000000000001E-2</v>
      </c>
      <c r="W357" t="s">
        <v>33</v>
      </c>
      <c r="X357">
        <v>0.17954600000000001</v>
      </c>
      <c r="Y357" t="s">
        <v>34</v>
      </c>
      <c r="Z357">
        <v>0.104183</v>
      </c>
      <c r="AA357" t="s">
        <v>35</v>
      </c>
      <c r="AB357">
        <v>6.0498999999999997E-2</v>
      </c>
      <c r="AC357" t="s">
        <v>36</v>
      </c>
      <c r="AD357">
        <v>0.26513599999999998</v>
      </c>
      <c r="AE357" t="s">
        <v>37</v>
      </c>
      <c r="AF357">
        <v>0.26155299999999998</v>
      </c>
      <c r="AG357" t="s">
        <v>38</v>
      </c>
      <c r="AH357">
        <v>0.986487</v>
      </c>
      <c r="AI357" t="s">
        <v>39</v>
      </c>
      <c r="AJ357">
        <v>0.77769999999999995</v>
      </c>
      <c r="AK357" t="s">
        <v>40</v>
      </c>
      <c r="AL357">
        <v>0.78449100000000005</v>
      </c>
      <c r="AM357" t="s">
        <v>41</v>
      </c>
      <c r="AN357">
        <v>46.493969</v>
      </c>
      <c r="AO357" t="s">
        <v>42</v>
      </c>
      <c r="AP357">
        <v>25.077660000000002</v>
      </c>
    </row>
    <row r="358" spans="1:42" x14ac:dyDescent="0.3">
      <c r="A358" t="s">
        <v>22</v>
      </c>
      <c r="B358">
        <v>3.5799970000000001</v>
      </c>
      <c r="C358" t="s">
        <v>23</v>
      </c>
      <c r="D358">
        <v>1.008478</v>
      </c>
      <c r="E358" t="s">
        <v>24</v>
      </c>
      <c r="F358">
        <v>1.0361610000000001</v>
      </c>
      <c r="G358" t="s">
        <v>25</v>
      </c>
      <c r="H358">
        <v>0.91616900000000001</v>
      </c>
      <c r="I358" t="s">
        <v>26</v>
      </c>
      <c r="J358">
        <v>2.3900000000000001E-4</v>
      </c>
      <c r="K358" t="s">
        <v>27</v>
      </c>
      <c r="L358">
        <v>2.2169999999999999E-2</v>
      </c>
      <c r="M358" t="s">
        <v>28</v>
      </c>
      <c r="N358">
        <v>1.9602000000000001E-2</v>
      </c>
      <c r="O358" t="s">
        <v>29</v>
      </c>
      <c r="P358">
        <v>0.108089</v>
      </c>
      <c r="Q358" t="s">
        <v>30</v>
      </c>
      <c r="R358">
        <v>-3.9040999999999999E-2</v>
      </c>
      <c r="S358" t="s">
        <v>31</v>
      </c>
      <c r="T358">
        <v>0.59869000000000006</v>
      </c>
      <c r="U358" t="s">
        <v>32</v>
      </c>
      <c r="V358">
        <v>2.4035999999999998E-2</v>
      </c>
      <c r="W358" t="s">
        <v>33</v>
      </c>
      <c r="X358">
        <v>0.17965999999999999</v>
      </c>
      <c r="Y358" t="s">
        <v>34</v>
      </c>
      <c r="Z358">
        <v>0.104183</v>
      </c>
      <c r="AA358" t="s">
        <v>35</v>
      </c>
      <c r="AB358">
        <v>6.0342E-2</v>
      </c>
      <c r="AC358" t="s">
        <v>36</v>
      </c>
      <c r="AD358">
        <v>0.26511899999999999</v>
      </c>
      <c r="AE358" t="s">
        <v>37</v>
      </c>
      <c r="AF358">
        <v>0.26155299999999998</v>
      </c>
      <c r="AG358" t="s">
        <v>38</v>
      </c>
      <c r="AH358">
        <v>0.98655099999999996</v>
      </c>
      <c r="AI358" t="s">
        <v>39</v>
      </c>
      <c r="AJ358">
        <v>0.77773199999999998</v>
      </c>
      <c r="AK358" t="s">
        <v>40</v>
      </c>
      <c r="AL358">
        <v>0.78449100000000005</v>
      </c>
      <c r="AM358" t="s">
        <v>41</v>
      </c>
      <c r="AN358">
        <v>46.624203000000001</v>
      </c>
      <c r="AO358" t="s">
        <v>42</v>
      </c>
      <c r="AP358">
        <v>25.144629999999999</v>
      </c>
    </row>
    <row r="359" spans="1:42" x14ac:dyDescent="0.3">
      <c r="A359" t="s">
        <v>22</v>
      </c>
      <c r="B359">
        <v>3.5899969999999999</v>
      </c>
      <c r="C359" t="s">
        <v>23</v>
      </c>
      <c r="D359">
        <v>1.0083249999999999</v>
      </c>
      <c r="E359" t="s">
        <v>24</v>
      </c>
      <c r="F359">
        <v>1.0358700000000001</v>
      </c>
      <c r="G359" t="s">
        <v>25</v>
      </c>
      <c r="H359">
        <v>0.91616900000000001</v>
      </c>
      <c r="I359" t="s">
        <v>26</v>
      </c>
      <c r="J359">
        <v>2.3800000000000001E-4</v>
      </c>
      <c r="K359" t="s">
        <v>27</v>
      </c>
      <c r="L359">
        <v>2.2164E-2</v>
      </c>
      <c r="M359" t="s">
        <v>28</v>
      </c>
      <c r="N359">
        <v>1.9602000000000001E-2</v>
      </c>
      <c r="O359" t="s">
        <v>29</v>
      </c>
      <c r="P359">
        <v>0.108901</v>
      </c>
      <c r="Q359" t="s">
        <v>30</v>
      </c>
      <c r="R359">
        <v>-3.7495000000000001E-2</v>
      </c>
      <c r="S359" t="s">
        <v>31</v>
      </c>
      <c r="T359">
        <v>0.59869000000000006</v>
      </c>
      <c r="U359" t="s">
        <v>32</v>
      </c>
      <c r="V359">
        <v>2.3973999999999999E-2</v>
      </c>
      <c r="W359" t="s">
        <v>33</v>
      </c>
      <c r="X359">
        <v>0.17977499999999999</v>
      </c>
      <c r="Y359" t="s">
        <v>34</v>
      </c>
      <c r="Z359">
        <v>0.104183</v>
      </c>
      <c r="AA359" t="s">
        <v>35</v>
      </c>
      <c r="AB359">
        <v>6.0186999999999997E-2</v>
      </c>
      <c r="AC359" t="s">
        <v>36</v>
      </c>
      <c r="AD359">
        <v>0.26510099999999998</v>
      </c>
      <c r="AE359" t="s">
        <v>37</v>
      </c>
      <c r="AF359">
        <v>0.26155299999999998</v>
      </c>
      <c r="AG359" t="s">
        <v>38</v>
      </c>
      <c r="AH359">
        <v>0.98661500000000002</v>
      </c>
      <c r="AI359" t="s">
        <v>39</v>
      </c>
      <c r="AJ359">
        <v>0.77776599999999996</v>
      </c>
      <c r="AK359" t="s">
        <v>40</v>
      </c>
      <c r="AL359">
        <v>0.78449100000000005</v>
      </c>
      <c r="AM359" t="s">
        <v>41</v>
      </c>
      <c r="AN359">
        <v>46.754435999999998</v>
      </c>
      <c r="AO359" t="s">
        <v>42</v>
      </c>
      <c r="AP359">
        <v>25.211603</v>
      </c>
    </row>
    <row r="360" spans="1:42" x14ac:dyDescent="0.3">
      <c r="A360" t="s">
        <v>22</v>
      </c>
      <c r="B360">
        <v>3.5999970000000001</v>
      </c>
      <c r="C360" t="s">
        <v>23</v>
      </c>
      <c r="D360">
        <v>1.008173</v>
      </c>
      <c r="E360" t="s">
        <v>24</v>
      </c>
      <c r="F360">
        <v>1.0355810000000001</v>
      </c>
      <c r="G360" t="s">
        <v>25</v>
      </c>
      <c r="H360">
        <v>0.91616900000000001</v>
      </c>
      <c r="I360" t="s">
        <v>26</v>
      </c>
      <c r="J360">
        <v>2.3699999999999999E-4</v>
      </c>
      <c r="K360" t="s">
        <v>27</v>
      </c>
      <c r="L360">
        <v>2.2158000000000001E-2</v>
      </c>
      <c r="M360" t="s">
        <v>28</v>
      </c>
      <c r="N360">
        <v>1.9602000000000001E-2</v>
      </c>
      <c r="O360" t="s">
        <v>29</v>
      </c>
      <c r="P360">
        <v>0.10971</v>
      </c>
      <c r="Q360" t="s">
        <v>30</v>
      </c>
      <c r="R360">
        <v>-3.5956000000000002E-2</v>
      </c>
      <c r="S360" t="s">
        <v>31</v>
      </c>
      <c r="T360">
        <v>0.59869000000000006</v>
      </c>
      <c r="U360" t="s">
        <v>32</v>
      </c>
      <c r="V360">
        <v>2.3911999999999999E-2</v>
      </c>
      <c r="W360" t="s">
        <v>33</v>
      </c>
      <c r="X360">
        <v>0.17988899999999999</v>
      </c>
      <c r="Y360" t="s">
        <v>34</v>
      </c>
      <c r="Z360">
        <v>0.104183</v>
      </c>
      <c r="AA360" t="s">
        <v>35</v>
      </c>
      <c r="AB360">
        <v>6.0032000000000002E-2</v>
      </c>
      <c r="AC360" t="s">
        <v>36</v>
      </c>
      <c r="AD360">
        <v>0.26508399999999999</v>
      </c>
      <c r="AE360" t="s">
        <v>37</v>
      </c>
      <c r="AF360">
        <v>0.26155299999999998</v>
      </c>
      <c r="AG360" t="s">
        <v>38</v>
      </c>
      <c r="AH360">
        <v>0.98667800000000006</v>
      </c>
      <c r="AI360" t="s">
        <v>39</v>
      </c>
      <c r="AJ360">
        <v>0.77779900000000002</v>
      </c>
      <c r="AK360" t="s">
        <v>40</v>
      </c>
      <c r="AL360">
        <v>0.78449100000000005</v>
      </c>
      <c r="AM360" t="s">
        <v>41</v>
      </c>
      <c r="AN360">
        <v>46.884673999999997</v>
      </c>
      <c r="AO360" t="s">
        <v>42</v>
      </c>
      <c r="AP360">
        <v>25.278582</v>
      </c>
    </row>
    <row r="361" spans="1:42" x14ac:dyDescent="0.3">
      <c r="A361" t="s">
        <v>22</v>
      </c>
      <c r="B361">
        <v>3.6099969999999999</v>
      </c>
      <c r="C361" t="s">
        <v>23</v>
      </c>
      <c r="D361">
        <v>1.0080210000000001</v>
      </c>
      <c r="E361" t="s">
        <v>24</v>
      </c>
      <c r="F361">
        <v>1.0352920000000001</v>
      </c>
      <c r="G361" t="s">
        <v>25</v>
      </c>
      <c r="H361">
        <v>0.91616900000000001</v>
      </c>
      <c r="I361" t="s">
        <v>26</v>
      </c>
      <c r="J361">
        <v>2.3599999999999999E-4</v>
      </c>
      <c r="K361" t="s">
        <v>27</v>
      </c>
      <c r="L361">
        <v>2.2151000000000001E-2</v>
      </c>
      <c r="M361" t="s">
        <v>28</v>
      </c>
      <c r="N361">
        <v>1.9602000000000001E-2</v>
      </c>
      <c r="O361" t="s">
        <v>29</v>
      </c>
      <c r="P361">
        <v>0.11051800000000001</v>
      </c>
      <c r="Q361" t="s">
        <v>30</v>
      </c>
      <c r="R361">
        <v>-3.4424000000000003E-2</v>
      </c>
      <c r="S361" t="s">
        <v>31</v>
      </c>
      <c r="T361">
        <v>0.59869000000000006</v>
      </c>
      <c r="U361" t="s">
        <v>32</v>
      </c>
      <c r="V361">
        <v>2.3851000000000001E-2</v>
      </c>
      <c r="W361" t="s">
        <v>33</v>
      </c>
      <c r="X361">
        <v>0.180004</v>
      </c>
      <c r="Y361" t="s">
        <v>34</v>
      </c>
      <c r="Z361">
        <v>0.104183</v>
      </c>
      <c r="AA361" t="s">
        <v>35</v>
      </c>
      <c r="AB361">
        <v>5.9878000000000001E-2</v>
      </c>
      <c r="AC361" t="s">
        <v>36</v>
      </c>
      <c r="AD361">
        <v>0.26506800000000003</v>
      </c>
      <c r="AE361" t="s">
        <v>37</v>
      </c>
      <c r="AF361">
        <v>0.26155299999999998</v>
      </c>
      <c r="AG361" t="s">
        <v>38</v>
      </c>
      <c r="AH361">
        <v>0.98674099999999998</v>
      </c>
      <c r="AI361" t="s">
        <v>39</v>
      </c>
      <c r="AJ361">
        <v>0.77783100000000005</v>
      </c>
      <c r="AK361" t="s">
        <v>40</v>
      </c>
      <c r="AL361">
        <v>0.78449100000000005</v>
      </c>
      <c r="AM361" t="s">
        <v>41</v>
      </c>
      <c r="AN361">
        <v>47.014907999999998</v>
      </c>
      <c r="AO361" t="s">
        <v>42</v>
      </c>
      <c r="AP361">
        <v>25.345566000000002</v>
      </c>
    </row>
    <row r="362" spans="1:42" x14ac:dyDescent="0.3">
      <c r="A362" t="s">
        <v>22</v>
      </c>
      <c r="B362">
        <v>3.6199970000000001</v>
      </c>
      <c r="C362" t="s">
        <v>23</v>
      </c>
      <c r="D362">
        <v>1.0078689999999999</v>
      </c>
      <c r="E362" t="s">
        <v>24</v>
      </c>
      <c r="F362">
        <v>1.0350060000000001</v>
      </c>
      <c r="G362" t="s">
        <v>25</v>
      </c>
      <c r="H362">
        <v>0.91616900000000001</v>
      </c>
      <c r="I362" t="s">
        <v>26</v>
      </c>
      <c r="J362">
        <v>2.3499999999999999E-4</v>
      </c>
      <c r="K362" t="s">
        <v>27</v>
      </c>
      <c r="L362">
        <v>2.2145000000000001E-2</v>
      </c>
      <c r="M362" t="s">
        <v>28</v>
      </c>
      <c r="N362">
        <v>1.9602000000000001E-2</v>
      </c>
      <c r="O362" t="s">
        <v>29</v>
      </c>
      <c r="P362">
        <v>0.11132300000000001</v>
      </c>
      <c r="Q362" t="s">
        <v>30</v>
      </c>
      <c r="R362">
        <v>-3.2898999999999998E-2</v>
      </c>
      <c r="S362" t="s">
        <v>31</v>
      </c>
      <c r="T362">
        <v>0.59869000000000006</v>
      </c>
      <c r="U362" t="s">
        <v>32</v>
      </c>
      <c r="V362">
        <v>2.3789999999999999E-2</v>
      </c>
      <c r="W362" t="s">
        <v>33</v>
      </c>
      <c r="X362">
        <v>0.180119</v>
      </c>
      <c r="Y362" t="s">
        <v>34</v>
      </c>
      <c r="Z362">
        <v>0.104183</v>
      </c>
      <c r="AA362" t="s">
        <v>35</v>
      </c>
      <c r="AB362">
        <v>5.9725E-2</v>
      </c>
      <c r="AC362" t="s">
        <v>36</v>
      </c>
      <c r="AD362">
        <v>0.26505099999999998</v>
      </c>
      <c r="AE362" t="s">
        <v>37</v>
      </c>
      <c r="AF362">
        <v>0.26155299999999998</v>
      </c>
      <c r="AG362" t="s">
        <v>38</v>
      </c>
      <c r="AH362">
        <v>0.98680400000000001</v>
      </c>
      <c r="AI362" t="s">
        <v>39</v>
      </c>
      <c r="AJ362">
        <v>0.77786299999999997</v>
      </c>
      <c r="AK362" t="s">
        <v>40</v>
      </c>
      <c r="AL362">
        <v>0.78449100000000005</v>
      </c>
      <c r="AM362" t="s">
        <v>41</v>
      </c>
      <c r="AN362">
        <v>47.145144999999999</v>
      </c>
      <c r="AO362" t="s">
        <v>42</v>
      </c>
      <c r="AP362">
        <v>25.412554</v>
      </c>
    </row>
    <row r="363" spans="1:42" x14ac:dyDescent="0.3">
      <c r="A363" t="s">
        <v>22</v>
      </c>
      <c r="B363">
        <v>3.6299969999999999</v>
      </c>
      <c r="C363" t="s">
        <v>23</v>
      </c>
      <c r="D363">
        <v>1.0077179999999999</v>
      </c>
      <c r="E363" t="s">
        <v>24</v>
      </c>
      <c r="F363">
        <v>1.0347200000000001</v>
      </c>
      <c r="G363" t="s">
        <v>25</v>
      </c>
      <c r="H363">
        <v>0.91616900000000001</v>
      </c>
      <c r="I363" t="s">
        <v>26</v>
      </c>
      <c r="J363">
        <v>2.34E-4</v>
      </c>
      <c r="K363" t="s">
        <v>27</v>
      </c>
      <c r="L363">
        <v>2.2138999999999999E-2</v>
      </c>
      <c r="M363" t="s">
        <v>28</v>
      </c>
      <c r="N363">
        <v>1.9602000000000001E-2</v>
      </c>
      <c r="O363" t="s">
        <v>29</v>
      </c>
      <c r="P363">
        <v>0.112127</v>
      </c>
      <c r="Q363" t="s">
        <v>30</v>
      </c>
      <c r="R363">
        <v>-3.1382E-2</v>
      </c>
      <c r="S363" t="s">
        <v>31</v>
      </c>
      <c r="T363">
        <v>0.59869000000000006</v>
      </c>
      <c r="U363" t="s">
        <v>32</v>
      </c>
      <c r="V363">
        <v>2.3729E-2</v>
      </c>
      <c r="W363" t="s">
        <v>33</v>
      </c>
      <c r="X363">
        <v>0.18023400000000001</v>
      </c>
      <c r="Y363" t="s">
        <v>34</v>
      </c>
      <c r="Z363">
        <v>0.104183</v>
      </c>
      <c r="AA363" t="s">
        <v>35</v>
      </c>
      <c r="AB363">
        <v>5.9573000000000001E-2</v>
      </c>
      <c r="AC363" t="s">
        <v>36</v>
      </c>
      <c r="AD363">
        <v>0.26503399999999999</v>
      </c>
      <c r="AE363" t="s">
        <v>37</v>
      </c>
      <c r="AF363">
        <v>0.26155299999999998</v>
      </c>
      <c r="AG363" t="s">
        <v>38</v>
      </c>
      <c r="AH363">
        <v>0.98686600000000002</v>
      </c>
      <c r="AI363" t="s">
        <v>39</v>
      </c>
      <c r="AJ363">
        <v>0.777895</v>
      </c>
      <c r="AK363" t="s">
        <v>40</v>
      </c>
      <c r="AL363">
        <v>0.78449100000000005</v>
      </c>
      <c r="AM363" t="s">
        <v>41</v>
      </c>
      <c r="AN363">
        <v>47.275379000000001</v>
      </c>
      <c r="AO363" t="s">
        <v>42</v>
      </c>
      <c r="AP363">
        <v>25.479548000000001</v>
      </c>
    </row>
    <row r="364" spans="1:42" x14ac:dyDescent="0.3">
      <c r="A364" t="s">
        <v>22</v>
      </c>
      <c r="B364">
        <v>3.6399970000000001</v>
      </c>
      <c r="C364" t="s">
        <v>23</v>
      </c>
      <c r="D364">
        <v>1.007568</v>
      </c>
      <c r="E364" t="s">
        <v>24</v>
      </c>
      <c r="F364">
        <v>1.0344359999999999</v>
      </c>
      <c r="G364" t="s">
        <v>25</v>
      </c>
      <c r="H364">
        <v>0.91616900000000001</v>
      </c>
      <c r="I364" t="s">
        <v>26</v>
      </c>
      <c r="J364">
        <v>2.33E-4</v>
      </c>
      <c r="K364" t="s">
        <v>27</v>
      </c>
      <c r="L364">
        <v>2.2133E-2</v>
      </c>
      <c r="M364" t="s">
        <v>28</v>
      </c>
      <c r="N364">
        <v>1.9602000000000001E-2</v>
      </c>
      <c r="O364" t="s">
        <v>29</v>
      </c>
      <c r="P364">
        <v>0.112928</v>
      </c>
      <c r="Q364" t="s">
        <v>30</v>
      </c>
      <c r="R364">
        <v>-2.9871000000000002E-2</v>
      </c>
      <c r="S364" t="s">
        <v>31</v>
      </c>
      <c r="T364">
        <v>0.59869000000000006</v>
      </c>
      <c r="U364" t="s">
        <v>32</v>
      </c>
      <c r="V364">
        <v>2.3668999999999999E-2</v>
      </c>
      <c r="W364" t="s">
        <v>33</v>
      </c>
      <c r="X364">
        <v>0.18034800000000001</v>
      </c>
      <c r="Y364" t="s">
        <v>34</v>
      </c>
      <c r="Z364">
        <v>0.104183</v>
      </c>
      <c r="AA364" t="s">
        <v>35</v>
      </c>
      <c r="AB364">
        <v>5.9421000000000002E-2</v>
      </c>
      <c r="AC364" t="s">
        <v>36</v>
      </c>
      <c r="AD364">
        <v>0.265017</v>
      </c>
      <c r="AE364" t="s">
        <v>37</v>
      </c>
      <c r="AF364">
        <v>0.26155299999999998</v>
      </c>
      <c r="AG364" t="s">
        <v>38</v>
      </c>
      <c r="AH364">
        <v>0.98692800000000003</v>
      </c>
      <c r="AI364" t="s">
        <v>39</v>
      </c>
      <c r="AJ364">
        <v>0.77792700000000004</v>
      </c>
      <c r="AK364" t="s">
        <v>40</v>
      </c>
      <c r="AL364">
        <v>0.78449100000000005</v>
      </c>
      <c r="AM364" t="s">
        <v>41</v>
      </c>
      <c r="AN364">
        <v>47.405613000000002</v>
      </c>
      <c r="AO364" t="s">
        <v>42</v>
      </c>
      <c r="AP364">
        <v>25.546544999999998</v>
      </c>
    </row>
    <row r="365" spans="1:42" x14ac:dyDescent="0.3">
      <c r="A365" t="s">
        <v>22</v>
      </c>
      <c r="B365">
        <v>3.6499969999999999</v>
      </c>
      <c r="C365" t="s">
        <v>23</v>
      </c>
      <c r="D365">
        <v>1.007417</v>
      </c>
      <c r="E365" t="s">
        <v>24</v>
      </c>
      <c r="F365">
        <v>1.0341530000000001</v>
      </c>
      <c r="G365" t="s">
        <v>25</v>
      </c>
      <c r="H365">
        <v>0.91616900000000001</v>
      </c>
      <c r="I365" t="s">
        <v>26</v>
      </c>
      <c r="J365">
        <v>2.33E-4</v>
      </c>
      <c r="K365" t="s">
        <v>27</v>
      </c>
      <c r="L365">
        <v>2.2127000000000001E-2</v>
      </c>
      <c r="M365" t="s">
        <v>28</v>
      </c>
      <c r="N365">
        <v>1.9602000000000001E-2</v>
      </c>
      <c r="O365" t="s">
        <v>29</v>
      </c>
      <c r="P365">
        <v>0.11373</v>
      </c>
      <c r="Q365" t="s">
        <v>30</v>
      </c>
      <c r="R365">
        <v>-2.8368999999999998E-2</v>
      </c>
      <c r="S365" t="s">
        <v>31</v>
      </c>
      <c r="T365">
        <v>0.59869000000000006</v>
      </c>
      <c r="U365" t="s">
        <v>32</v>
      </c>
      <c r="V365">
        <v>2.3609000000000002E-2</v>
      </c>
      <c r="W365" t="s">
        <v>33</v>
      </c>
      <c r="X365">
        <v>0.18046300000000001</v>
      </c>
      <c r="Y365" t="s">
        <v>34</v>
      </c>
      <c r="Z365">
        <v>0.104183</v>
      </c>
      <c r="AA365" t="s">
        <v>35</v>
      </c>
      <c r="AB365">
        <v>5.9270000000000003E-2</v>
      </c>
      <c r="AC365" t="s">
        <v>36</v>
      </c>
      <c r="AD365">
        <v>0.26500099999999999</v>
      </c>
      <c r="AE365" t="s">
        <v>37</v>
      </c>
      <c r="AF365">
        <v>0.26155299999999998</v>
      </c>
      <c r="AG365" t="s">
        <v>38</v>
      </c>
      <c r="AH365">
        <v>0.98698900000000001</v>
      </c>
      <c r="AI365" t="s">
        <v>39</v>
      </c>
      <c r="AJ365">
        <v>0.77795800000000004</v>
      </c>
      <c r="AK365" t="s">
        <v>40</v>
      </c>
      <c r="AL365">
        <v>0.78449100000000005</v>
      </c>
      <c r="AM365" t="s">
        <v>41</v>
      </c>
      <c r="AN365">
        <v>47.535851000000001</v>
      </c>
      <c r="AO365" t="s">
        <v>42</v>
      </c>
      <c r="AP365">
        <v>25.613551999999999</v>
      </c>
    </row>
    <row r="366" spans="1:42" x14ac:dyDescent="0.3">
      <c r="A366" t="s">
        <v>22</v>
      </c>
      <c r="B366">
        <v>3.6599970000000002</v>
      </c>
      <c r="C366" t="s">
        <v>23</v>
      </c>
      <c r="D366">
        <v>1.0072669999999999</v>
      </c>
      <c r="E366" t="s">
        <v>24</v>
      </c>
      <c r="F366">
        <v>1.0338719999999999</v>
      </c>
      <c r="G366" t="s">
        <v>25</v>
      </c>
      <c r="H366">
        <v>0.91616900000000001</v>
      </c>
      <c r="I366" t="s">
        <v>26</v>
      </c>
      <c r="J366">
        <v>2.32E-4</v>
      </c>
      <c r="K366" t="s">
        <v>27</v>
      </c>
      <c r="L366">
        <v>2.2120999999999998E-2</v>
      </c>
      <c r="M366" t="s">
        <v>28</v>
      </c>
      <c r="N366">
        <v>1.9602000000000001E-2</v>
      </c>
      <c r="O366" t="s">
        <v>29</v>
      </c>
      <c r="P366">
        <v>0.114526</v>
      </c>
      <c r="Q366" t="s">
        <v>30</v>
      </c>
      <c r="R366">
        <v>-2.6872E-2</v>
      </c>
      <c r="S366" t="s">
        <v>31</v>
      </c>
      <c r="T366">
        <v>0.59869000000000006</v>
      </c>
      <c r="U366" t="s">
        <v>32</v>
      </c>
      <c r="V366">
        <v>2.3549E-2</v>
      </c>
      <c r="W366" t="s">
        <v>33</v>
      </c>
      <c r="X366">
        <v>0.18057799999999999</v>
      </c>
      <c r="Y366" t="s">
        <v>34</v>
      </c>
      <c r="Z366">
        <v>0.104183</v>
      </c>
      <c r="AA366" t="s">
        <v>35</v>
      </c>
      <c r="AB366">
        <v>5.9119999999999999E-2</v>
      </c>
      <c r="AC366" t="s">
        <v>36</v>
      </c>
      <c r="AD366">
        <v>0.26498500000000003</v>
      </c>
      <c r="AE366" t="s">
        <v>37</v>
      </c>
      <c r="AF366">
        <v>0.26155299999999998</v>
      </c>
      <c r="AG366" t="s">
        <v>38</v>
      </c>
      <c r="AH366">
        <v>0.98704999999999998</v>
      </c>
      <c r="AI366" t="s">
        <v>39</v>
      </c>
      <c r="AJ366">
        <v>0.77798999999999996</v>
      </c>
      <c r="AK366" t="s">
        <v>40</v>
      </c>
      <c r="AL366">
        <v>0.78449100000000005</v>
      </c>
      <c r="AM366" t="s">
        <v>41</v>
      </c>
      <c r="AN366">
        <v>47.666083999999998</v>
      </c>
      <c r="AO366" t="s">
        <v>42</v>
      </c>
      <c r="AP366">
        <v>25.680562999999999</v>
      </c>
    </row>
    <row r="367" spans="1:42" x14ac:dyDescent="0.3">
      <c r="A367" t="s">
        <v>22</v>
      </c>
      <c r="B367">
        <v>3.669997</v>
      </c>
      <c r="C367" t="s">
        <v>23</v>
      </c>
      <c r="D367">
        <v>1.007117</v>
      </c>
      <c r="E367" t="s">
        <v>24</v>
      </c>
      <c r="F367">
        <v>1.0335909999999999</v>
      </c>
      <c r="G367" t="s">
        <v>25</v>
      </c>
      <c r="H367">
        <v>0.91616900000000001</v>
      </c>
      <c r="I367" t="s">
        <v>26</v>
      </c>
      <c r="J367">
        <v>2.31E-4</v>
      </c>
      <c r="K367" t="s">
        <v>27</v>
      </c>
      <c r="L367">
        <v>2.2114999999999999E-2</v>
      </c>
      <c r="M367" t="s">
        <v>28</v>
      </c>
      <c r="N367">
        <v>1.9602000000000001E-2</v>
      </c>
      <c r="O367" t="s">
        <v>29</v>
      </c>
      <c r="P367">
        <v>0.11532199999999999</v>
      </c>
      <c r="Q367" t="s">
        <v>30</v>
      </c>
      <c r="R367">
        <v>-2.5382999999999999E-2</v>
      </c>
      <c r="S367" t="s">
        <v>31</v>
      </c>
      <c r="T367">
        <v>0.59869000000000006</v>
      </c>
      <c r="U367" t="s">
        <v>32</v>
      </c>
      <c r="V367">
        <v>2.3488999999999999E-2</v>
      </c>
      <c r="W367" t="s">
        <v>33</v>
      </c>
      <c r="X367">
        <v>0.18069299999999999</v>
      </c>
      <c r="Y367" t="s">
        <v>34</v>
      </c>
      <c r="Z367">
        <v>0.104183</v>
      </c>
      <c r="AA367" t="s">
        <v>35</v>
      </c>
      <c r="AB367">
        <v>5.8970000000000002E-2</v>
      </c>
      <c r="AC367" t="s">
        <v>36</v>
      </c>
      <c r="AD367">
        <v>0.26496799999999998</v>
      </c>
      <c r="AE367" t="s">
        <v>37</v>
      </c>
      <c r="AF367">
        <v>0.26155299999999998</v>
      </c>
      <c r="AG367" t="s">
        <v>38</v>
      </c>
      <c r="AH367">
        <v>0.98711000000000004</v>
      </c>
      <c r="AI367" t="s">
        <v>39</v>
      </c>
      <c r="AJ367">
        <v>0.77802099999999996</v>
      </c>
      <c r="AK367" t="s">
        <v>40</v>
      </c>
      <c r="AL367">
        <v>0.78449100000000005</v>
      </c>
      <c r="AM367" t="s">
        <v>41</v>
      </c>
      <c r="AN367">
        <v>47.796317999999999</v>
      </c>
      <c r="AO367" t="s">
        <v>42</v>
      </c>
      <c r="AP367">
        <v>25.747574</v>
      </c>
    </row>
    <row r="368" spans="1:42" x14ac:dyDescent="0.3">
      <c r="A368" t="s">
        <v>22</v>
      </c>
      <c r="B368">
        <v>3.6799970000000002</v>
      </c>
      <c r="C368" t="s">
        <v>23</v>
      </c>
      <c r="D368">
        <v>1.0069680000000001</v>
      </c>
      <c r="E368" t="s">
        <v>24</v>
      </c>
      <c r="F368">
        <v>1.033312</v>
      </c>
      <c r="G368" t="s">
        <v>25</v>
      </c>
      <c r="H368">
        <v>0.91616900000000001</v>
      </c>
      <c r="I368" t="s">
        <v>26</v>
      </c>
      <c r="J368">
        <v>2.3000000000000001E-4</v>
      </c>
      <c r="K368" t="s">
        <v>27</v>
      </c>
      <c r="L368">
        <v>2.2109E-2</v>
      </c>
      <c r="M368" t="s">
        <v>28</v>
      </c>
      <c r="N368">
        <v>1.9602000000000001E-2</v>
      </c>
      <c r="O368" t="s">
        <v>29</v>
      </c>
      <c r="P368">
        <v>0.116117</v>
      </c>
      <c r="Q368" t="s">
        <v>30</v>
      </c>
      <c r="R368">
        <v>-2.3900999999999999E-2</v>
      </c>
      <c r="S368" t="s">
        <v>31</v>
      </c>
      <c r="T368">
        <v>0.59869000000000006</v>
      </c>
      <c r="U368" t="s">
        <v>32</v>
      </c>
      <c r="V368">
        <v>2.3429999999999999E-2</v>
      </c>
      <c r="W368" t="s">
        <v>33</v>
      </c>
      <c r="X368">
        <v>0.180808</v>
      </c>
      <c r="Y368" t="s">
        <v>34</v>
      </c>
      <c r="Z368">
        <v>0.104183</v>
      </c>
      <c r="AA368" t="s">
        <v>35</v>
      </c>
      <c r="AB368">
        <v>5.8821999999999999E-2</v>
      </c>
      <c r="AC368" t="s">
        <v>36</v>
      </c>
      <c r="AD368">
        <v>0.26495200000000002</v>
      </c>
      <c r="AE368" t="s">
        <v>37</v>
      </c>
      <c r="AF368">
        <v>0.26155299999999998</v>
      </c>
      <c r="AG368" t="s">
        <v>38</v>
      </c>
      <c r="AH368">
        <v>0.98716999999999999</v>
      </c>
      <c r="AI368" t="s">
        <v>39</v>
      </c>
      <c r="AJ368">
        <v>0.77805100000000005</v>
      </c>
      <c r="AK368" t="s">
        <v>40</v>
      </c>
      <c r="AL368">
        <v>0.78449100000000005</v>
      </c>
      <c r="AM368" t="s">
        <v>41</v>
      </c>
      <c r="AN368">
        <v>47.926555999999998</v>
      </c>
      <c r="AO368" t="s">
        <v>42</v>
      </c>
      <c r="AP368">
        <v>25.814594</v>
      </c>
    </row>
    <row r="369" spans="1:42" x14ac:dyDescent="0.3">
      <c r="A369" t="s">
        <v>22</v>
      </c>
      <c r="B369">
        <v>3.689997</v>
      </c>
      <c r="C369" t="s">
        <v>23</v>
      </c>
      <c r="D369">
        <v>1.0068189999999999</v>
      </c>
      <c r="E369" t="s">
        <v>24</v>
      </c>
      <c r="F369">
        <v>1.0330349999999999</v>
      </c>
      <c r="G369" t="s">
        <v>25</v>
      </c>
      <c r="H369">
        <v>0.91616900000000001</v>
      </c>
      <c r="I369" t="s">
        <v>26</v>
      </c>
      <c r="J369">
        <v>2.2900000000000001E-4</v>
      </c>
      <c r="K369" t="s">
        <v>27</v>
      </c>
      <c r="L369">
        <v>2.2103000000000001E-2</v>
      </c>
      <c r="M369" t="s">
        <v>28</v>
      </c>
      <c r="N369">
        <v>1.9602000000000001E-2</v>
      </c>
      <c r="O369" t="s">
        <v>29</v>
      </c>
      <c r="P369">
        <v>0.116909</v>
      </c>
      <c r="Q369" t="s">
        <v>30</v>
      </c>
      <c r="R369">
        <v>-2.2425E-2</v>
      </c>
      <c r="S369" t="s">
        <v>31</v>
      </c>
      <c r="T369">
        <v>0.59869000000000006</v>
      </c>
      <c r="U369" t="s">
        <v>32</v>
      </c>
      <c r="V369">
        <v>2.3370999999999999E-2</v>
      </c>
      <c r="W369" t="s">
        <v>33</v>
      </c>
      <c r="X369">
        <v>0.180923</v>
      </c>
      <c r="Y369" t="s">
        <v>34</v>
      </c>
      <c r="Z369">
        <v>0.104183</v>
      </c>
      <c r="AA369" t="s">
        <v>35</v>
      </c>
      <c r="AB369">
        <v>5.8673999999999997E-2</v>
      </c>
      <c r="AC369" t="s">
        <v>36</v>
      </c>
      <c r="AD369">
        <v>0.264936</v>
      </c>
      <c r="AE369" t="s">
        <v>37</v>
      </c>
      <c r="AF369">
        <v>0.26155299999999998</v>
      </c>
      <c r="AG369" t="s">
        <v>38</v>
      </c>
      <c r="AH369">
        <v>0.98723000000000005</v>
      </c>
      <c r="AI369" t="s">
        <v>39</v>
      </c>
      <c r="AJ369">
        <v>0.77808200000000005</v>
      </c>
      <c r="AK369" t="s">
        <v>40</v>
      </c>
      <c r="AL369">
        <v>0.78449100000000005</v>
      </c>
      <c r="AM369" t="s">
        <v>41</v>
      </c>
      <c r="AN369">
        <v>48.056789000000002</v>
      </c>
      <c r="AO369" t="s">
        <v>42</v>
      </c>
      <c r="AP369">
        <v>25.881616999999999</v>
      </c>
    </row>
    <row r="370" spans="1:42" x14ac:dyDescent="0.3">
      <c r="A370" t="s">
        <v>22</v>
      </c>
      <c r="B370">
        <v>3.6999970000000002</v>
      </c>
      <c r="C370" t="s">
        <v>23</v>
      </c>
      <c r="D370">
        <v>1.00667</v>
      </c>
      <c r="E370" t="s">
        <v>24</v>
      </c>
      <c r="F370">
        <v>1.0327580000000001</v>
      </c>
      <c r="G370" t="s">
        <v>25</v>
      </c>
      <c r="H370">
        <v>0.91616900000000001</v>
      </c>
      <c r="I370" t="s">
        <v>26</v>
      </c>
      <c r="J370">
        <v>2.2800000000000001E-4</v>
      </c>
      <c r="K370" t="s">
        <v>27</v>
      </c>
      <c r="L370">
        <v>2.2096999999999999E-2</v>
      </c>
      <c r="M370" t="s">
        <v>28</v>
      </c>
      <c r="N370">
        <v>1.9602000000000001E-2</v>
      </c>
      <c r="O370" t="s">
        <v>29</v>
      </c>
      <c r="P370">
        <v>0.117699</v>
      </c>
      <c r="Q370" t="s">
        <v>30</v>
      </c>
      <c r="R370">
        <v>-2.0955999999999999E-2</v>
      </c>
      <c r="S370" t="s">
        <v>31</v>
      </c>
      <c r="T370">
        <v>0.59869000000000006</v>
      </c>
      <c r="U370" t="s">
        <v>32</v>
      </c>
      <c r="V370">
        <v>2.3311999999999999E-2</v>
      </c>
      <c r="W370" t="s">
        <v>33</v>
      </c>
      <c r="X370">
        <v>0.181038</v>
      </c>
      <c r="Y370" t="s">
        <v>34</v>
      </c>
      <c r="Z370">
        <v>0.104183</v>
      </c>
      <c r="AA370" t="s">
        <v>35</v>
      </c>
      <c r="AB370">
        <v>5.8526000000000002E-2</v>
      </c>
      <c r="AC370" t="s">
        <v>36</v>
      </c>
      <c r="AD370">
        <v>0.26492100000000002</v>
      </c>
      <c r="AE370" t="s">
        <v>37</v>
      </c>
      <c r="AF370">
        <v>0.26155299999999998</v>
      </c>
      <c r="AG370" t="s">
        <v>38</v>
      </c>
      <c r="AH370">
        <v>0.98728899999999997</v>
      </c>
      <c r="AI370" t="s">
        <v>39</v>
      </c>
      <c r="AJ370">
        <v>0.77811200000000003</v>
      </c>
      <c r="AK370" t="s">
        <v>40</v>
      </c>
      <c r="AL370">
        <v>0.78449100000000005</v>
      </c>
      <c r="AM370" t="s">
        <v>41</v>
      </c>
      <c r="AN370">
        <v>48.187027</v>
      </c>
      <c r="AO370" t="s">
        <v>42</v>
      </c>
      <c r="AP370">
        <v>25.948647000000001</v>
      </c>
    </row>
    <row r="371" spans="1:42" x14ac:dyDescent="0.3">
      <c r="A371" t="s">
        <v>22</v>
      </c>
      <c r="B371">
        <v>3.709997</v>
      </c>
      <c r="C371" t="s">
        <v>23</v>
      </c>
      <c r="D371">
        <v>1.0065219999999999</v>
      </c>
      <c r="E371" t="s">
        <v>24</v>
      </c>
      <c r="F371">
        <v>1.032483</v>
      </c>
      <c r="G371" t="s">
        <v>25</v>
      </c>
      <c r="H371">
        <v>0.91616900000000001</v>
      </c>
      <c r="I371" t="s">
        <v>26</v>
      </c>
      <c r="J371">
        <v>2.2699999999999999E-4</v>
      </c>
      <c r="K371" t="s">
        <v>27</v>
      </c>
      <c r="L371">
        <v>2.2091E-2</v>
      </c>
      <c r="M371" t="s">
        <v>28</v>
      </c>
      <c r="N371">
        <v>1.9602000000000001E-2</v>
      </c>
      <c r="O371" t="s">
        <v>29</v>
      </c>
      <c r="P371">
        <v>0.118487</v>
      </c>
      <c r="Q371" t="s">
        <v>30</v>
      </c>
      <c r="R371">
        <v>-1.9494000000000001E-2</v>
      </c>
      <c r="S371" t="s">
        <v>31</v>
      </c>
      <c r="T371">
        <v>0.59869000000000006</v>
      </c>
      <c r="U371" t="s">
        <v>32</v>
      </c>
      <c r="V371">
        <v>2.3254E-2</v>
      </c>
      <c r="W371" t="s">
        <v>33</v>
      </c>
      <c r="X371">
        <v>0.18115300000000001</v>
      </c>
      <c r="Y371" t="s">
        <v>34</v>
      </c>
      <c r="Z371">
        <v>0.104183</v>
      </c>
      <c r="AA371" t="s">
        <v>35</v>
      </c>
      <c r="AB371">
        <v>5.8379E-2</v>
      </c>
      <c r="AC371" t="s">
        <v>36</v>
      </c>
      <c r="AD371">
        <v>0.264905</v>
      </c>
      <c r="AE371" t="s">
        <v>37</v>
      </c>
      <c r="AF371">
        <v>0.26155299999999998</v>
      </c>
      <c r="AG371" t="s">
        <v>38</v>
      </c>
      <c r="AH371">
        <v>0.987348</v>
      </c>
      <c r="AI371" t="s">
        <v>39</v>
      </c>
      <c r="AJ371">
        <v>0.778142</v>
      </c>
      <c r="AK371" t="s">
        <v>40</v>
      </c>
      <c r="AL371">
        <v>0.78449100000000005</v>
      </c>
      <c r="AM371" t="s">
        <v>41</v>
      </c>
      <c r="AN371">
        <v>48.317261000000002</v>
      </c>
      <c r="AO371" t="s">
        <v>42</v>
      </c>
      <c r="AP371">
        <v>26.015678000000001</v>
      </c>
    </row>
    <row r="372" spans="1:42" x14ac:dyDescent="0.3">
      <c r="A372" t="s">
        <v>22</v>
      </c>
      <c r="B372">
        <v>3.7199970000000002</v>
      </c>
      <c r="C372" t="s">
        <v>23</v>
      </c>
      <c r="D372">
        <v>1.0063740000000001</v>
      </c>
      <c r="E372" t="s">
        <v>24</v>
      </c>
      <c r="F372">
        <v>1.0322089999999999</v>
      </c>
      <c r="G372" t="s">
        <v>25</v>
      </c>
      <c r="H372">
        <v>0.91616900000000001</v>
      </c>
      <c r="I372" t="s">
        <v>26</v>
      </c>
      <c r="J372">
        <v>2.2599999999999999E-4</v>
      </c>
      <c r="K372" t="s">
        <v>27</v>
      </c>
      <c r="L372">
        <v>2.2086000000000001E-2</v>
      </c>
      <c r="M372" t="s">
        <v>28</v>
      </c>
      <c r="N372">
        <v>1.9602000000000001E-2</v>
      </c>
      <c r="O372" t="s">
        <v>29</v>
      </c>
      <c r="P372">
        <v>0.11927400000000001</v>
      </c>
      <c r="Q372" t="s">
        <v>30</v>
      </c>
      <c r="R372">
        <v>-1.8037999999999998E-2</v>
      </c>
      <c r="S372" t="s">
        <v>31</v>
      </c>
      <c r="T372">
        <v>0.59869000000000006</v>
      </c>
      <c r="U372" t="s">
        <v>32</v>
      </c>
      <c r="V372">
        <v>2.3196000000000001E-2</v>
      </c>
      <c r="W372" t="s">
        <v>33</v>
      </c>
      <c r="X372">
        <v>0.18126900000000001</v>
      </c>
      <c r="Y372" t="s">
        <v>34</v>
      </c>
      <c r="Z372">
        <v>0.104183</v>
      </c>
      <c r="AA372" t="s">
        <v>35</v>
      </c>
      <c r="AB372">
        <v>5.8233E-2</v>
      </c>
      <c r="AC372" t="s">
        <v>36</v>
      </c>
      <c r="AD372">
        <v>0.26488899999999999</v>
      </c>
      <c r="AE372" t="s">
        <v>37</v>
      </c>
      <c r="AF372">
        <v>0.26155299999999998</v>
      </c>
      <c r="AG372" t="s">
        <v>38</v>
      </c>
      <c r="AH372">
        <v>0.98740600000000001</v>
      </c>
      <c r="AI372" t="s">
        <v>39</v>
      </c>
      <c r="AJ372">
        <v>0.778173</v>
      </c>
      <c r="AK372" t="s">
        <v>40</v>
      </c>
      <c r="AL372">
        <v>0.78449100000000005</v>
      </c>
      <c r="AM372" t="s">
        <v>41</v>
      </c>
      <c r="AN372">
        <v>48.447495000000004</v>
      </c>
      <c r="AO372" t="s">
        <v>42</v>
      </c>
      <c r="AP372">
        <v>26.082718</v>
      </c>
    </row>
    <row r="373" spans="1:42" x14ac:dyDescent="0.3">
      <c r="A373" t="s">
        <v>22</v>
      </c>
      <c r="B373">
        <v>3.729997</v>
      </c>
      <c r="C373" t="s">
        <v>23</v>
      </c>
      <c r="D373">
        <v>1.0062260000000001</v>
      </c>
      <c r="E373" t="s">
        <v>24</v>
      </c>
      <c r="F373">
        <v>1.0319370000000001</v>
      </c>
      <c r="G373" t="s">
        <v>25</v>
      </c>
      <c r="H373">
        <v>0.91616900000000001</v>
      </c>
      <c r="I373" t="s">
        <v>26</v>
      </c>
      <c r="J373">
        <v>2.2499999999999999E-4</v>
      </c>
      <c r="K373" t="s">
        <v>27</v>
      </c>
      <c r="L373">
        <v>2.2079999999999999E-2</v>
      </c>
      <c r="M373" t="s">
        <v>28</v>
      </c>
      <c r="N373">
        <v>1.9602000000000001E-2</v>
      </c>
      <c r="O373" t="s">
        <v>29</v>
      </c>
      <c r="P373">
        <v>0.120056</v>
      </c>
      <c r="Q373" t="s">
        <v>30</v>
      </c>
      <c r="R373">
        <v>-1.6590000000000001E-2</v>
      </c>
      <c r="S373" t="s">
        <v>31</v>
      </c>
      <c r="T373">
        <v>0.59869000000000006</v>
      </c>
      <c r="U373" t="s">
        <v>32</v>
      </c>
      <c r="V373">
        <v>2.3137999999999999E-2</v>
      </c>
      <c r="W373" t="s">
        <v>33</v>
      </c>
      <c r="X373">
        <v>0.18138399999999999</v>
      </c>
      <c r="Y373" t="s">
        <v>34</v>
      </c>
      <c r="Z373">
        <v>0.104183</v>
      </c>
      <c r="AA373" t="s">
        <v>35</v>
      </c>
      <c r="AB373">
        <v>5.8088000000000001E-2</v>
      </c>
      <c r="AC373" t="s">
        <v>36</v>
      </c>
      <c r="AD373">
        <v>0.264874</v>
      </c>
      <c r="AE373" t="s">
        <v>37</v>
      </c>
      <c r="AF373">
        <v>0.26155299999999998</v>
      </c>
      <c r="AG373" t="s">
        <v>38</v>
      </c>
      <c r="AH373">
        <v>0.98746400000000001</v>
      </c>
      <c r="AI373" t="s">
        <v>39</v>
      </c>
      <c r="AJ373">
        <v>0.77820199999999995</v>
      </c>
      <c r="AK373" t="s">
        <v>40</v>
      </c>
      <c r="AL373">
        <v>0.78449100000000005</v>
      </c>
      <c r="AM373" t="s">
        <v>41</v>
      </c>
      <c r="AN373">
        <v>48.577731999999997</v>
      </c>
      <c r="AO373" t="s">
        <v>42</v>
      </c>
      <c r="AP373">
        <v>26.149759</v>
      </c>
    </row>
    <row r="374" spans="1:42" x14ac:dyDescent="0.3">
      <c r="A374" t="s">
        <v>22</v>
      </c>
      <c r="B374">
        <v>3.7399969999999998</v>
      </c>
      <c r="C374" t="s">
        <v>23</v>
      </c>
      <c r="D374">
        <v>1.0060789999999999</v>
      </c>
      <c r="E374" t="s">
        <v>24</v>
      </c>
      <c r="F374">
        <v>1.031666</v>
      </c>
      <c r="G374" t="s">
        <v>25</v>
      </c>
      <c r="H374">
        <v>0.91616900000000001</v>
      </c>
      <c r="I374" t="s">
        <v>26</v>
      </c>
      <c r="J374">
        <v>2.2499999999999999E-4</v>
      </c>
      <c r="K374" t="s">
        <v>27</v>
      </c>
      <c r="L374">
        <v>2.2074E-2</v>
      </c>
      <c r="M374" t="s">
        <v>28</v>
      </c>
      <c r="N374">
        <v>1.9602000000000001E-2</v>
      </c>
      <c r="O374" t="s">
        <v>29</v>
      </c>
      <c r="P374">
        <v>0.12084</v>
      </c>
      <c r="Q374" t="s">
        <v>30</v>
      </c>
      <c r="R374">
        <v>-1.5148E-2</v>
      </c>
      <c r="S374" t="s">
        <v>31</v>
      </c>
      <c r="T374">
        <v>0.59869000000000006</v>
      </c>
      <c r="U374" t="s">
        <v>32</v>
      </c>
      <c r="V374">
        <v>2.308E-2</v>
      </c>
      <c r="W374" t="s">
        <v>33</v>
      </c>
      <c r="X374">
        <v>0.18149899999999999</v>
      </c>
      <c r="Y374" t="s">
        <v>34</v>
      </c>
      <c r="Z374">
        <v>0.104183</v>
      </c>
      <c r="AA374" t="s">
        <v>35</v>
      </c>
      <c r="AB374">
        <v>5.7943000000000001E-2</v>
      </c>
      <c r="AC374" t="s">
        <v>36</v>
      </c>
      <c r="AD374">
        <v>0.26485799999999998</v>
      </c>
      <c r="AE374" t="s">
        <v>37</v>
      </c>
      <c r="AF374">
        <v>0.26155299999999998</v>
      </c>
      <c r="AG374" t="s">
        <v>38</v>
      </c>
      <c r="AH374">
        <v>0.98752099999999998</v>
      </c>
      <c r="AI374" t="s">
        <v>39</v>
      </c>
      <c r="AJ374">
        <v>0.77823200000000003</v>
      </c>
      <c r="AK374" t="s">
        <v>40</v>
      </c>
      <c r="AL374">
        <v>0.78449100000000005</v>
      </c>
      <c r="AM374" t="s">
        <v>41</v>
      </c>
      <c r="AN374">
        <v>48.707965999999999</v>
      </c>
      <c r="AO374" t="s">
        <v>42</v>
      </c>
      <c r="AP374">
        <v>26.216808</v>
      </c>
    </row>
    <row r="375" spans="1:42" x14ac:dyDescent="0.3">
      <c r="A375" t="s">
        <v>22</v>
      </c>
      <c r="B375">
        <v>3.749997</v>
      </c>
      <c r="C375" t="s">
        <v>23</v>
      </c>
      <c r="D375">
        <v>1.005932</v>
      </c>
      <c r="E375" t="s">
        <v>24</v>
      </c>
      <c r="F375">
        <v>1.0313950000000001</v>
      </c>
      <c r="G375" t="s">
        <v>25</v>
      </c>
      <c r="H375">
        <v>0.91616900000000001</v>
      </c>
      <c r="I375" t="s">
        <v>26</v>
      </c>
      <c r="J375">
        <v>2.24E-4</v>
      </c>
      <c r="K375" t="s">
        <v>27</v>
      </c>
      <c r="L375">
        <v>2.2068000000000001E-2</v>
      </c>
      <c r="M375" t="s">
        <v>28</v>
      </c>
      <c r="N375">
        <v>1.9602000000000001E-2</v>
      </c>
      <c r="O375" t="s">
        <v>29</v>
      </c>
      <c r="P375">
        <v>0.12162000000000001</v>
      </c>
      <c r="Q375" t="s">
        <v>30</v>
      </c>
      <c r="R375">
        <v>-1.3712E-2</v>
      </c>
      <c r="S375" t="s">
        <v>31</v>
      </c>
      <c r="T375">
        <v>0.59869000000000006</v>
      </c>
      <c r="U375" t="s">
        <v>32</v>
      </c>
      <c r="V375">
        <v>2.3022999999999998E-2</v>
      </c>
      <c r="W375" t="s">
        <v>33</v>
      </c>
      <c r="X375">
        <v>0.181614</v>
      </c>
      <c r="Y375" t="s">
        <v>34</v>
      </c>
      <c r="Z375">
        <v>0.104183</v>
      </c>
      <c r="AA375" t="s">
        <v>35</v>
      </c>
      <c r="AB375">
        <v>5.7799999999999997E-2</v>
      </c>
      <c r="AC375" t="s">
        <v>36</v>
      </c>
      <c r="AD375">
        <v>0.264843</v>
      </c>
      <c r="AE375" t="s">
        <v>37</v>
      </c>
      <c r="AF375">
        <v>0.26155299999999998</v>
      </c>
      <c r="AG375" t="s">
        <v>38</v>
      </c>
      <c r="AH375">
        <v>0.98757899999999998</v>
      </c>
      <c r="AI375" t="s">
        <v>39</v>
      </c>
      <c r="AJ375">
        <v>0.77826099999999998</v>
      </c>
      <c r="AK375" t="s">
        <v>40</v>
      </c>
      <c r="AL375">
        <v>0.78449100000000005</v>
      </c>
      <c r="AM375" t="s">
        <v>41</v>
      </c>
      <c r="AN375">
        <v>48.838200000000001</v>
      </c>
      <c r="AO375" t="s">
        <v>42</v>
      </c>
      <c r="AP375">
        <v>26.283861000000002</v>
      </c>
    </row>
    <row r="376" spans="1:42" x14ac:dyDescent="0.3">
      <c r="A376" t="s">
        <v>22</v>
      </c>
      <c r="B376">
        <v>3.7599969999999998</v>
      </c>
      <c r="C376" t="s">
        <v>23</v>
      </c>
      <c r="D376">
        <v>1.0057860000000001</v>
      </c>
      <c r="E376" t="s">
        <v>24</v>
      </c>
      <c r="F376">
        <v>1.0311269999999999</v>
      </c>
      <c r="G376" t="s">
        <v>25</v>
      </c>
      <c r="H376">
        <v>0.91616900000000001</v>
      </c>
      <c r="I376" t="s">
        <v>26</v>
      </c>
      <c r="J376">
        <v>2.23E-4</v>
      </c>
      <c r="K376" t="s">
        <v>27</v>
      </c>
      <c r="L376">
        <v>2.2061999999999998E-2</v>
      </c>
      <c r="M376" t="s">
        <v>28</v>
      </c>
      <c r="N376">
        <v>1.9602000000000001E-2</v>
      </c>
      <c r="O376" t="s">
        <v>29</v>
      </c>
      <c r="P376">
        <v>0.12239800000000001</v>
      </c>
      <c r="Q376" t="s">
        <v>30</v>
      </c>
      <c r="R376">
        <v>-1.2283000000000001E-2</v>
      </c>
      <c r="S376" t="s">
        <v>31</v>
      </c>
      <c r="T376">
        <v>0.59869000000000006</v>
      </c>
      <c r="U376" t="s">
        <v>32</v>
      </c>
      <c r="V376">
        <v>2.2966E-2</v>
      </c>
      <c r="W376" t="s">
        <v>33</v>
      </c>
      <c r="X376">
        <v>0.181729</v>
      </c>
      <c r="Y376" t="s">
        <v>34</v>
      </c>
      <c r="Z376">
        <v>0.104183</v>
      </c>
      <c r="AA376" t="s">
        <v>35</v>
      </c>
      <c r="AB376">
        <v>5.7655999999999999E-2</v>
      </c>
      <c r="AC376" t="s">
        <v>36</v>
      </c>
      <c r="AD376">
        <v>0.26482699999999998</v>
      </c>
      <c r="AE376" t="s">
        <v>37</v>
      </c>
      <c r="AF376">
        <v>0.26155299999999998</v>
      </c>
      <c r="AG376" t="s">
        <v>38</v>
      </c>
      <c r="AH376">
        <v>0.98763599999999996</v>
      </c>
      <c r="AI376" t="s">
        <v>39</v>
      </c>
      <c r="AJ376">
        <v>0.77829000000000004</v>
      </c>
      <c r="AK376" t="s">
        <v>40</v>
      </c>
      <c r="AL376">
        <v>0.78449100000000005</v>
      </c>
      <c r="AM376" t="s">
        <v>41</v>
      </c>
      <c r="AN376">
        <v>48.968437000000002</v>
      </c>
      <c r="AO376" t="s">
        <v>42</v>
      </c>
      <c r="AP376">
        <v>26.350919999999999</v>
      </c>
    </row>
    <row r="377" spans="1:42" x14ac:dyDescent="0.3">
      <c r="A377" t="s">
        <v>22</v>
      </c>
      <c r="B377">
        <v>3.769997</v>
      </c>
      <c r="C377" t="s">
        <v>23</v>
      </c>
      <c r="D377">
        <v>1.0056400000000001</v>
      </c>
      <c r="E377" t="s">
        <v>24</v>
      </c>
      <c r="F377">
        <v>1.030859</v>
      </c>
      <c r="G377" t="s">
        <v>25</v>
      </c>
      <c r="H377">
        <v>0.91616900000000001</v>
      </c>
      <c r="I377" t="s">
        <v>26</v>
      </c>
      <c r="J377">
        <v>2.22E-4</v>
      </c>
      <c r="K377" t="s">
        <v>27</v>
      </c>
      <c r="L377">
        <v>2.2057E-2</v>
      </c>
      <c r="M377" t="s">
        <v>28</v>
      </c>
      <c r="N377">
        <v>1.9602000000000001E-2</v>
      </c>
      <c r="O377" t="s">
        <v>29</v>
      </c>
      <c r="P377">
        <v>0.12317500000000001</v>
      </c>
      <c r="Q377" t="s">
        <v>30</v>
      </c>
      <c r="R377">
        <v>-1.0861000000000001E-2</v>
      </c>
      <c r="S377" t="s">
        <v>31</v>
      </c>
      <c r="T377">
        <v>0.59869000000000006</v>
      </c>
      <c r="U377" t="s">
        <v>32</v>
      </c>
      <c r="V377">
        <v>2.2908999999999999E-2</v>
      </c>
      <c r="W377" t="s">
        <v>33</v>
      </c>
      <c r="X377">
        <v>0.18184500000000001</v>
      </c>
      <c r="Y377" t="s">
        <v>34</v>
      </c>
      <c r="Z377">
        <v>0.104183</v>
      </c>
      <c r="AA377" t="s">
        <v>35</v>
      </c>
      <c r="AB377">
        <v>5.7514000000000003E-2</v>
      </c>
      <c r="AC377" t="s">
        <v>36</v>
      </c>
      <c r="AD377">
        <v>0.26481300000000002</v>
      </c>
      <c r="AE377" t="s">
        <v>37</v>
      </c>
      <c r="AF377">
        <v>0.26155299999999998</v>
      </c>
      <c r="AG377" t="s">
        <v>38</v>
      </c>
      <c r="AH377">
        <v>0.98769200000000001</v>
      </c>
      <c r="AI377" t="s">
        <v>39</v>
      </c>
      <c r="AJ377">
        <v>0.77831899999999998</v>
      </c>
      <c r="AK377" t="s">
        <v>40</v>
      </c>
      <c r="AL377">
        <v>0.78449100000000005</v>
      </c>
      <c r="AM377" t="s">
        <v>41</v>
      </c>
      <c r="AN377">
        <v>49.098671000000003</v>
      </c>
      <c r="AO377" t="s">
        <v>42</v>
      </c>
      <c r="AP377">
        <v>26.417984000000001</v>
      </c>
    </row>
    <row r="378" spans="1:42" x14ac:dyDescent="0.3">
      <c r="A378" t="s">
        <v>22</v>
      </c>
      <c r="B378">
        <v>3.7799969999999998</v>
      </c>
      <c r="C378" t="s">
        <v>23</v>
      </c>
      <c r="D378">
        <v>1.0054940000000001</v>
      </c>
      <c r="E378" t="s">
        <v>24</v>
      </c>
      <c r="F378">
        <v>1.0305930000000001</v>
      </c>
      <c r="G378" t="s">
        <v>25</v>
      </c>
      <c r="H378">
        <v>0.91616900000000001</v>
      </c>
      <c r="I378" t="s">
        <v>26</v>
      </c>
      <c r="J378">
        <v>2.2100000000000001E-4</v>
      </c>
      <c r="K378" t="s">
        <v>27</v>
      </c>
      <c r="L378">
        <v>2.2051000000000001E-2</v>
      </c>
      <c r="M378" t="s">
        <v>28</v>
      </c>
      <c r="N378">
        <v>1.9602000000000001E-2</v>
      </c>
      <c r="O378" t="s">
        <v>29</v>
      </c>
      <c r="P378">
        <v>0.12395</v>
      </c>
      <c r="Q378" t="s">
        <v>30</v>
      </c>
      <c r="R378">
        <v>-9.4450000000000003E-3</v>
      </c>
      <c r="S378" t="s">
        <v>31</v>
      </c>
      <c r="T378">
        <v>0.59869000000000006</v>
      </c>
      <c r="U378" t="s">
        <v>32</v>
      </c>
      <c r="V378">
        <v>2.2852999999999998E-2</v>
      </c>
      <c r="W378" t="s">
        <v>33</v>
      </c>
      <c r="X378">
        <v>0.18196000000000001</v>
      </c>
      <c r="Y378" t="s">
        <v>34</v>
      </c>
      <c r="Z378">
        <v>0.104183</v>
      </c>
      <c r="AA378" t="s">
        <v>35</v>
      </c>
      <c r="AB378">
        <v>5.7371999999999999E-2</v>
      </c>
      <c r="AC378" t="s">
        <v>36</v>
      </c>
      <c r="AD378">
        <v>0.264797</v>
      </c>
      <c r="AE378" t="s">
        <v>37</v>
      </c>
      <c r="AF378">
        <v>0.26155299999999998</v>
      </c>
      <c r="AG378" t="s">
        <v>38</v>
      </c>
      <c r="AH378">
        <v>0.98774799999999996</v>
      </c>
      <c r="AI378" t="s">
        <v>39</v>
      </c>
      <c r="AJ378">
        <v>0.77834800000000004</v>
      </c>
      <c r="AK378" t="s">
        <v>40</v>
      </c>
      <c r="AL378">
        <v>0.78449100000000005</v>
      </c>
      <c r="AM378" t="s">
        <v>41</v>
      </c>
      <c r="AN378">
        <v>49.228909000000002</v>
      </c>
      <c r="AO378" t="s">
        <v>42</v>
      </c>
      <c r="AP378">
        <v>26.485047999999999</v>
      </c>
    </row>
    <row r="379" spans="1:42" x14ac:dyDescent="0.3">
      <c r="A379" t="s">
        <v>22</v>
      </c>
      <c r="B379">
        <v>3.7899970000000001</v>
      </c>
      <c r="C379" t="s">
        <v>23</v>
      </c>
      <c r="D379">
        <v>1.0053479999999999</v>
      </c>
      <c r="E379" t="s">
        <v>24</v>
      </c>
      <c r="F379">
        <v>1.030327</v>
      </c>
      <c r="G379" t="s">
        <v>25</v>
      </c>
      <c r="H379">
        <v>0.91616900000000001</v>
      </c>
      <c r="I379" t="s">
        <v>26</v>
      </c>
      <c r="J379">
        <v>2.2000000000000001E-4</v>
      </c>
      <c r="K379" t="s">
        <v>27</v>
      </c>
      <c r="L379">
        <v>2.2044999999999999E-2</v>
      </c>
      <c r="M379" t="s">
        <v>28</v>
      </c>
      <c r="N379">
        <v>1.9602000000000001E-2</v>
      </c>
      <c r="O379" t="s">
        <v>29</v>
      </c>
      <c r="P379">
        <v>0.124722</v>
      </c>
      <c r="Q379" t="s">
        <v>30</v>
      </c>
      <c r="R379">
        <v>-8.0350000000000005E-3</v>
      </c>
      <c r="S379" t="s">
        <v>31</v>
      </c>
      <c r="T379">
        <v>0.59869000000000006</v>
      </c>
      <c r="U379" t="s">
        <v>32</v>
      </c>
      <c r="V379">
        <v>2.2796E-2</v>
      </c>
      <c r="W379" t="s">
        <v>33</v>
      </c>
      <c r="X379">
        <v>0.18207499999999999</v>
      </c>
      <c r="Y379" t="s">
        <v>34</v>
      </c>
      <c r="Z379">
        <v>0.104183</v>
      </c>
      <c r="AA379" t="s">
        <v>35</v>
      </c>
      <c r="AB379">
        <v>5.7230000000000003E-2</v>
      </c>
      <c r="AC379" t="s">
        <v>36</v>
      </c>
      <c r="AD379">
        <v>0.26478200000000002</v>
      </c>
      <c r="AE379" t="s">
        <v>37</v>
      </c>
      <c r="AF379">
        <v>0.26155299999999998</v>
      </c>
      <c r="AG379" t="s">
        <v>38</v>
      </c>
      <c r="AH379">
        <v>0.98780400000000002</v>
      </c>
      <c r="AI379" t="s">
        <v>39</v>
      </c>
      <c r="AJ379">
        <v>0.77837599999999996</v>
      </c>
      <c r="AK379" t="s">
        <v>40</v>
      </c>
      <c r="AL379">
        <v>0.78449100000000005</v>
      </c>
      <c r="AM379" t="s">
        <v>41</v>
      </c>
      <c r="AN379">
        <v>49.359141999999999</v>
      </c>
      <c r="AO379" t="s">
        <v>42</v>
      </c>
      <c r="AP379">
        <v>26.552119999999999</v>
      </c>
    </row>
    <row r="380" spans="1:42" x14ac:dyDescent="0.3">
      <c r="A380" t="s">
        <v>22</v>
      </c>
      <c r="B380">
        <v>3.7999969999999998</v>
      </c>
      <c r="C380" t="s">
        <v>23</v>
      </c>
      <c r="D380">
        <v>1.0052030000000001</v>
      </c>
      <c r="E380" t="s">
        <v>24</v>
      </c>
      <c r="F380">
        <v>1.030063</v>
      </c>
      <c r="G380" t="s">
        <v>25</v>
      </c>
      <c r="H380">
        <v>0.91616900000000001</v>
      </c>
      <c r="I380" t="s">
        <v>26</v>
      </c>
      <c r="J380">
        <v>2.1900000000000001E-4</v>
      </c>
      <c r="K380" t="s">
        <v>27</v>
      </c>
      <c r="L380">
        <v>2.2040000000000001E-2</v>
      </c>
      <c r="M380" t="s">
        <v>28</v>
      </c>
      <c r="N380">
        <v>1.9602000000000001E-2</v>
      </c>
      <c r="O380" t="s">
        <v>29</v>
      </c>
      <c r="P380">
        <v>0.125495</v>
      </c>
      <c r="Q380" t="s">
        <v>30</v>
      </c>
      <c r="R380">
        <v>-6.6319999999999999E-3</v>
      </c>
      <c r="S380" t="s">
        <v>31</v>
      </c>
      <c r="T380">
        <v>0.59869000000000006</v>
      </c>
      <c r="U380" t="s">
        <v>32</v>
      </c>
      <c r="V380">
        <v>2.274E-2</v>
      </c>
      <c r="W380" t="s">
        <v>33</v>
      </c>
      <c r="X380">
        <v>0.18219099999999999</v>
      </c>
      <c r="Y380" t="s">
        <v>34</v>
      </c>
      <c r="Z380">
        <v>0.104183</v>
      </c>
      <c r="AA380" t="s">
        <v>35</v>
      </c>
      <c r="AB380">
        <v>5.7090000000000002E-2</v>
      </c>
      <c r="AC380" t="s">
        <v>36</v>
      </c>
      <c r="AD380">
        <v>0.26476699999999997</v>
      </c>
      <c r="AE380" t="s">
        <v>37</v>
      </c>
      <c r="AF380">
        <v>0.26155299999999998</v>
      </c>
      <c r="AG380" t="s">
        <v>38</v>
      </c>
      <c r="AH380">
        <v>0.98785900000000004</v>
      </c>
      <c r="AI380" t="s">
        <v>39</v>
      </c>
      <c r="AJ380">
        <v>0.77840500000000001</v>
      </c>
      <c r="AK380" t="s">
        <v>40</v>
      </c>
      <c r="AL380">
        <v>0.78449100000000005</v>
      </c>
      <c r="AM380" t="s">
        <v>41</v>
      </c>
      <c r="AN380">
        <v>49.489376</v>
      </c>
      <c r="AO380" t="s">
        <v>42</v>
      </c>
      <c r="AP380">
        <v>26.619195999999999</v>
      </c>
    </row>
    <row r="381" spans="1:42" x14ac:dyDescent="0.3">
      <c r="A381" t="s">
        <v>22</v>
      </c>
      <c r="B381">
        <v>3.8099970000000001</v>
      </c>
      <c r="C381" t="s">
        <v>23</v>
      </c>
      <c r="D381">
        <v>1.0050589999999999</v>
      </c>
      <c r="E381" t="s">
        <v>24</v>
      </c>
      <c r="F381">
        <v>1.0298</v>
      </c>
      <c r="G381" t="s">
        <v>25</v>
      </c>
      <c r="H381">
        <v>0.91616900000000001</v>
      </c>
      <c r="I381" t="s">
        <v>26</v>
      </c>
      <c r="J381">
        <v>2.1900000000000001E-4</v>
      </c>
      <c r="K381" t="s">
        <v>27</v>
      </c>
      <c r="L381">
        <v>2.2034000000000002E-2</v>
      </c>
      <c r="M381" t="s">
        <v>28</v>
      </c>
      <c r="N381">
        <v>1.9602000000000001E-2</v>
      </c>
      <c r="O381" t="s">
        <v>29</v>
      </c>
      <c r="P381">
        <v>0.12626200000000001</v>
      </c>
      <c r="Q381" t="s">
        <v>30</v>
      </c>
      <c r="R381">
        <v>-5.2350000000000001E-3</v>
      </c>
      <c r="S381" t="s">
        <v>31</v>
      </c>
      <c r="T381">
        <v>0.59869000000000006</v>
      </c>
      <c r="U381" t="s">
        <v>32</v>
      </c>
      <c r="V381">
        <v>2.2685E-2</v>
      </c>
      <c r="W381" t="s">
        <v>33</v>
      </c>
      <c r="X381">
        <v>0.182306</v>
      </c>
      <c r="Y381" t="s">
        <v>34</v>
      </c>
      <c r="Z381">
        <v>0.104183</v>
      </c>
      <c r="AA381" t="s">
        <v>35</v>
      </c>
      <c r="AB381">
        <v>5.6950000000000001E-2</v>
      </c>
      <c r="AC381" t="s">
        <v>36</v>
      </c>
      <c r="AD381">
        <v>0.26475300000000002</v>
      </c>
      <c r="AE381" t="s">
        <v>37</v>
      </c>
      <c r="AF381">
        <v>0.26155299999999998</v>
      </c>
      <c r="AG381" t="s">
        <v>38</v>
      </c>
      <c r="AH381">
        <v>0.98791399999999996</v>
      </c>
      <c r="AI381" t="s">
        <v>39</v>
      </c>
      <c r="AJ381">
        <v>0.77843399999999996</v>
      </c>
      <c r="AK381" t="s">
        <v>40</v>
      </c>
      <c r="AL381">
        <v>0.78449100000000005</v>
      </c>
      <c r="AM381" t="s">
        <v>41</v>
      </c>
      <c r="AN381">
        <v>49.619613999999999</v>
      </c>
      <c r="AO381" t="s">
        <v>42</v>
      </c>
      <c r="AP381">
        <v>26.686277</v>
      </c>
    </row>
    <row r="382" spans="1:42" x14ac:dyDescent="0.3">
      <c r="A382" t="s">
        <v>22</v>
      </c>
      <c r="B382">
        <v>3.8199969999999999</v>
      </c>
      <c r="C382" t="s">
        <v>23</v>
      </c>
      <c r="D382">
        <v>1.0049140000000001</v>
      </c>
      <c r="E382" t="s">
        <v>24</v>
      </c>
      <c r="F382">
        <v>1.029539</v>
      </c>
      <c r="G382" t="s">
        <v>25</v>
      </c>
      <c r="H382">
        <v>0.91616900000000001</v>
      </c>
      <c r="I382" t="s">
        <v>26</v>
      </c>
      <c r="J382">
        <v>2.1800000000000001E-4</v>
      </c>
      <c r="K382" t="s">
        <v>27</v>
      </c>
      <c r="L382">
        <v>2.2027999999999999E-2</v>
      </c>
      <c r="M382" t="s">
        <v>28</v>
      </c>
      <c r="N382">
        <v>1.9602000000000001E-2</v>
      </c>
      <c r="O382" t="s">
        <v>29</v>
      </c>
      <c r="P382">
        <v>0.127029</v>
      </c>
      <c r="Q382" t="s">
        <v>30</v>
      </c>
      <c r="R382">
        <v>-3.8449999999999999E-3</v>
      </c>
      <c r="S382" t="s">
        <v>31</v>
      </c>
      <c r="T382">
        <v>0.59869000000000006</v>
      </c>
      <c r="U382" t="s">
        <v>32</v>
      </c>
      <c r="V382">
        <v>2.2629E-2</v>
      </c>
      <c r="W382" t="s">
        <v>33</v>
      </c>
      <c r="X382">
        <v>0.182422</v>
      </c>
      <c r="Y382" t="s">
        <v>34</v>
      </c>
      <c r="Z382">
        <v>0.104183</v>
      </c>
      <c r="AA382" t="s">
        <v>35</v>
      </c>
      <c r="AB382">
        <v>5.6811E-2</v>
      </c>
      <c r="AC382" t="s">
        <v>36</v>
      </c>
      <c r="AD382">
        <v>0.26473799999999997</v>
      </c>
      <c r="AE382" t="s">
        <v>37</v>
      </c>
      <c r="AF382">
        <v>0.26155299999999998</v>
      </c>
      <c r="AG382" t="s">
        <v>38</v>
      </c>
      <c r="AH382">
        <v>0.98796899999999999</v>
      </c>
      <c r="AI382" t="s">
        <v>39</v>
      </c>
      <c r="AJ382">
        <v>0.77846099999999996</v>
      </c>
      <c r="AK382" t="s">
        <v>40</v>
      </c>
      <c r="AL382">
        <v>0.78449100000000005</v>
      </c>
      <c r="AM382" t="s">
        <v>41</v>
      </c>
      <c r="AN382">
        <v>49.749847000000003</v>
      </c>
      <c r="AO382" t="s">
        <v>42</v>
      </c>
      <c r="AP382">
        <v>26.753364999999999</v>
      </c>
    </row>
    <row r="383" spans="1:42" x14ac:dyDescent="0.3">
      <c r="A383" t="s">
        <v>22</v>
      </c>
      <c r="B383">
        <v>3.8299970000000001</v>
      </c>
      <c r="C383" t="s">
        <v>23</v>
      </c>
      <c r="D383">
        <v>1.0047699999999999</v>
      </c>
      <c r="E383" t="s">
        <v>24</v>
      </c>
      <c r="F383">
        <v>1.0292779999999999</v>
      </c>
      <c r="G383" t="s">
        <v>25</v>
      </c>
      <c r="H383">
        <v>0.91616900000000001</v>
      </c>
      <c r="I383" t="s">
        <v>26</v>
      </c>
      <c r="J383">
        <v>2.1699999999999999E-4</v>
      </c>
      <c r="K383" t="s">
        <v>27</v>
      </c>
      <c r="L383">
        <v>2.2023000000000001E-2</v>
      </c>
      <c r="M383" t="s">
        <v>28</v>
      </c>
      <c r="N383">
        <v>1.9602000000000001E-2</v>
      </c>
      <c r="O383" t="s">
        <v>29</v>
      </c>
      <c r="P383">
        <v>0.12779399999999999</v>
      </c>
      <c r="Q383" t="s">
        <v>30</v>
      </c>
      <c r="R383">
        <v>-2.4599999999999999E-3</v>
      </c>
      <c r="S383" t="s">
        <v>31</v>
      </c>
      <c r="T383">
        <v>0.59869000000000006</v>
      </c>
      <c r="U383" t="s">
        <v>32</v>
      </c>
      <c r="V383">
        <v>2.2574E-2</v>
      </c>
      <c r="W383" t="s">
        <v>33</v>
      </c>
      <c r="X383">
        <v>0.182537</v>
      </c>
      <c r="Y383" t="s">
        <v>34</v>
      </c>
      <c r="Z383">
        <v>0.104183</v>
      </c>
      <c r="AA383" t="s">
        <v>35</v>
      </c>
      <c r="AB383">
        <v>5.6672E-2</v>
      </c>
      <c r="AC383" t="s">
        <v>36</v>
      </c>
      <c r="AD383">
        <v>0.26472400000000001</v>
      </c>
      <c r="AE383" t="s">
        <v>37</v>
      </c>
      <c r="AF383">
        <v>0.26155299999999998</v>
      </c>
      <c r="AG383" t="s">
        <v>38</v>
      </c>
      <c r="AH383">
        <v>0.98802299999999998</v>
      </c>
      <c r="AI383" t="s">
        <v>39</v>
      </c>
      <c r="AJ383">
        <v>0.77848799999999996</v>
      </c>
      <c r="AK383" t="s">
        <v>40</v>
      </c>
      <c r="AL383">
        <v>0.78449100000000005</v>
      </c>
      <c r="AM383" t="s">
        <v>41</v>
      </c>
      <c r="AN383">
        <v>49.880080999999997</v>
      </c>
      <c r="AO383" t="s">
        <v>42</v>
      </c>
      <c r="AP383">
        <v>26.820452</v>
      </c>
    </row>
    <row r="384" spans="1:42" x14ac:dyDescent="0.3">
      <c r="A384" t="s">
        <v>22</v>
      </c>
      <c r="B384">
        <v>3.8399969999999999</v>
      </c>
      <c r="C384" t="s">
        <v>23</v>
      </c>
      <c r="D384">
        <v>1.0046269999999999</v>
      </c>
      <c r="E384" t="s">
        <v>24</v>
      </c>
      <c r="F384">
        <v>1.0290189999999999</v>
      </c>
      <c r="G384" t="s">
        <v>25</v>
      </c>
      <c r="H384">
        <v>0.91616900000000001</v>
      </c>
      <c r="I384" t="s">
        <v>26</v>
      </c>
      <c r="J384">
        <v>2.1599999999999999E-4</v>
      </c>
      <c r="K384" t="s">
        <v>27</v>
      </c>
      <c r="L384">
        <v>2.2016999999999998E-2</v>
      </c>
      <c r="M384" t="s">
        <v>28</v>
      </c>
      <c r="N384">
        <v>1.9602000000000001E-2</v>
      </c>
      <c r="O384" t="s">
        <v>29</v>
      </c>
      <c r="P384">
        <v>0.128557</v>
      </c>
      <c r="Q384" t="s">
        <v>30</v>
      </c>
      <c r="R384">
        <v>-1.0820000000000001E-3</v>
      </c>
      <c r="S384" t="s">
        <v>31</v>
      </c>
      <c r="T384">
        <v>0.59869000000000006</v>
      </c>
      <c r="U384" t="s">
        <v>32</v>
      </c>
      <c r="V384">
        <v>2.2519000000000001E-2</v>
      </c>
      <c r="W384" t="s">
        <v>33</v>
      </c>
      <c r="X384">
        <v>0.18265300000000001</v>
      </c>
      <c r="Y384" t="s">
        <v>34</v>
      </c>
      <c r="Z384">
        <v>0.104183</v>
      </c>
      <c r="AA384" t="s">
        <v>35</v>
      </c>
      <c r="AB384">
        <v>5.6534000000000001E-2</v>
      </c>
      <c r="AC384" t="s">
        <v>36</v>
      </c>
      <c r="AD384">
        <v>0.26470900000000003</v>
      </c>
      <c r="AE384" t="s">
        <v>37</v>
      </c>
      <c r="AF384">
        <v>0.26155299999999998</v>
      </c>
      <c r="AG384" t="s">
        <v>38</v>
      </c>
      <c r="AH384">
        <v>0.98807699999999998</v>
      </c>
      <c r="AI384" t="s">
        <v>39</v>
      </c>
      <c r="AJ384">
        <v>0.77851700000000001</v>
      </c>
      <c r="AK384" t="s">
        <v>40</v>
      </c>
      <c r="AL384">
        <v>0.78449100000000005</v>
      </c>
      <c r="AM384" t="s">
        <v>41</v>
      </c>
      <c r="AN384">
        <v>50.010319000000003</v>
      </c>
      <c r="AO384" t="s">
        <v>42</v>
      </c>
      <c r="AP384">
        <v>26.887550000000001</v>
      </c>
    </row>
    <row r="385" spans="1:42" x14ac:dyDescent="0.3">
      <c r="A385" t="s">
        <v>22</v>
      </c>
      <c r="B385">
        <v>3.8499970000000001</v>
      </c>
      <c r="C385" t="s">
        <v>23</v>
      </c>
      <c r="D385">
        <v>1.004483</v>
      </c>
      <c r="E385" t="s">
        <v>24</v>
      </c>
      <c r="F385">
        <v>1.028761</v>
      </c>
      <c r="G385" t="s">
        <v>25</v>
      </c>
      <c r="H385">
        <v>0.91616900000000001</v>
      </c>
      <c r="I385" t="s">
        <v>26</v>
      </c>
      <c r="J385">
        <v>2.1499999999999999E-4</v>
      </c>
      <c r="K385" t="s">
        <v>27</v>
      </c>
      <c r="L385">
        <v>2.2012E-2</v>
      </c>
      <c r="M385" t="s">
        <v>28</v>
      </c>
      <c r="N385">
        <v>1.9602000000000001E-2</v>
      </c>
      <c r="O385" t="s">
        <v>29</v>
      </c>
      <c r="P385">
        <v>0.12931899999999999</v>
      </c>
      <c r="Q385" t="s">
        <v>30</v>
      </c>
      <c r="R385">
        <v>2.9E-4</v>
      </c>
      <c r="S385" t="s">
        <v>31</v>
      </c>
      <c r="T385">
        <v>0.59869000000000006</v>
      </c>
      <c r="U385" t="s">
        <v>32</v>
      </c>
      <c r="V385">
        <v>2.2464000000000001E-2</v>
      </c>
      <c r="W385" t="s">
        <v>33</v>
      </c>
      <c r="X385">
        <v>0.18276800000000001</v>
      </c>
      <c r="Y385" t="s">
        <v>34</v>
      </c>
      <c r="Z385">
        <v>0.104183</v>
      </c>
      <c r="AA385" t="s">
        <v>35</v>
      </c>
      <c r="AB385">
        <v>5.6397000000000003E-2</v>
      </c>
      <c r="AC385" t="s">
        <v>36</v>
      </c>
      <c r="AD385">
        <v>0.26469500000000001</v>
      </c>
      <c r="AE385" t="s">
        <v>37</v>
      </c>
      <c r="AF385">
        <v>0.26155299999999998</v>
      </c>
      <c r="AG385" t="s">
        <v>38</v>
      </c>
      <c r="AH385">
        <v>0.98812999999999995</v>
      </c>
      <c r="AI385" t="s">
        <v>39</v>
      </c>
      <c r="AJ385">
        <v>0.77854400000000001</v>
      </c>
      <c r="AK385" t="s">
        <v>40</v>
      </c>
      <c r="AL385">
        <v>0.78449100000000005</v>
      </c>
      <c r="AM385" t="s">
        <v>41</v>
      </c>
      <c r="AN385">
        <v>50.140552999999997</v>
      </c>
      <c r="AO385" t="s">
        <v>42</v>
      </c>
      <c r="AP385">
        <v>26.954647000000001</v>
      </c>
    </row>
    <row r="386" spans="1:42" x14ac:dyDescent="0.3">
      <c r="A386" t="s">
        <v>22</v>
      </c>
      <c r="B386">
        <v>3.8599969999999999</v>
      </c>
      <c r="C386" t="s">
        <v>23</v>
      </c>
      <c r="D386">
        <v>1.0043409999999999</v>
      </c>
      <c r="E386" t="s">
        <v>24</v>
      </c>
      <c r="F386">
        <v>1.0285040000000001</v>
      </c>
      <c r="G386" t="s">
        <v>25</v>
      </c>
      <c r="H386">
        <v>0.91616900000000001</v>
      </c>
      <c r="I386" t="s">
        <v>26</v>
      </c>
      <c r="J386">
        <v>2.1499999999999999E-4</v>
      </c>
      <c r="K386" t="s">
        <v>27</v>
      </c>
      <c r="L386">
        <v>2.2006000000000001E-2</v>
      </c>
      <c r="M386" t="s">
        <v>28</v>
      </c>
      <c r="N386">
        <v>1.9602000000000001E-2</v>
      </c>
      <c r="O386" t="s">
        <v>29</v>
      </c>
      <c r="P386">
        <v>0.130077</v>
      </c>
      <c r="Q386" t="s">
        <v>30</v>
      </c>
      <c r="R386">
        <v>1.6559999999999999E-3</v>
      </c>
      <c r="S386" t="s">
        <v>31</v>
      </c>
      <c r="T386">
        <v>0.59869000000000006</v>
      </c>
      <c r="U386" t="s">
        <v>32</v>
      </c>
      <c r="V386">
        <v>2.2409999999999999E-2</v>
      </c>
      <c r="W386" t="s">
        <v>33</v>
      </c>
      <c r="X386">
        <v>0.18288399999999999</v>
      </c>
      <c r="Y386" t="s">
        <v>34</v>
      </c>
      <c r="Z386">
        <v>0.104183</v>
      </c>
      <c r="AA386" t="s">
        <v>35</v>
      </c>
      <c r="AB386">
        <v>5.6259999999999998E-2</v>
      </c>
      <c r="AC386" t="s">
        <v>36</v>
      </c>
      <c r="AD386">
        <v>0.264681</v>
      </c>
      <c r="AE386" t="s">
        <v>37</v>
      </c>
      <c r="AF386">
        <v>0.26155299999999998</v>
      </c>
      <c r="AG386" t="s">
        <v>38</v>
      </c>
      <c r="AH386">
        <v>0.98818300000000003</v>
      </c>
      <c r="AI386" t="s">
        <v>39</v>
      </c>
      <c r="AJ386">
        <v>0.77857100000000001</v>
      </c>
      <c r="AK386" t="s">
        <v>40</v>
      </c>
      <c r="AL386">
        <v>0.78449100000000005</v>
      </c>
      <c r="AM386" t="s">
        <v>41</v>
      </c>
      <c r="AN386">
        <v>50.270789999999998</v>
      </c>
      <c r="AO386" t="s">
        <v>42</v>
      </c>
      <c r="AP386">
        <v>27.021753</v>
      </c>
    </row>
    <row r="387" spans="1:42" x14ac:dyDescent="0.3">
      <c r="A387" t="s">
        <v>22</v>
      </c>
      <c r="B387">
        <v>3.8699970000000001</v>
      </c>
      <c r="C387" t="s">
        <v>23</v>
      </c>
      <c r="D387">
        <v>1.0041979999999999</v>
      </c>
      <c r="E387" t="s">
        <v>24</v>
      </c>
      <c r="F387">
        <v>1.0282480000000001</v>
      </c>
      <c r="G387" t="s">
        <v>25</v>
      </c>
      <c r="H387">
        <v>0.91616900000000001</v>
      </c>
      <c r="I387" t="s">
        <v>26</v>
      </c>
      <c r="J387">
        <v>2.14E-4</v>
      </c>
      <c r="K387" t="s">
        <v>27</v>
      </c>
      <c r="L387">
        <v>2.2001E-2</v>
      </c>
      <c r="M387" t="s">
        <v>28</v>
      </c>
      <c r="N387">
        <v>1.9602000000000001E-2</v>
      </c>
      <c r="O387" t="s">
        <v>29</v>
      </c>
      <c r="P387">
        <v>0.13083500000000001</v>
      </c>
      <c r="Q387" t="s">
        <v>30</v>
      </c>
      <c r="R387">
        <v>3.016E-3</v>
      </c>
      <c r="S387" t="s">
        <v>31</v>
      </c>
      <c r="T387">
        <v>0.59869000000000006</v>
      </c>
      <c r="U387" t="s">
        <v>32</v>
      </c>
      <c r="V387">
        <v>2.2355E-2</v>
      </c>
      <c r="W387" t="s">
        <v>33</v>
      </c>
      <c r="X387">
        <v>0.182999</v>
      </c>
      <c r="Y387" t="s">
        <v>34</v>
      </c>
      <c r="Z387">
        <v>0.104183</v>
      </c>
      <c r="AA387" t="s">
        <v>35</v>
      </c>
      <c r="AB387">
        <v>5.6124E-2</v>
      </c>
      <c r="AC387" t="s">
        <v>36</v>
      </c>
      <c r="AD387">
        <v>0.26466600000000001</v>
      </c>
      <c r="AE387" t="s">
        <v>37</v>
      </c>
      <c r="AF387">
        <v>0.26155299999999998</v>
      </c>
      <c r="AG387" t="s">
        <v>38</v>
      </c>
      <c r="AH387">
        <v>0.988236</v>
      </c>
      <c r="AI387" t="s">
        <v>39</v>
      </c>
      <c r="AJ387">
        <v>0.77859800000000001</v>
      </c>
      <c r="AK387" t="s">
        <v>40</v>
      </c>
      <c r="AL387">
        <v>0.78449100000000005</v>
      </c>
      <c r="AM387" t="s">
        <v>41</v>
      </c>
      <c r="AN387">
        <v>50.401024</v>
      </c>
      <c r="AO387" t="s">
        <v>42</v>
      </c>
      <c r="AP387">
        <v>27.08886</v>
      </c>
    </row>
    <row r="388" spans="1:42" x14ac:dyDescent="0.3">
      <c r="A388" t="s">
        <v>22</v>
      </c>
      <c r="B388">
        <v>3.8799969999999999</v>
      </c>
      <c r="C388" t="s">
        <v>23</v>
      </c>
      <c r="D388">
        <v>1.0040560000000001</v>
      </c>
      <c r="E388" t="s">
        <v>24</v>
      </c>
      <c r="F388">
        <v>1.0279929999999999</v>
      </c>
      <c r="G388" t="s">
        <v>25</v>
      </c>
      <c r="H388">
        <v>0.91616900000000001</v>
      </c>
      <c r="I388" t="s">
        <v>26</v>
      </c>
      <c r="J388">
        <v>2.13E-4</v>
      </c>
      <c r="K388" t="s">
        <v>27</v>
      </c>
      <c r="L388">
        <v>2.1995000000000001E-2</v>
      </c>
      <c r="M388" t="s">
        <v>28</v>
      </c>
      <c r="N388">
        <v>1.9602000000000001E-2</v>
      </c>
      <c r="O388" t="s">
        <v>29</v>
      </c>
      <c r="P388">
        <v>0.13159100000000001</v>
      </c>
      <c r="Q388" t="s">
        <v>30</v>
      </c>
      <c r="R388">
        <v>4.3689999999999996E-3</v>
      </c>
      <c r="S388" t="s">
        <v>31</v>
      </c>
      <c r="T388">
        <v>0.59869000000000006</v>
      </c>
      <c r="U388" t="s">
        <v>32</v>
      </c>
      <c r="V388">
        <v>2.2301999999999999E-2</v>
      </c>
      <c r="W388" t="s">
        <v>33</v>
      </c>
      <c r="X388">
        <v>0.183115</v>
      </c>
      <c r="Y388" t="s">
        <v>34</v>
      </c>
      <c r="Z388">
        <v>0.104183</v>
      </c>
      <c r="AA388" t="s">
        <v>35</v>
      </c>
      <c r="AB388">
        <v>5.5988000000000003E-2</v>
      </c>
      <c r="AC388" t="s">
        <v>36</v>
      </c>
      <c r="AD388">
        <v>0.26465300000000003</v>
      </c>
      <c r="AE388" t="s">
        <v>37</v>
      </c>
      <c r="AF388">
        <v>0.26155299999999998</v>
      </c>
      <c r="AG388" t="s">
        <v>38</v>
      </c>
      <c r="AH388">
        <v>0.98828899999999997</v>
      </c>
      <c r="AI388" t="s">
        <v>39</v>
      </c>
      <c r="AJ388">
        <v>0.77862500000000001</v>
      </c>
      <c r="AK388" t="s">
        <v>40</v>
      </c>
      <c r="AL388">
        <v>0.78449100000000005</v>
      </c>
      <c r="AM388" t="s">
        <v>41</v>
      </c>
      <c r="AN388">
        <v>50.531258000000001</v>
      </c>
      <c r="AO388" t="s">
        <v>42</v>
      </c>
      <c r="AP388">
        <v>27.155975000000002</v>
      </c>
    </row>
    <row r="389" spans="1:42" x14ac:dyDescent="0.3">
      <c r="A389" t="s">
        <v>22</v>
      </c>
      <c r="B389">
        <v>3.8899970000000001</v>
      </c>
      <c r="C389" t="s">
        <v>23</v>
      </c>
      <c r="D389">
        <v>1.003914</v>
      </c>
      <c r="E389" t="s">
        <v>24</v>
      </c>
      <c r="F389">
        <v>1.0277400000000001</v>
      </c>
      <c r="G389" t="s">
        <v>25</v>
      </c>
      <c r="H389">
        <v>0.91616900000000001</v>
      </c>
      <c r="I389" t="s">
        <v>26</v>
      </c>
      <c r="J389">
        <v>2.12E-4</v>
      </c>
      <c r="K389" t="s">
        <v>27</v>
      </c>
      <c r="L389">
        <v>2.1989999999999999E-2</v>
      </c>
      <c r="M389" t="s">
        <v>28</v>
      </c>
      <c r="N389">
        <v>1.9602000000000001E-2</v>
      </c>
      <c r="O389" t="s">
        <v>29</v>
      </c>
      <c r="P389">
        <v>0.13234399999999999</v>
      </c>
      <c r="Q389" t="s">
        <v>30</v>
      </c>
      <c r="R389">
        <v>5.718E-3</v>
      </c>
      <c r="S389" t="s">
        <v>31</v>
      </c>
      <c r="T389">
        <v>0.59869000000000006</v>
      </c>
      <c r="U389" t="s">
        <v>32</v>
      </c>
      <c r="V389">
        <v>2.2248E-2</v>
      </c>
      <c r="W389" t="s">
        <v>33</v>
      </c>
      <c r="X389">
        <v>0.18323</v>
      </c>
      <c r="Y389" t="s">
        <v>34</v>
      </c>
      <c r="Z389">
        <v>0.104183</v>
      </c>
      <c r="AA389" t="s">
        <v>35</v>
      </c>
      <c r="AB389">
        <v>5.5854000000000001E-2</v>
      </c>
      <c r="AC389" t="s">
        <v>36</v>
      </c>
      <c r="AD389">
        <v>0.26463900000000001</v>
      </c>
      <c r="AE389" t="s">
        <v>37</v>
      </c>
      <c r="AF389">
        <v>0.26155299999999998</v>
      </c>
      <c r="AG389" t="s">
        <v>38</v>
      </c>
      <c r="AH389">
        <v>0.98834100000000003</v>
      </c>
      <c r="AI389" t="s">
        <v>39</v>
      </c>
      <c r="AJ389">
        <v>0.77865099999999998</v>
      </c>
      <c r="AK389" t="s">
        <v>40</v>
      </c>
      <c r="AL389">
        <v>0.78449100000000005</v>
      </c>
      <c r="AM389" t="s">
        <v>41</v>
      </c>
      <c r="AN389">
        <v>50.661495000000002</v>
      </c>
      <c r="AO389" t="s">
        <v>42</v>
      </c>
      <c r="AP389">
        <v>27.223091</v>
      </c>
    </row>
    <row r="390" spans="1:42" x14ac:dyDescent="0.3">
      <c r="A390" t="s">
        <v>22</v>
      </c>
      <c r="B390">
        <v>3.8999969999999999</v>
      </c>
      <c r="C390" t="s">
        <v>23</v>
      </c>
      <c r="D390">
        <v>1.003773</v>
      </c>
      <c r="E390" t="s">
        <v>24</v>
      </c>
      <c r="F390">
        <v>1.027487</v>
      </c>
      <c r="G390" t="s">
        <v>25</v>
      </c>
      <c r="H390">
        <v>0.91616900000000001</v>
      </c>
      <c r="I390" t="s">
        <v>26</v>
      </c>
      <c r="J390">
        <v>2.1100000000000001E-4</v>
      </c>
      <c r="K390" t="s">
        <v>27</v>
      </c>
      <c r="L390">
        <v>2.1984E-2</v>
      </c>
      <c r="M390" t="s">
        <v>28</v>
      </c>
      <c r="N390">
        <v>1.9602000000000001E-2</v>
      </c>
      <c r="O390" t="s">
        <v>29</v>
      </c>
      <c r="P390">
        <v>0.13309699999999999</v>
      </c>
      <c r="Q390" t="s">
        <v>30</v>
      </c>
      <c r="R390">
        <v>7.0590000000000002E-3</v>
      </c>
      <c r="S390" t="s">
        <v>31</v>
      </c>
      <c r="T390">
        <v>0.59869000000000006</v>
      </c>
      <c r="U390" t="s">
        <v>32</v>
      </c>
      <c r="V390">
        <v>2.2193999999999998E-2</v>
      </c>
      <c r="W390" t="s">
        <v>33</v>
      </c>
      <c r="X390">
        <v>0.18334600000000001</v>
      </c>
      <c r="Y390" t="s">
        <v>34</v>
      </c>
      <c r="Z390">
        <v>0.104183</v>
      </c>
      <c r="AA390" t="s">
        <v>35</v>
      </c>
      <c r="AB390">
        <v>5.5718999999999998E-2</v>
      </c>
      <c r="AC390" t="s">
        <v>36</v>
      </c>
      <c r="AD390">
        <v>0.264625</v>
      </c>
      <c r="AE390" t="s">
        <v>37</v>
      </c>
      <c r="AF390">
        <v>0.26155299999999998</v>
      </c>
      <c r="AG390" t="s">
        <v>38</v>
      </c>
      <c r="AH390">
        <v>0.98839299999999997</v>
      </c>
      <c r="AI390" t="s">
        <v>39</v>
      </c>
      <c r="AJ390">
        <v>0.77867699999999995</v>
      </c>
      <c r="AK390" t="s">
        <v>40</v>
      </c>
      <c r="AL390">
        <v>0.78449100000000005</v>
      </c>
      <c r="AM390" t="s">
        <v>41</v>
      </c>
      <c r="AN390">
        <v>50.791728999999997</v>
      </c>
      <c r="AO390" t="s">
        <v>42</v>
      </c>
      <c r="AP390">
        <v>27.290210999999999</v>
      </c>
    </row>
    <row r="391" spans="1:42" x14ac:dyDescent="0.3">
      <c r="A391" t="s">
        <v>22</v>
      </c>
      <c r="B391">
        <v>3.9099970000000002</v>
      </c>
      <c r="C391" t="s">
        <v>23</v>
      </c>
      <c r="D391">
        <v>1.0036320000000001</v>
      </c>
      <c r="E391" t="s">
        <v>24</v>
      </c>
      <c r="F391">
        <v>1.027236</v>
      </c>
      <c r="G391" t="s">
        <v>25</v>
      </c>
      <c r="H391">
        <v>0.91616900000000001</v>
      </c>
      <c r="I391" t="s">
        <v>26</v>
      </c>
      <c r="J391">
        <v>2.1100000000000001E-4</v>
      </c>
      <c r="K391" t="s">
        <v>27</v>
      </c>
      <c r="L391">
        <v>2.1978999999999999E-2</v>
      </c>
      <c r="M391" t="s">
        <v>28</v>
      </c>
      <c r="N391">
        <v>1.9602000000000001E-2</v>
      </c>
      <c r="O391" t="s">
        <v>29</v>
      </c>
      <c r="P391">
        <v>0.13384499999999999</v>
      </c>
      <c r="Q391" t="s">
        <v>30</v>
      </c>
      <c r="R391">
        <v>8.3949999999999997E-3</v>
      </c>
      <c r="S391" t="s">
        <v>31</v>
      </c>
      <c r="T391">
        <v>0.59869000000000006</v>
      </c>
      <c r="U391" t="s">
        <v>32</v>
      </c>
      <c r="V391">
        <v>2.2141000000000001E-2</v>
      </c>
      <c r="W391" t="s">
        <v>33</v>
      </c>
      <c r="X391">
        <v>0.18346199999999999</v>
      </c>
      <c r="Y391" t="s">
        <v>34</v>
      </c>
      <c r="Z391">
        <v>0.104183</v>
      </c>
      <c r="AA391" t="s">
        <v>35</v>
      </c>
      <c r="AB391">
        <v>5.5586000000000003E-2</v>
      </c>
      <c r="AC391" t="s">
        <v>36</v>
      </c>
      <c r="AD391">
        <v>0.26461099999999999</v>
      </c>
      <c r="AE391" t="s">
        <v>37</v>
      </c>
      <c r="AF391">
        <v>0.26155299999999998</v>
      </c>
      <c r="AG391" t="s">
        <v>38</v>
      </c>
      <c r="AH391">
        <v>0.98844399999999999</v>
      </c>
      <c r="AI391" t="s">
        <v>39</v>
      </c>
      <c r="AJ391">
        <v>0.77870499999999998</v>
      </c>
      <c r="AK391" t="s">
        <v>40</v>
      </c>
      <c r="AL391">
        <v>0.78449100000000005</v>
      </c>
      <c r="AM391" t="s">
        <v>41</v>
      </c>
      <c r="AN391">
        <v>50.921962999999998</v>
      </c>
      <c r="AO391" t="s">
        <v>42</v>
      </c>
      <c r="AP391">
        <v>27.357340000000001</v>
      </c>
    </row>
    <row r="392" spans="1:42" x14ac:dyDescent="0.3">
      <c r="A392" t="s">
        <v>22</v>
      </c>
      <c r="B392">
        <v>3.919997</v>
      </c>
      <c r="C392" t="s">
        <v>23</v>
      </c>
      <c r="D392">
        <v>1.0034909999999999</v>
      </c>
      <c r="E392" t="s">
        <v>24</v>
      </c>
      <c r="F392">
        <v>1.026986</v>
      </c>
      <c r="G392" t="s">
        <v>25</v>
      </c>
      <c r="H392">
        <v>0.91616900000000001</v>
      </c>
      <c r="I392" t="s">
        <v>26</v>
      </c>
      <c r="J392">
        <v>2.1000000000000001E-4</v>
      </c>
      <c r="K392" t="s">
        <v>27</v>
      </c>
      <c r="L392">
        <v>2.1974E-2</v>
      </c>
      <c r="M392" t="s">
        <v>28</v>
      </c>
      <c r="N392">
        <v>1.9602000000000001E-2</v>
      </c>
      <c r="O392" t="s">
        <v>29</v>
      </c>
      <c r="P392">
        <v>0.13459299999999999</v>
      </c>
      <c r="Q392" t="s">
        <v>30</v>
      </c>
      <c r="R392">
        <v>9.7260000000000003E-3</v>
      </c>
      <c r="S392" t="s">
        <v>31</v>
      </c>
      <c r="T392">
        <v>0.59869000000000006</v>
      </c>
      <c r="U392" t="s">
        <v>32</v>
      </c>
      <c r="V392">
        <v>2.2088E-2</v>
      </c>
      <c r="W392" t="s">
        <v>33</v>
      </c>
      <c r="X392">
        <v>0.18357699999999999</v>
      </c>
      <c r="Y392" t="s">
        <v>34</v>
      </c>
      <c r="Z392">
        <v>0.104183</v>
      </c>
      <c r="AA392" t="s">
        <v>35</v>
      </c>
      <c r="AB392">
        <v>5.5453000000000002E-2</v>
      </c>
      <c r="AC392" t="s">
        <v>36</v>
      </c>
      <c r="AD392">
        <v>0.26459700000000003</v>
      </c>
      <c r="AE392" t="s">
        <v>37</v>
      </c>
      <c r="AF392">
        <v>0.26155299999999998</v>
      </c>
      <c r="AG392" t="s">
        <v>38</v>
      </c>
      <c r="AH392">
        <v>0.98849500000000001</v>
      </c>
      <c r="AI392" t="s">
        <v>39</v>
      </c>
      <c r="AJ392">
        <v>0.77873099999999995</v>
      </c>
      <c r="AK392" t="s">
        <v>40</v>
      </c>
      <c r="AL392">
        <v>0.78449100000000005</v>
      </c>
      <c r="AM392" t="s">
        <v>41</v>
      </c>
      <c r="AN392">
        <v>51.052199999999999</v>
      </c>
      <c r="AO392" t="s">
        <v>42</v>
      </c>
      <c r="AP392">
        <v>27.424471</v>
      </c>
    </row>
    <row r="393" spans="1:42" x14ac:dyDescent="0.3">
      <c r="A393" t="s">
        <v>22</v>
      </c>
      <c r="B393">
        <v>3.9299970000000002</v>
      </c>
      <c r="C393" t="s">
        <v>23</v>
      </c>
      <c r="D393">
        <v>1.0033510000000001</v>
      </c>
      <c r="E393" t="s">
        <v>24</v>
      </c>
      <c r="F393">
        <v>1.0267360000000001</v>
      </c>
      <c r="G393" t="s">
        <v>25</v>
      </c>
      <c r="H393">
        <v>0.91616900000000001</v>
      </c>
      <c r="I393" t="s">
        <v>26</v>
      </c>
      <c r="J393">
        <v>2.0900000000000001E-4</v>
      </c>
      <c r="K393" t="s">
        <v>27</v>
      </c>
      <c r="L393">
        <v>2.1968000000000001E-2</v>
      </c>
      <c r="M393" t="s">
        <v>28</v>
      </c>
      <c r="N393">
        <v>1.9602000000000001E-2</v>
      </c>
      <c r="O393" t="s">
        <v>29</v>
      </c>
      <c r="P393">
        <v>0.13533899999999999</v>
      </c>
      <c r="Q393" t="s">
        <v>30</v>
      </c>
      <c r="R393">
        <v>1.1049E-2</v>
      </c>
      <c r="S393" t="s">
        <v>31</v>
      </c>
      <c r="T393">
        <v>0.59869000000000006</v>
      </c>
      <c r="U393" t="s">
        <v>32</v>
      </c>
      <c r="V393">
        <v>2.2034999999999999E-2</v>
      </c>
      <c r="W393" t="s">
        <v>33</v>
      </c>
      <c r="X393">
        <v>0.183693</v>
      </c>
      <c r="Y393" t="s">
        <v>34</v>
      </c>
      <c r="Z393">
        <v>0.104183</v>
      </c>
      <c r="AA393" t="s">
        <v>35</v>
      </c>
      <c r="AB393">
        <v>5.5320000000000001E-2</v>
      </c>
      <c r="AC393" t="s">
        <v>36</v>
      </c>
      <c r="AD393">
        <v>0.26458300000000001</v>
      </c>
      <c r="AE393" t="s">
        <v>37</v>
      </c>
      <c r="AF393">
        <v>0.26155299999999998</v>
      </c>
      <c r="AG393" t="s">
        <v>38</v>
      </c>
      <c r="AH393">
        <v>0.98854600000000004</v>
      </c>
      <c r="AI393" t="s">
        <v>39</v>
      </c>
      <c r="AJ393">
        <v>0.77875700000000003</v>
      </c>
      <c r="AK393" t="s">
        <v>40</v>
      </c>
      <c r="AL393">
        <v>0.78449100000000005</v>
      </c>
      <c r="AM393" t="s">
        <v>41</v>
      </c>
      <c r="AN393">
        <v>51.182434000000001</v>
      </c>
      <c r="AO393" t="s">
        <v>42</v>
      </c>
      <c r="AP393">
        <v>27.491607999999999</v>
      </c>
    </row>
    <row r="394" spans="1:42" x14ac:dyDescent="0.3">
      <c r="A394" t="s">
        <v>22</v>
      </c>
      <c r="B394">
        <v>3.939997</v>
      </c>
      <c r="C394" t="s">
        <v>23</v>
      </c>
      <c r="D394">
        <v>1.0032110000000001</v>
      </c>
      <c r="E394" t="s">
        <v>24</v>
      </c>
      <c r="F394">
        <v>1.0264880000000001</v>
      </c>
      <c r="G394" t="s">
        <v>25</v>
      </c>
      <c r="H394">
        <v>0.91616900000000001</v>
      </c>
      <c r="I394" t="s">
        <v>26</v>
      </c>
      <c r="J394">
        <v>2.0799999999999999E-4</v>
      </c>
      <c r="K394" t="s">
        <v>27</v>
      </c>
      <c r="L394">
        <v>2.1963E-2</v>
      </c>
      <c r="M394" t="s">
        <v>28</v>
      </c>
      <c r="N394">
        <v>1.9602000000000001E-2</v>
      </c>
      <c r="O394" t="s">
        <v>29</v>
      </c>
      <c r="P394">
        <v>0.13608400000000001</v>
      </c>
      <c r="Q394" t="s">
        <v>30</v>
      </c>
      <c r="R394">
        <v>1.2368000000000001E-2</v>
      </c>
      <c r="S394" t="s">
        <v>31</v>
      </c>
      <c r="T394">
        <v>0.59869000000000006</v>
      </c>
      <c r="U394" t="s">
        <v>32</v>
      </c>
      <c r="V394">
        <v>2.1982999999999999E-2</v>
      </c>
      <c r="W394" t="s">
        <v>33</v>
      </c>
      <c r="X394">
        <v>0.183809</v>
      </c>
      <c r="Y394" t="s">
        <v>34</v>
      </c>
      <c r="Z394">
        <v>0.104183</v>
      </c>
      <c r="AA394" t="s">
        <v>35</v>
      </c>
      <c r="AB394">
        <v>5.5188000000000001E-2</v>
      </c>
      <c r="AC394" t="s">
        <v>36</v>
      </c>
      <c r="AD394">
        <v>0.26457000000000003</v>
      </c>
      <c r="AE394" t="s">
        <v>37</v>
      </c>
      <c r="AF394">
        <v>0.26155299999999998</v>
      </c>
      <c r="AG394" t="s">
        <v>38</v>
      </c>
      <c r="AH394">
        <v>0.98859699999999995</v>
      </c>
      <c r="AI394" t="s">
        <v>39</v>
      </c>
      <c r="AJ394">
        <v>0.778783</v>
      </c>
      <c r="AK394" t="s">
        <v>40</v>
      </c>
      <c r="AL394">
        <v>0.78449100000000005</v>
      </c>
      <c r="AM394" t="s">
        <v>41</v>
      </c>
      <c r="AN394">
        <v>51.312671999999999</v>
      </c>
      <c r="AO394" t="s">
        <v>42</v>
      </c>
      <c r="AP394">
        <v>27.558744000000001</v>
      </c>
    </row>
    <row r="395" spans="1:42" x14ac:dyDescent="0.3">
      <c r="A395" t="s">
        <v>22</v>
      </c>
      <c r="B395">
        <v>3.9499970000000002</v>
      </c>
      <c r="C395" t="s">
        <v>23</v>
      </c>
      <c r="D395">
        <v>1.003071</v>
      </c>
      <c r="E395" t="s">
        <v>24</v>
      </c>
      <c r="F395">
        <v>1.026241</v>
      </c>
      <c r="G395" t="s">
        <v>25</v>
      </c>
      <c r="H395">
        <v>0.91616900000000001</v>
      </c>
      <c r="I395" t="s">
        <v>26</v>
      </c>
      <c r="J395">
        <v>2.0799999999999999E-4</v>
      </c>
      <c r="K395" t="s">
        <v>27</v>
      </c>
      <c r="L395">
        <v>2.1957999999999998E-2</v>
      </c>
      <c r="M395" t="s">
        <v>28</v>
      </c>
      <c r="N395">
        <v>1.9602000000000001E-2</v>
      </c>
      <c r="O395" t="s">
        <v>29</v>
      </c>
      <c r="P395">
        <v>0.136825</v>
      </c>
      <c r="Q395" t="s">
        <v>30</v>
      </c>
      <c r="R395">
        <v>1.3679999999999999E-2</v>
      </c>
      <c r="S395" t="s">
        <v>31</v>
      </c>
      <c r="T395">
        <v>0.59869000000000006</v>
      </c>
      <c r="U395" t="s">
        <v>32</v>
      </c>
      <c r="V395">
        <v>2.1930999999999999E-2</v>
      </c>
      <c r="W395" t="s">
        <v>33</v>
      </c>
      <c r="X395">
        <v>0.18392500000000001</v>
      </c>
      <c r="Y395" t="s">
        <v>34</v>
      </c>
      <c r="Z395">
        <v>0.104183</v>
      </c>
      <c r="AA395" t="s">
        <v>35</v>
      </c>
      <c r="AB395">
        <v>5.5057000000000002E-2</v>
      </c>
      <c r="AC395" t="s">
        <v>36</v>
      </c>
      <c r="AD395">
        <v>0.26455699999999999</v>
      </c>
      <c r="AE395" t="s">
        <v>37</v>
      </c>
      <c r="AF395">
        <v>0.26155299999999998</v>
      </c>
      <c r="AG395" t="s">
        <v>38</v>
      </c>
      <c r="AH395">
        <v>0.98864700000000005</v>
      </c>
      <c r="AI395" t="s">
        <v>39</v>
      </c>
      <c r="AJ395">
        <v>0.77880799999999994</v>
      </c>
      <c r="AK395" t="s">
        <v>40</v>
      </c>
      <c r="AL395">
        <v>0.78449100000000005</v>
      </c>
      <c r="AM395" t="s">
        <v>41</v>
      </c>
      <c r="AN395">
        <v>51.442905000000003</v>
      </c>
      <c r="AO395" t="s">
        <v>42</v>
      </c>
      <c r="AP395">
        <v>27.625889000000001</v>
      </c>
    </row>
    <row r="396" spans="1:42" x14ac:dyDescent="0.3">
      <c r="A396" t="s">
        <v>22</v>
      </c>
      <c r="B396">
        <v>3.959997</v>
      </c>
      <c r="C396" t="s">
        <v>23</v>
      </c>
      <c r="D396">
        <v>1.0029319999999999</v>
      </c>
      <c r="E396" t="s">
        <v>24</v>
      </c>
      <c r="F396">
        <v>1.025995</v>
      </c>
      <c r="G396" t="s">
        <v>25</v>
      </c>
      <c r="H396">
        <v>0.91616900000000001</v>
      </c>
      <c r="I396" t="s">
        <v>26</v>
      </c>
      <c r="J396">
        <v>2.0699999999999999E-4</v>
      </c>
      <c r="K396" t="s">
        <v>27</v>
      </c>
      <c r="L396">
        <v>2.1953E-2</v>
      </c>
      <c r="M396" t="s">
        <v>28</v>
      </c>
      <c r="N396">
        <v>1.9602000000000001E-2</v>
      </c>
      <c r="O396" t="s">
        <v>29</v>
      </c>
      <c r="P396">
        <v>0.13756599999999999</v>
      </c>
      <c r="Q396" t="s">
        <v>30</v>
      </c>
      <c r="R396">
        <v>1.4987E-2</v>
      </c>
      <c r="S396" t="s">
        <v>31</v>
      </c>
      <c r="T396">
        <v>0.59869000000000006</v>
      </c>
      <c r="U396" t="s">
        <v>32</v>
      </c>
      <c r="V396">
        <v>2.1878999999999999E-2</v>
      </c>
      <c r="W396" t="s">
        <v>33</v>
      </c>
      <c r="X396">
        <v>0.18404000000000001</v>
      </c>
      <c r="Y396" t="s">
        <v>34</v>
      </c>
      <c r="Z396">
        <v>0.104183</v>
      </c>
      <c r="AA396" t="s">
        <v>35</v>
      </c>
      <c r="AB396">
        <v>5.4926999999999997E-2</v>
      </c>
      <c r="AC396" t="s">
        <v>36</v>
      </c>
      <c r="AD396">
        <v>0.26454299999999997</v>
      </c>
      <c r="AE396" t="s">
        <v>37</v>
      </c>
      <c r="AF396">
        <v>0.26155299999999998</v>
      </c>
      <c r="AG396" t="s">
        <v>38</v>
      </c>
      <c r="AH396">
        <v>0.98869600000000002</v>
      </c>
      <c r="AI396" t="s">
        <v>39</v>
      </c>
      <c r="AJ396">
        <v>0.778833</v>
      </c>
      <c r="AK396" t="s">
        <v>40</v>
      </c>
      <c r="AL396">
        <v>0.78449100000000005</v>
      </c>
      <c r="AM396" t="s">
        <v>41</v>
      </c>
      <c r="AN396">
        <v>51.573138999999998</v>
      </c>
      <c r="AO396" t="s">
        <v>42</v>
      </c>
      <c r="AP396">
        <v>27.693037</v>
      </c>
    </row>
    <row r="397" spans="1:42" x14ac:dyDescent="0.3">
      <c r="A397" t="s">
        <v>22</v>
      </c>
      <c r="B397">
        <v>3.9699970000000002</v>
      </c>
      <c r="C397" t="s">
        <v>23</v>
      </c>
      <c r="D397">
        <v>1.002793</v>
      </c>
      <c r="E397" t="s">
        <v>24</v>
      </c>
      <c r="F397">
        <v>1.0257510000000001</v>
      </c>
      <c r="G397" t="s">
        <v>25</v>
      </c>
      <c r="H397">
        <v>0.91616900000000001</v>
      </c>
      <c r="I397" t="s">
        <v>26</v>
      </c>
      <c r="J397">
        <v>2.0599999999999999E-4</v>
      </c>
      <c r="K397" t="s">
        <v>27</v>
      </c>
      <c r="L397">
        <v>2.1947000000000001E-2</v>
      </c>
      <c r="M397" t="s">
        <v>28</v>
      </c>
      <c r="N397">
        <v>1.9602000000000001E-2</v>
      </c>
      <c r="O397" t="s">
        <v>29</v>
      </c>
      <c r="P397">
        <v>0.13830300000000001</v>
      </c>
      <c r="Q397" t="s">
        <v>30</v>
      </c>
      <c r="R397">
        <v>1.6288E-2</v>
      </c>
      <c r="S397" t="s">
        <v>31</v>
      </c>
      <c r="T397">
        <v>0.59869000000000006</v>
      </c>
      <c r="U397" t="s">
        <v>32</v>
      </c>
      <c r="V397">
        <v>2.1826999999999999E-2</v>
      </c>
      <c r="W397" t="s">
        <v>33</v>
      </c>
      <c r="X397">
        <v>0.18415599999999999</v>
      </c>
      <c r="Y397" t="s">
        <v>34</v>
      </c>
      <c r="Z397">
        <v>0.104183</v>
      </c>
      <c r="AA397" t="s">
        <v>35</v>
      </c>
      <c r="AB397">
        <v>5.4795999999999997E-2</v>
      </c>
      <c r="AC397" t="s">
        <v>36</v>
      </c>
      <c r="AD397">
        <v>0.26452999999999999</v>
      </c>
      <c r="AE397" t="s">
        <v>37</v>
      </c>
      <c r="AF397">
        <v>0.26155299999999998</v>
      </c>
      <c r="AG397" t="s">
        <v>38</v>
      </c>
      <c r="AH397">
        <v>0.98874600000000001</v>
      </c>
      <c r="AI397" t="s">
        <v>39</v>
      </c>
      <c r="AJ397">
        <v>0.77885800000000005</v>
      </c>
      <c r="AK397" t="s">
        <v>40</v>
      </c>
      <c r="AL397">
        <v>0.78449100000000005</v>
      </c>
      <c r="AM397" t="s">
        <v>41</v>
      </c>
      <c r="AN397">
        <v>51.703377000000003</v>
      </c>
      <c r="AO397" t="s">
        <v>42</v>
      </c>
      <c r="AP397">
        <v>27.760190999999999</v>
      </c>
    </row>
    <row r="398" spans="1:42" x14ac:dyDescent="0.3">
      <c r="A398" t="s">
        <v>22</v>
      </c>
      <c r="B398">
        <v>3.979997</v>
      </c>
      <c r="C398" t="s">
        <v>23</v>
      </c>
      <c r="D398">
        <v>1.0026539999999999</v>
      </c>
      <c r="E398" t="s">
        <v>24</v>
      </c>
      <c r="F398">
        <v>1.0255069999999999</v>
      </c>
      <c r="G398" t="s">
        <v>25</v>
      </c>
      <c r="H398">
        <v>0.91616900000000001</v>
      </c>
      <c r="I398" t="s">
        <v>26</v>
      </c>
      <c r="J398">
        <v>2.05E-4</v>
      </c>
      <c r="K398" t="s">
        <v>27</v>
      </c>
      <c r="L398">
        <v>2.1942E-2</v>
      </c>
      <c r="M398" t="s">
        <v>28</v>
      </c>
      <c r="N398">
        <v>1.9602000000000001E-2</v>
      </c>
      <c r="O398" t="s">
        <v>29</v>
      </c>
      <c r="P398">
        <v>0.139041</v>
      </c>
      <c r="Q398" t="s">
        <v>30</v>
      </c>
      <c r="R398">
        <v>1.7583999999999999E-2</v>
      </c>
      <c r="S398" t="s">
        <v>31</v>
      </c>
      <c r="T398">
        <v>0.59869000000000006</v>
      </c>
      <c r="U398" t="s">
        <v>32</v>
      </c>
      <c r="V398">
        <v>2.1774999999999999E-2</v>
      </c>
      <c r="W398" t="s">
        <v>33</v>
      </c>
      <c r="X398">
        <v>0.18427199999999999</v>
      </c>
      <c r="Y398" t="s">
        <v>34</v>
      </c>
      <c r="Z398">
        <v>0.104183</v>
      </c>
      <c r="AA398" t="s">
        <v>35</v>
      </c>
      <c r="AB398">
        <v>5.4667E-2</v>
      </c>
      <c r="AC398" t="s">
        <v>36</v>
      </c>
      <c r="AD398">
        <v>0.264517</v>
      </c>
      <c r="AE398" t="s">
        <v>37</v>
      </c>
      <c r="AF398">
        <v>0.26155299999999998</v>
      </c>
      <c r="AG398" t="s">
        <v>38</v>
      </c>
      <c r="AH398">
        <v>0.98879499999999998</v>
      </c>
      <c r="AI398" t="s">
        <v>39</v>
      </c>
      <c r="AJ398">
        <v>0.77888299999999999</v>
      </c>
      <c r="AK398" t="s">
        <v>40</v>
      </c>
      <c r="AL398">
        <v>0.78449100000000005</v>
      </c>
      <c r="AM398" t="s">
        <v>41</v>
      </c>
      <c r="AN398">
        <v>51.833610999999998</v>
      </c>
      <c r="AO398" t="s">
        <v>42</v>
      </c>
      <c r="AP398">
        <v>27.827345000000001</v>
      </c>
    </row>
    <row r="399" spans="1:42" x14ac:dyDescent="0.3">
      <c r="A399" t="s">
        <v>22</v>
      </c>
      <c r="B399">
        <v>3.9899969999999998</v>
      </c>
      <c r="C399" t="s">
        <v>23</v>
      </c>
      <c r="D399">
        <v>1.002516</v>
      </c>
      <c r="E399" t="s">
        <v>24</v>
      </c>
      <c r="F399">
        <v>1.025264</v>
      </c>
      <c r="G399" t="s">
        <v>25</v>
      </c>
      <c r="H399">
        <v>0.91616900000000001</v>
      </c>
      <c r="I399" t="s">
        <v>26</v>
      </c>
      <c r="J399">
        <v>2.05E-4</v>
      </c>
      <c r="K399" t="s">
        <v>27</v>
      </c>
      <c r="L399">
        <v>2.1937000000000002E-2</v>
      </c>
      <c r="M399" t="s">
        <v>28</v>
      </c>
      <c r="N399">
        <v>1.9602000000000001E-2</v>
      </c>
      <c r="O399" t="s">
        <v>29</v>
      </c>
      <c r="P399">
        <v>0.13977600000000001</v>
      </c>
      <c r="Q399" t="s">
        <v>30</v>
      </c>
      <c r="R399">
        <v>1.8873999999999998E-2</v>
      </c>
      <c r="S399" t="s">
        <v>31</v>
      </c>
      <c r="T399">
        <v>0.59869000000000006</v>
      </c>
      <c r="U399" t="s">
        <v>32</v>
      </c>
      <c r="V399">
        <v>2.1724E-2</v>
      </c>
      <c r="W399" t="s">
        <v>33</v>
      </c>
      <c r="X399">
        <v>0.184388</v>
      </c>
      <c r="Y399" t="s">
        <v>34</v>
      </c>
      <c r="Z399">
        <v>0.104183</v>
      </c>
      <c r="AA399" t="s">
        <v>35</v>
      </c>
      <c r="AB399">
        <v>5.4538000000000003E-2</v>
      </c>
      <c r="AC399" t="s">
        <v>36</v>
      </c>
      <c r="AD399">
        <v>0.26450400000000002</v>
      </c>
      <c r="AE399" t="s">
        <v>37</v>
      </c>
      <c r="AF399">
        <v>0.26155299999999998</v>
      </c>
      <c r="AG399" t="s">
        <v>38</v>
      </c>
      <c r="AH399">
        <v>0.98884399999999995</v>
      </c>
      <c r="AI399" t="s">
        <v>39</v>
      </c>
      <c r="AJ399">
        <v>0.77890899999999996</v>
      </c>
      <c r="AK399" t="s">
        <v>40</v>
      </c>
      <c r="AL399">
        <v>0.78449100000000005</v>
      </c>
      <c r="AM399" t="s">
        <v>41</v>
      </c>
      <c r="AN399">
        <v>51.963844000000002</v>
      </c>
      <c r="AO399" t="s">
        <v>42</v>
      </c>
      <c r="AP399">
        <v>27.894507999999998</v>
      </c>
    </row>
    <row r="400" spans="1:42" x14ac:dyDescent="0.3">
      <c r="A400" t="s">
        <v>22</v>
      </c>
      <c r="B400">
        <v>3.999997</v>
      </c>
      <c r="C400" t="s">
        <v>23</v>
      </c>
      <c r="D400">
        <v>1.002378</v>
      </c>
      <c r="E400" t="s">
        <v>24</v>
      </c>
      <c r="F400">
        <v>1.025023</v>
      </c>
      <c r="G400" t="s">
        <v>25</v>
      </c>
      <c r="H400">
        <v>0.91616900000000001</v>
      </c>
      <c r="I400" t="s">
        <v>26</v>
      </c>
      <c r="J400">
        <v>2.04E-4</v>
      </c>
      <c r="K400" t="s">
        <v>27</v>
      </c>
      <c r="L400">
        <v>2.1932E-2</v>
      </c>
      <c r="M400" t="s">
        <v>28</v>
      </c>
      <c r="N400">
        <v>1.9602000000000001E-2</v>
      </c>
      <c r="O400" t="s">
        <v>29</v>
      </c>
      <c r="P400">
        <v>0.14050799999999999</v>
      </c>
      <c r="Q400" t="s">
        <v>30</v>
      </c>
      <c r="R400">
        <v>2.0159E-2</v>
      </c>
      <c r="S400" t="s">
        <v>31</v>
      </c>
      <c r="T400">
        <v>0.59869000000000006</v>
      </c>
      <c r="U400" t="s">
        <v>32</v>
      </c>
      <c r="V400">
        <v>2.1673000000000001E-2</v>
      </c>
      <c r="W400" t="s">
        <v>33</v>
      </c>
      <c r="X400">
        <v>0.184504</v>
      </c>
      <c r="Y400" t="s">
        <v>34</v>
      </c>
      <c r="Z400">
        <v>0.104183</v>
      </c>
      <c r="AA400" t="s">
        <v>35</v>
      </c>
      <c r="AB400">
        <v>5.441E-2</v>
      </c>
      <c r="AC400" t="s">
        <v>36</v>
      </c>
      <c r="AD400">
        <v>0.26449099999999998</v>
      </c>
      <c r="AE400" t="s">
        <v>37</v>
      </c>
      <c r="AF400">
        <v>0.26155299999999998</v>
      </c>
      <c r="AG400" t="s">
        <v>38</v>
      </c>
      <c r="AH400">
        <v>0.98889300000000002</v>
      </c>
      <c r="AI400" t="s">
        <v>39</v>
      </c>
      <c r="AJ400">
        <v>0.77893400000000002</v>
      </c>
      <c r="AK400" t="s">
        <v>40</v>
      </c>
      <c r="AL400">
        <v>0.78449100000000005</v>
      </c>
      <c r="AM400" t="s">
        <v>41</v>
      </c>
      <c r="AN400">
        <v>52.094082</v>
      </c>
      <c r="AO400" t="s">
        <v>42</v>
      </c>
      <c r="AP400">
        <v>27.961672</v>
      </c>
    </row>
    <row r="401" spans="1:42" x14ac:dyDescent="0.3">
      <c r="A401" t="s">
        <v>22</v>
      </c>
      <c r="B401">
        <v>4.0099970000000003</v>
      </c>
      <c r="C401" t="s">
        <v>23</v>
      </c>
      <c r="D401">
        <v>1.0022409999999999</v>
      </c>
      <c r="E401" t="s">
        <v>24</v>
      </c>
      <c r="F401">
        <v>1.0247820000000001</v>
      </c>
      <c r="G401" t="s">
        <v>25</v>
      </c>
      <c r="H401">
        <v>0.91616900000000001</v>
      </c>
      <c r="I401" t="s">
        <v>26</v>
      </c>
      <c r="J401">
        <v>2.03E-4</v>
      </c>
      <c r="K401" t="s">
        <v>27</v>
      </c>
      <c r="L401">
        <v>2.1926999999999999E-2</v>
      </c>
      <c r="M401" t="s">
        <v>28</v>
      </c>
      <c r="N401">
        <v>1.9602000000000001E-2</v>
      </c>
      <c r="O401" t="s">
        <v>29</v>
      </c>
      <c r="P401">
        <v>0.141239</v>
      </c>
      <c r="Q401" t="s">
        <v>30</v>
      </c>
      <c r="R401">
        <v>2.1437000000000001E-2</v>
      </c>
      <c r="S401" t="s">
        <v>31</v>
      </c>
      <c r="T401">
        <v>0.59869000000000006</v>
      </c>
      <c r="U401" t="s">
        <v>32</v>
      </c>
      <c r="V401">
        <v>2.1621999999999999E-2</v>
      </c>
      <c r="W401" t="s">
        <v>33</v>
      </c>
      <c r="X401">
        <v>0.18461900000000001</v>
      </c>
      <c r="Y401" t="s">
        <v>34</v>
      </c>
      <c r="Z401">
        <v>0.104183</v>
      </c>
      <c r="AA401" t="s">
        <v>35</v>
      </c>
      <c r="AB401">
        <v>5.4281999999999997E-2</v>
      </c>
      <c r="AC401" t="s">
        <v>36</v>
      </c>
      <c r="AD401">
        <v>0.26447799999999999</v>
      </c>
      <c r="AE401" t="s">
        <v>37</v>
      </c>
      <c r="AF401">
        <v>0.26155299999999998</v>
      </c>
      <c r="AG401" t="s">
        <v>38</v>
      </c>
      <c r="AH401">
        <v>0.98894099999999996</v>
      </c>
      <c r="AI401" t="s">
        <v>39</v>
      </c>
      <c r="AJ401">
        <v>0.77895800000000004</v>
      </c>
      <c r="AK401" t="s">
        <v>40</v>
      </c>
      <c r="AL401">
        <v>0.78449100000000005</v>
      </c>
      <c r="AM401" t="s">
        <v>41</v>
      </c>
      <c r="AN401">
        <v>52.224316000000002</v>
      </c>
      <c r="AO401" t="s">
        <v>42</v>
      </c>
      <c r="AP401">
        <v>28.028841</v>
      </c>
    </row>
    <row r="402" spans="1:42" x14ac:dyDescent="0.3">
      <c r="A402" t="s">
        <v>22</v>
      </c>
      <c r="B402">
        <v>4.019997</v>
      </c>
      <c r="C402" t="s">
        <v>23</v>
      </c>
      <c r="D402">
        <v>1.0021040000000001</v>
      </c>
      <c r="E402" t="s">
        <v>24</v>
      </c>
      <c r="F402">
        <v>1.0245420000000001</v>
      </c>
      <c r="G402" t="s">
        <v>25</v>
      </c>
      <c r="H402">
        <v>0.91616900000000001</v>
      </c>
      <c r="I402" t="s">
        <v>26</v>
      </c>
      <c r="J402">
        <v>2.02E-4</v>
      </c>
      <c r="K402" t="s">
        <v>27</v>
      </c>
      <c r="L402">
        <v>2.1921E-2</v>
      </c>
      <c r="M402" t="s">
        <v>28</v>
      </c>
      <c r="N402">
        <v>1.9602000000000001E-2</v>
      </c>
      <c r="O402" t="s">
        <v>29</v>
      </c>
      <c r="P402">
        <v>0.14196800000000001</v>
      </c>
      <c r="Q402" t="s">
        <v>30</v>
      </c>
      <c r="R402">
        <v>2.2710000000000001E-2</v>
      </c>
      <c r="S402" t="s">
        <v>31</v>
      </c>
      <c r="T402">
        <v>0.59869000000000006</v>
      </c>
      <c r="U402" t="s">
        <v>32</v>
      </c>
      <c r="V402">
        <v>2.1571E-2</v>
      </c>
      <c r="W402" t="s">
        <v>33</v>
      </c>
      <c r="X402">
        <v>0.18473500000000001</v>
      </c>
      <c r="Y402" t="s">
        <v>34</v>
      </c>
      <c r="Z402">
        <v>0.104183</v>
      </c>
      <c r="AA402" t="s">
        <v>35</v>
      </c>
      <c r="AB402">
        <v>5.4155000000000002E-2</v>
      </c>
      <c r="AC402" t="s">
        <v>36</v>
      </c>
      <c r="AD402">
        <v>0.26446500000000001</v>
      </c>
      <c r="AE402" t="s">
        <v>37</v>
      </c>
      <c r="AF402">
        <v>0.26155299999999998</v>
      </c>
      <c r="AG402" t="s">
        <v>38</v>
      </c>
      <c r="AH402">
        <v>0.98898900000000001</v>
      </c>
      <c r="AI402" t="s">
        <v>39</v>
      </c>
      <c r="AJ402">
        <v>0.77898299999999998</v>
      </c>
      <c r="AK402" t="s">
        <v>40</v>
      </c>
      <c r="AL402">
        <v>0.78449100000000005</v>
      </c>
      <c r="AM402" t="s">
        <v>41</v>
      </c>
      <c r="AN402">
        <v>52.354553000000003</v>
      </c>
      <c r="AO402" t="s">
        <v>42</v>
      </c>
      <c r="AP402">
        <v>28.096018000000001</v>
      </c>
    </row>
    <row r="403" spans="1:42" x14ac:dyDescent="0.3">
      <c r="A403" t="s">
        <v>22</v>
      </c>
      <c r="B403">
        <v>4.0299969999999998</v>
      </c>
      <c r="C403" t="s">
        <v>23</v>
      </c>
      <c r="D403">
        <v>1.0019670000000001</v>
      </c>
      <c r="E403" t="s">
        <v>24</v>
      </c>
      <c r="F403">
        <v>1.0243040000000001</v>
      </c>
      <c r="G403" t="s">
        <v>25</v>
      </c>
      <c r="H403">
        <v>0.91616900000000001</v>
      </c>
      <c r="I403" t="s">
        <v>26</v>
      </c>
      <c r="J403">
        <v>2.02E-4</v>
      </c>
      <c r="K403" t="s">
        <v>27</v>
      </c>
      <c r="L403">
        <v>2.1916000000000001E-2</v>
      </c>
      <c r="M403" t="s">
        <v>28</v>
      </c>
      <c r="N403">
        <v>1.9602000000000001E-2</v>
      </c>
      <c r="O403" t="s">
        <v>29</v>
      </c>
      <c r="P403">
        <v>0.14269599999999999</v>
      </c>
      <c r="Q403" t="s">
        <v>30</v>
      </c>
      <c r="R403">
        <v>2.3977999999999999E-2</v>
      </c>
      <c r="S403" t="s">
        <v>31</v>
      </c>
      <c r="T403">
        <v>0.59869000000000006</v>
      </c>
      <c r="U403" t="s">
        <v>32</v>
      </c>
      <c r="V403">
        <v>2.1520999999999998E-2</v>
      </c>
      <c r="W403" t="s">
        <v>33</v>
      </c>
      <c r="X403">
        <v>0.18485099999999999</v>
      </c>
      <c r="Y403" t="s">
        <v>34</v>
      </c>
      <c r="Z403">
        <v>0.104183</v>
      </c>
      <c r="AA403" t="s">
        <v>35</v>
      </c>
      <c r="AB403">
        <v>5.4028E-2</v>
      </c>
      <c r="AC403" t="s">
        <v>36</v>
      </c>
      <c r="AD403">
        <v>0.26445200000000002</v>
      </c>
      <c r="AE403" t="s">
        <v>37</v>
      </c>
      <c r="AF403">
        <v>0.26155299999999998</v>
      </c>
      <c r="AG403" t="s">
        <v>38</v>
      </c>
      <c r="AH403">
        <v>0.98903600000000003</v>
      </c>
      <c r="AI403" t="s">
        <v>39</v>
      </c>
      <c r="AJ403">
        <v>0.77900700000000001</v>
      </c>
      <c r="AK403" t="s">
        <v>40</v>
      </c>
      <c r="AL403">
        <v>0.78449100000000005</v>
      </c>
      <c r="AM403" t="s">
        <v>41</v>
      </c>
      <c r="AN403">
        <v>52.484786999999997</v>
      </c>
      <c r="AO403" t="s">
        <v>42</v>
      </c>
      <c r="AP403">
        <v>28.163193</v>
      </c>
    </row>
    <row r="404" spans="1:42" x14ac:dyDescent="0.3">
      <c r="A404" t="s">
        <v>22</v>
      </c>
      <c r="B404">
        <v>4.0399979999999998</v>
      </c>
      <c r="C404" t="s">
        <v>23</v>
      </c>
      <c r="D404">
        <v>1.00183</v>
      </c>
      <c r="E404" t="s">
        <v>24</v>
      </c>
      <c r="F404">
        <v>1.0240659999999999</v>
      </c>
      <c r="G404" t="s">
        <v>25</v>
      </c>
      <c r="H404">
        <v>0.91616900000000001</v>
      </c>
      <c r="I404" t="s">
        <v>26</v>
      </c>
      <c r="J404">
        <v>2.0100000000000001E-4</v>
      </c>
      <c r="K404" t="s">
        <v>27</v>
      </c>
      <c r="L404">
        <v>2.1911E-2</v>
      </c>
      <c r="M404" t="s">
        <v>28</v>
      </c>
      <c r="N404">
        <v>1.9602000000000001E-2</v>
      </c>
      <c r="O404" t="s">
        <v>29</v>
      </c>
      <c r="P404">
        <v>0.14341999999999999</v>
      </c>
      <c r="Q404" t="s">
        <v>30</v>
      </c>
      <c r="R404">
        <v>2.5239999999999999E-2</v>
      </c>
      <c r="S404" t="s">
        <v>31</v>
      </c>
      <c r="T404">
        <v>0.59869000000000006</v>
      </c>
      <c r="U404" t="s">
        <v>32</v>
      </c>
      <c r="V404">
        <v>2.1471000000000001E-2</v>
      </c>
      <c r="W404" t="s">
        <v>33</v>
      </c>
      <c r="X404">
        <v>0.18496699999999999</v>
      </c>
      <c r="Y404" t="s">
        <v>34</v>
      </c>
      <c r="Z404">
        <v>0.104183</v>
      </c>
      <c r="AA404" t="s">
        <v>35</v>
      </c>
      <c r="AB404">
        <v>5.3901999999999999E-2</v>
      </c>
      <c r="AC404" t="s">
        <v>36</v>
      </c>
      <c r="AD404">
        <v>0.26444000000000001</v>
      </c>
      <c r="AE404" t="s">
        <v>37</v>
      </c>
      <c r="AF404">
        <v>0.26155299999999998</v>
      </c>
      <c r="AG404" t="s">
        <v>38</v>
      </c>
      <c r="AH404">
        <v>0.98908399999999996</v>
      </c>
      <c r="AI404" t="s">
        <v>39</v>
      </c>
      <c r="AJ404">
        <v>0.77903100000000003</v>
      </c>
      <c r="AK404" t="s">
        <v>40</v>
      </c>
      <c r="AL404">
        <v>0.78449100000000005</v>
      </c>
      <c r="AM404" t="s">
        <v>41</v>
      </c>
      <c r="AN404">
        <v>52.615020999999999</v>
      </c>
      <c r="AO404" t="s">
        <v>42</v>
      </c>
      <c r="AP404">
        <v>28.230374999999999</v>
      </c>
    </row>
    <row r="405" spans="1:42" x14ac:dyDescent="0.3">
      <c r="A405" t="s">
        <v>22</v>
      </c>
      <c r="B405">
        <v>4.0499980000000004</v>
      </c>
      <c r="C405" t="s">
        <v>23</v>
      </c>
      <c r="D405">
        <v>1.0016940000000001</v>
      </c>
      <c r="E405" t="s">
        <v>24</v>
      </c>
      <c r="F405">
        <v>1.02383</v>
      </c>
      <c r="G405" t="s">
        <v>25</v>
      </c>
      <c r="H405">
        <v>0.91616900000000001</v>
      </c>
      <c r="I405" t="s">
        <v>26</v>
      </c>
      <c r="J405">
        <v>2.0000000000000001E-4</v>
      </c>
      <c r="K405" t="s">
        <v>27</v>
      </c>
      <c r="L405">
        <v>2.1905999999999998E-2</v>
      </c>
      <c r="M405" t="s">
        <v>28</v>
      </c>
      <c r="N405">
        <v>1.9602000000000001E-2</v>
      </c>
      <c r="O405" t="s">
        <v>29</v>
      </c>
      <c r="P405">
        <v>0.14414299999999999</v>
      </c>
      <c r="Q405" t="s">
        <v>30</v>
      </c>
      <c r="R405">
        <v>2.6497E-2</v>
      </c>
      <c r="S405" t="s">
        <v>31</v>
      </c>
      <c r="T405">
        <v>0.59869000000000006</v>
      </c>
      <c r="U405" t="s">
        <v>32</v>
      </c>
      <c r="V405">
        <v>2.1420999999999999E-2</v>
      </c>
      <c r="W405" t="s">
        <v>33</v>
      </c>
      <c r="X405">
        <v>0.185083</v>
      </c>
      <c r="Y405" t="s">
        <v>34</v>
      </c>
      <c r="Z405">
        <v>0.104183</v>
      </c>
      <c r="AA405" t="s">
        <v>35</v>
      </c>
      <c r="AB405">
        <v>5.3776999999999998E-2</v>
      </c>
      <c r="AC405" t="s">
        <v>36</v>
      </c>
      <c r="AD405">
        <v>0.26442700000000002</v>
      </c>
      <c r="AE405" t="s">
        <v>37</v>
      </c>
      <c r="AF405">
        <v>0.26155299999999998</v>
      </c>
      <c r="AG405" t="s">
        <v>38</v>
      </c>
      <c r="AH405">
        <v>0.98913099999999998</v>
      </c>
      <c r="AI405" t="s">
        <v>39</v>
      </c>
      <c r="AJ405">
        <v>0.77905599999999997</v>
      </c>
      <c r="AK405" t="s">
        <v>40</v>
      </c>
      <c r="AL405">
        <v>0.78449100000000005</v>
      </c>
      <c r="AM405" t="s">
        <v>41</v>
      </c>
      <c r="AN405">
        <v>52.745258</v>
      </c>
      <c r="AO405" t="s">
        <v>42</v>
      </c>
      <c r="AP405">
        <v>28.297564000000001</v>
      </c>
    </row>
    <row r="406" spans="1:42" x14ac:dyDescent="0.3">
      <c r="A406" t="s">
        <v>22</v>
      </c>
      <c r="B406">
        <v>4.0599980000000002</v>
      </c>
      <c r="C406" t="s">
        <v>23</v>
      </c>
      <c r="D406">
        <v>1.0015579999999999</v>
      </c>
      <c r="E406" t="s">
        <v>24</v>
      </c>
      <c r="F406">
        <v>1.0235939999999999</v>
      </c>
      <c r="G406" t="s">
        <v>25</v>
      </c>
      <c r="H406">
        <v>0.91616900000000001</v>
      </c>
      <c r="I406" t="s">
        <v>26</v>
      </c>
      <c r="J406">
        <v>2.0000000000000001E-4</v>
      </c>
      <c r="K406" t="s">
        <v>27</v>
      </c>
      <c r="L406">
        <v>2.1901E-2</v>
      </c>
      <c r="M406" t="s">
        <v>28</v>
      </c>
      <c r="N406">
        <v>1.9602000000000001E-2</v>
      </c>
      <c r="O406" t="s">
        <v>29</v>
      </c>
      <c r="P406">
        <v>0.14486499999999999</v>
      </c>
      <c r="Q406" t="s">
        <v>30</v>
      </c>
      <c r="R406">
        <v>2.7748999999999999E-2</v>
      </c>
      <c r="S406" t="s">
        <v>31</v>
      </c>
      <c r="T406">
        <v>0.59869000000000006</v>
      </c>
      <c r="U406" t="s">
        <v>32</v>
      </c>
      <c r="V406">
        <v>2.1371000000000001E-2</v>
      </c>
      <c r="W406" t="s">
        <v>33</v>
      </c>
      <c r="X406">
        <v>0.185199</v>
      </c>
      <c r="Y406" t="s">
        <v>34</v>
      </c>
      <c r="Z406">
        <v>0.104183</v>
      </c>
      <c r="AA406" t="s">
        <v>35</v>
      </c>
      <c r="AB406">
        <v>5.3651999999999998E-2</v>
      </c>
      <c r="AC406" t="s">
        <v>36</v>
      </c>
      <c r="AD406">
        <v>0.26441399999999998</v>
      </c>
      <c r="AE406" t="s">
        <v>37</v>
      </c>
      <c r="AF406">
        <v>0.26155299999999998</v>
      </c>
      <c r="AG406" t="s">
        <v>38</v>
      </c>
      <c r="AH406">
        <v>0.98917699999999997</v>
      </c>
      <c r="AI406" t="s">
        <v>39</v>
      </c>
      <c r="AJ406">
        <v>0.77907899999999997</v>
      </c>
      <c r="AK406" t="s">
        <v>40</v>
      </c>
      <c r="AL406">
        <v>0.78449100000000005</v>
      </c>
      <c r="AM406" t="s">
        <v>41</v>
      </c>
      <c r="AN406">
        <v>52.875492000000001</v>
      </c>
      <c r="AO406" t="s">
        <v>42</v>
      </c>
      <c r="AP406">
        <v>28.364751999999999</v>
      </c>
    </row>
    <row r="407" spans="1:42" x14ac:dyDescent="0.3">
      <c r="A407" t="s">
        <v>22</v>
      </c>
      <c r="B407">
        <v>4.069998</v>
      </c>
      <c r="C407" t="s">
        <v>23</v>
      </c>
      <c r="D407">
        <v>1.001423</v>
      </c>
      <c r="E407" t="s">
        <v>24</v>
      </c>
      <c r="F407">
        <v>1.02336</v>
      </c>
      <c r="G407" t="s">
        <v>25</v>
      </c>
      <c r="H407">
        <v>0.91616900000000001</v>
      </c>
      <c r="I407" t="s">
        <v>26</v>
      </c>
      <c r="J407">
        <v>1.9900000000000001E-4</v>
      </c>
      <c r="K407" t="s">
        <v>27</v>
      </c>
      <c r="L407">
        <v>2.1895999999999999E-2</v>
      </c>
      <c r="M407" t="s">
        <v>28</v>
      </c>
      <c r="N407">
        <v>1.9602000000000001E-2</v>
      </c>
      <c r="O407" t="s">
        <v>29</v>
      </c>
      <c r="P407">
        <v>0.14558399999999999</v>
      </c>
      <c r="Q407" t="s">
        <v>30</v>
      </c>
      <c r="R407">
        <v>2.8995E-2</v>
      </c>
      <c r="S407" t="s">
        <v>31</v>
      </c>
      <c r="T407">
        <v>0.59869000000000006</v>
      </c>
      <c r="U407" t="s">
        <v>32</v>
      </c>
      <c r="V407">
        <v>2.1321E-2</v>
      </c>
      <c r="W407" t="s">
        <v>33</v>
      </c>
      <c r="X407">
        <v>0.18531500000000001</v>
      </c>
      <c r="Y407" t="s">
        <v>34</v>
      </c>
      <c r="Z407">
        <v>0.104183</v>
      </c>
      <c r="AA407" t="s">
        <v>35</v>
      </c>
      <c r="AB407">
        <v>5.3527999999999999E-2</v>
      </c>
      <c r="AC407" t="s">
        <v>36</v>
      </c>
      <c r="AD407">
        <v>0.26440200000000003</v>
      </c>
      <c r="AE407" t="s">
        <v>37</v>
      </c>
      <c r="AF407">
        <v>0.26155299999999998</v>
      </c>
      <c r="AG407" t="s">
        <v>38</v>
      </c>
      <c r="AH407">
        <v>0.98922399999999999</v>
      </c>
      <c r="AI407" t="s">
        <v>39</v>
      </c>
      <c r="AJ407">
        <v>0.77910199999999996</v>
      </c>
      <c r="AK407" t="s">
        <v>40</v>
      </c>
      <c r="AL407">
        <v>0.78449100000000005</v>
      </c>
      <c r="AM407" t="s">
        <v>41</v>
      </c>
      <c r="AN407">
        <v>53.00573</v>
      </c>
      <c r="AO407" t="s">
        <v>42</v>
      </c>
      <c r="AP407">
        <v>28.431947999999998</v>
      </c>
    </row>
    <row r="408" spans="1:42" x14ac:dyDescent="0.3">
      <c r="A408" t="s">
        <v>22</v>
      </c>
      <c r="B408">
        <v>4.0799979999999998</v>
      </c>
      <c r="C408" t="s">
        <v>23</v>
      </c>
      <c r="D408">
        <v>1.001288</v>
      </c>
      <c r="E408" t="s">
        <v>24</v>
      </c>
      <c r="F408">
        <v>1.023126</v>
      </c>
      <c r="G408" t="s">
        <v>25</v>
      </c>
      <c r="H408">
        <v>0.91616900000000001</v>
      </c>
      <c r="I408" t="s">
        <v>26</v>
      </c>
      <c r="J408">
        <v>1.9799999999999999E-4</v>
      </c>
      <c r="K408" t="s">
        <v>27</v>
      </c>
      <c r="L408">
        <v>2.1891000000000001E-2</v>
      </c>
      <c r="M408" t="s">
        <v>28</v>
      </c>
      <c r="N408">
        <v>1.9602000000000001E-2</v>
      </c>
      <c r="O408" t="s">
        <v>29</v>
      </c>
      <c r="P408">
        <v>0.14630299999999999</v>
      </c>
      <c r="Q408" t="s">
        <v>30</v>
      </c>
      <c r="R408">
        <v>3.0235999999999999E-2</v>
      </c>
      <c r="S408" t="s">
        <v>31</v>
      </c>
      <c r="T408">
        <v>0.59869000000000006</v>
      </c>
      <c r="U408" t="s">
        <v>32</v>
      </c>
      <c r="V408">
        <v>2.1271999999999999E-2</v>
      </c>
      <c r="W408" t="s">
        <v>33</v>
      </c>
      <c r="X408">
        <v>0.18543100000000001</v>
      </c>
      <c r="Y408" t="s">
        <v>34</v>
      </c>
      <c r="Z408">
        <v>0.104183</v>
      </c>
      <c r="AA408" t="s">
        <v>35</v>
      </c>
      <c r="AB408">
        <v>5.3404E-2</v>
      </c>
      <c r="AC408" t="s">
        <v>36</v>
      </c>
      <c r="AD408">
        <v>0.26439000000000001</v>
      </c>
      <c r="AE408" t="s">
        <v>37</v>
      </c>
      <c r="AF408">
        <v>0.26155299999999998</v>
      </c>
      <c r="AG408" t="s">
        <v>38</v>
      </c>
      <c r="AH408">
        <v>0.98926999999999998</v>
      </c>
      <c r="AI408" t="s">
        <v>39</v>
      </c>
      <c r="AJ408">
        <v>0.77912599999999999</v>
      </c>
      <c r="AK408" t="s">
        <v>40</v>
      </c>
      <c r="AL408">
        <v>0.78449100000000005</v>
      </c>
      <c r="AM408" t="s">
        <v>41</v>
      </c>
      <c r="AN408">
        <v>53.135962999999997</v>
      </c>
      <c r="AO408" t="s">
        <v>42</v>
      </c>
      <c r="AP408">
        <v>28.499146</v>
      </c>
    </row>
    <row r="409" spans="1:42" x14ac:dyDescent="0.3">
      <c r="A409" t="s">
        <v>22</v>
      </c>
      <c r="B409">
        <v>4.0899989999999997</v>
      </c>
      <c r="C409" t="s">
        <v>23</v>
      </c>
      <c r="D409">
        <v>1.001153</v>
      </c>
      <c r="E409" t="s">
        <v>24</v>
      </c>
      <c r="F409">
        <v>1.022894</v>
      </c>
      <c r="G409" t="s">
        <v>25</v>
      </c>
      <c r="H409">
        <v>0.91616900000000001</v>
      </c>
      <c r="I409" t="s">
        <v>26</v>
      </c>
      <c r="J409">
        <v>1.9699999999999999E-4</v>
      </c>
      <c r="K409" t="s">
        <v>27</v>
      </c>
      <c r="L409">
        <v>2.1885999999999999E-2</v>
      </c>
      <c r="M409" t="s">
        <v>28</v>
      </c>
      <c r="N409">
        <v>1.9602000000000001E-2</v>
      </c>
      <c r="O409" t="s">
        <v>29</v>
      </c>
      <c r="P409">
        <v>0.14702000000000001</v>
      </c>
      <c r="Q409" t="s">
        <v>30</v>
      </c>
      <c r="R409">
        <v>3.1472E-2</v>
      </c>
      <c r="S409" t="s">
        <v>31</v>
      </c>
      <c r="T409">
        <v>0.59869000000000006</v>
      </c>
      <c r="U409" t="s">
        <v>32</v>
      </c>
      <c r="V409">
        <v>2.1222999999999999E-2</v>
      </c>
      <c r="W409" t="s">
        <v>33</v>
      </c>
      <c r="X409">
        <v>0.18554699999999999</v>
      </c>
      <c r="Y409" t="s">
        <v>34</v>
      </c>
      <c r="Z409">
        <v>0.104183</v>
      </c>
      <c r="AA409" t="s">
        <v>35</v>
      </c>
      <c r="AB409">
        <v>5.3281000000000002E-2</v>
      </c>
      <c r="AC409" t="s">
        <v>36</v>
      </c>
      <c r="AD409">
        <v>0.264378</v>
      </c>
      <c r="AE409" t="s">
        <v>37</v>
      </c>
      <c r="AF409">
        <v>0.26155299999999998</v>
      </c>
      <c r="AG409" t="s">
        <v>38</v>
      </c>
      <c r="AH409">
        <v>0.98931599999999997</v>
      </c>
      <c r="AI409" t="s">
        <v>39</v>
      </c>
      <c r="AJ409">
        <v>0.77914899999999998</v>
      </c>
      <c r="AK409" t="s">
        <v>40</v>
      </c>
      <c r="AL409">
        <v>0.78449100000000005</v>
      </c>
      <c r="AM409" t="s">
        <v>41</v>
      </c>
      <c r="AN409">
        <v>53.266196999999998</v>
      </c>
      <c r="AO409" t="s">
        <v>42</v>
      </c>
      <c r="AP409">
        <v>28.566347</v>
      </c>
    </row>
    <row r="410" spans="1:42" x14ac:dyDescent="0.3">
      <c r="A410" t="s">
        <v>22</v>
      </c>
      <c r="B410">
        <v>4.0999990000000004</v>
      </c>
      <c r="C410" t="s">
        <v>23</v>
      </c>
      <c r="D410">
        <v>1.0010190000000001</v>
      </c>
      <c r="E410" t="s">
        <v>24</v>
      </c>
      <c r="F410">
        <v>1.022662</v>
      </c>
      <c r="G410" t="s">
        <v>25</v>
      </c>
      <c r="H410">
        <v>0.91616900000000001</v>
      </c>
      <c r="I410" t="s">
        <v>26</v>
      </c>
      <c r="J410">
        <v>1.9699999999999999E-4</v>
      </c>
      <c r="K410" t="s">
        <v>27</v>
      </c>
      <c r="L410">
        <v>2.1881000000000001E-2</v>
      </c>
      <c r="M410" t="s">
        <v>28</v>
      </c>
      <c r="N410">
        <v>1.9602000000000001E-2</v>
      </c>
      <c r="O410" t="s">
        <v>29</v>
      </c>
      <c r="P410">
        <v>0.147733</v>
      </c>
      <c r="Q410" t="s">
        <v>30</v>
      </c>
      <c r="R410">
        <v>3.2702000000000002E-2</v>
      </c>
      <c r="S410" t="s">
        <v>31</v>
      </c>
      <c r="T410">
        <v>0.59869000000000006</v>
      </c>
      <c r="U410" t="s">
        <v>32</v>
      </c>
      <c r="V410">
        <v>2.1173999999999998E-2</v>
      </c>
      <c r="W410" t="s">
        <v>33</v>
      </c>
      <c r="X410">
        <v>0.18566199999999999</v>
      </c>
      <c r="Y410" t="s">
        <v>34</v>
      </c>
      <c r="Z410">
        <v>0.104183</v>
      </c>
      <c r="AA410" t="s">
        <v>35</v>
      </c>
      <c r="AB410">
        <v>5.3157999999999997E-2</v>
      </c>
      <c r="AC410" t="s">
        <v>36</v>
      </c>
      <c r="AD410">
        <v>0.26436599999999999</v>
      </c>
      <c r="AE410" t="s">
        <v>37</v>
      </c>
      <c r="AF410">
        <v>0.26155299999999998</v>
      </c>
      <c r="AG410" t="s">
        <v>38</v>
      </c>
      <c r="AH410">
        <v>0.98936100000000005</v>
      </c>
      <c r="AI410" t="s">
        <v>39</v>
      </c>
      <c r="AJ410">
        <v>0.77917199999999998</v>
      </c>
      <c r="AK410" t="s">
        <v>40</v>
      </c>
      <c r="AL410">
        <v>0.78449100000000005</v>
      </c>
      <c r="AM410" t="s">
        <v>41</v>
      </c>
      <c r="AN410">
        <v>53.396434999999997</v>
      </c>
      <c r="AO410" t="s">
        <v>42</v>
      </c>
      <c r="AP410">
        <v>28.633555999999999</v>
      </c>
    </row>
    <row r="411" spans="1:42" x14ac:dyDescent="0.3">
      <c r="A411" t="s">
        <v>22</v>
      </c>
      <c r="B411">
        <v>4.1099990000000002</v>
      </c>
      <c r="C411" t="s">
        <v>23</v>
      </c>
      <c r="D411">
        <v>1.0008840000000001</v>
      </c>
      <c r="E411" t="s">
        <v>24</v>
      </c>
      <c r="F411">
        <v>1.022432</v>
      </c>
      <c r="G411" t="s">
        <v>25</v>
      </c>
      <c r="H411">
        <v>0.91616900000000001</v>
      </c>
      <c r="I411" t="s">
        <v>26</v>
      </c>
      <c r="J411">
        <v>1.9599999999999999E-4</v>
      </c>
      <c r="K411" t="s">
        <v>27</v>
      </c>
      <c r="L411">
        <v>2.1876E-2</v>
      </c>
      <c r="M411" t="s">
        <v>28</v>
      </c>
      <c r="N411">
        <v>1.9602000000000001E-2</v>
      </c>
      <c r="O411" t="s">
        <v>29</v>
      </c>
      <c r="P411">
        <v>0.148448</v>
      </c>
      <c r="Q411" t="s">
        <v>30</v>
      </c>
      <c r="R411">
        <v>3.3926999999999999E-2</v>
      </c>
      <c r="S411" t="s">
        <v>31</v>
      </c>
      <c r="T411">
        <v>0.59869000000000006</v>
      </c>
      <c r="U411" t="s">
        <v>32</v>
      </c>
      <c r="V411">
        <v>2.1125000000000001E-2</v>
      </c>
      <c r="W411" t="s">
        <v>33</v>
      </c>
      <c r="X411">
        <v>0.185778</v>
      </c>
      <c r="Y411" t="s">
        <v>34</v>
      </c>
      <c r="Z411">
        <v>0.104183</v>
      </c>
      <c r="AA411" t="s">
        <v>35</v>
      </c>
      <c r="AB411">
        <v>5.3036E-2</v>
      </c>
      <c r="AC411" t="s">
        <v>36</v>
      </c>
      <c r="AD411">
        <v>0.264353</v>
      </c>
      <c r="AE411" t="s">
        <v>37</v>
      </c>
      <c r="AF411">
        <v>0.26155299999999998</v>
      </c>
      <c r="AG411" t="s">
        <v>38</v>
      </c>
      <c r="AH411">
        <v>0.98940700000000004</v>
      </c>
      <c r="AI411" t="s">
        <v>39</v>
      </c>
      <c r="AJ411">
        <v>0.779196</v>
      </c>
      <c r="AK411" t="s">
        <v>40</v>
      </c>
      <c r="AL411">
        <v>0.78449100000000005</v>
      </c>
      <c r="AM411" t="s">
        <v>41</v>
      </c>
      <c r="AN411">
        <v>53.526668999999998</v>
      </c>
      <c r="AO411" t="s">
        <v>42</v>
      </c>
      <c r="AP411">
        <v>28.700766000000002</v>
      </c>
    </row>
    <row r="412" spans="1:42" x14ac:dyDescent="0.3">
      <c r="A412" t="s">
        <v>22</v>
      </c>
      <c r="B412">
        <v>4.119999</v>
      </c>
      <c r="C412" t="s">
        <v>23</v>
      </c>
      <c r="D412">
        <v>1.0007509999999999</v>
      </c>
      <c r="E412" t="s">
        <v>24</v>
      </c>
      <c r="F412">
        <v>1.0222020000000001</v>
      </c>
      <c r="G412" t="s">
        <v>25</v>
      </c>
      <c r="H412">
        <v>0.91616900000000001</v>
      </c>
      <c r="I412" t="s">
        <v>26</v>
      </c>
      <c r="J412">
        <v>1.95E-4</v>
      </c>
      <c r="K412" t="s">
        <v>27</v>
      </c>
      <c r="L412">
        <v>2.1871000000000002E-2</v>
      </c>
      <c r="M412" t="s">
        <v>28</v>
      </c>
      <c r="N412">
        <v>1.9602000000000001E-2</v>
      </c>
      <c r="O412" t="s">
        <v>29</v>
      </c>
      <c r="P412">
        <v>0.14915600000000001</v>
      </c>
      <c r="Q412" t="s">
        <v>30</v>
      </c>
      <c r="R412">
        <v>3.5147999999999999E-2</v>
      </c>
      <c r="S412" t="s">
        <v>31</v>
      </c>
      <c r="T412">
        <v>0.59869000000000006</v>
      </c>
      <c r="U412" t="s">
        <v>32</v>
      </c>
      <c r="V412">
        <v>2.1076999999999999E-2</v>
      </c>
      <c r="W412" t="s">
        <v>33</v>
      </c>
      <c r="X412">
        <v>0.185894</v>
      </c>
      <c r="Y412" t="s">
        <v>34</v>
      </c>
      <c r="Z412">
        <v>0.104183</v>
      </c>
      <c r="AA412" t="s">
        <v>35</v>
      </c>
      <c r="AB412">
        <v>5.2914000000000003E-2</v>
      </c>
      <c r="AC412" t="s">
        <v>36</v>
      </c>
      <c r="AD412">
        <v>0.26434099999999999</v>
      </c>
      <c r="AE412" t="s">
        <v>37</v>
      </c>
      <c r="AF412">
        <v>0.26155299999999998</v>
      </c>
      <c r="AG412" t="s">
        <v>38</v>
      </c>
      <c r="AH412">
        <v>0.989452</v>
      </c>
      <c r="AI412" t="s">
        <v>39</v>
      </c>
      <c r="AJ412">
        <v>0.77921899999999999</v>
      </c>
      <c r="AK412" t="s">
        <v>40</v>
      </c>
      <c r="AL412">
        <v>0.78449100000000005</v>
      </c>
      <c r="AM412" t="s">
        <v>41</v>
      </c>
      <c r="AN412">
        <v>53.656902000000002</v>
      </c>
      <c r="AO412" t="s">
        <v>42</v>
      </c>
      <c r="AP412">
        <v>28.767980999999999</v>
      </c>
    </row>
    <row r="413" spans="1:42" x14ac:dyDescent="0.3">
      <c r="A413" t="s">
        <v>22</v>
      </c>
      <c r="B413">
        <v>4.13</v>
      </c>
      <c r="C413" t="s">
        <v>23</v>
      </c>
      <c r="D413">
        <v>1.000618</v>
      </c>
      <c r="E413" t="s">
        <v>24</v>
      </c>
      <c r="F413">
        <v>1.0219739999999999</v>
      </c>
      <c r="G413" t="s">
        <v>25</v>
      </c>
      <c r="H413">
        <v>0.91616900000000001</v>
      </c>
      <c r="I413" t="s">
        <v>26</v>
      </c>
      <c r="J413">
        <v>1.95E-4</v>
      </c>
      <c r="K413" t="s">
        <v>27</v>
      </c>
      <c r="L413">
        <v>2.1866E-2</v>
      </c>
      <c r="M413" t="s">
        <v>28</v>
      </c>
      <c r="N413">
        <v>1.9602000000000001E-2</v>
      </c>
      <c r="O413" t="s">
        <v>29</v>
      </c>
      <c r="P413">
        <v>0.149864</v>
      </c>
      <c r="Q413" t="s">
        <v>30</v>
      </c>
      <c r="R413">
        <v>3.6361999999999998E-2</v>
      </c>
      <c r="S413" t="s">
        <v>31</v>
      </c>
      <c r="T413">
        <v>0.59869000000000006</v>
      </c>
      <c r="U413" t="s">
        <v>32</v>
      </c>
      <c r="V413">
        <v>2.1028999999999999E-2</v>
      </c>
      <c r="W413" t="s">
        <v>33</v>
      </c>
      <c r="X413">
        <v>0.18601000000000001</v>
      </c>
      <c r="Y413" t="s">
        <v>34</v>
      </c>
      <c r="Z413">
        <v>0.104183</v>
      </c>
      <c r="AA413" t="s">
        <v>35</v>
      </c>
      <c r="AB413">
        <v>5.2793E-2</v>
      </c>
      <c r="AC413" t="s">
        <v>36</v>
      </c>
      <c r="AD413">
        <v>0.26433000000000001</v>
      </c>
      <c r="AE413" t="s">
        <v>37</v>
      </c>
      <c r="AF413">
        <v>0.26155299999999998</v>
      </c>
      <c r="AG413" t="s">
        <v>38</v>
      </c>
      <c r="AH413">
        <v>0.98949600000000004</v>
      </c>
      <c r="AI413" t="s">
        <v>39</v>
      </c>
      <c r="AJ413">
        <v>0.77924099999999996</v>
      </c>
      <c r="AK413" t="s">
        <v>40</v>
      </c>
      <c r="AL413">
        <v>0.78449100000000005</v>
      </c>
      <c r="AM413" t="s">
        <v>41</v>
      </c>
      <c r="AN413">
        <v>53.787140000000001</v>
      </c>
      <c r="AO413" t="s">
        <v>42</v>
      </c>
      <c r="AP413">
        <v>28.835197000000001</v>
      </c>
    </row>
    <row r="414" spans="1:42" x14ac:dyDescent="0.3">
      <c r="A414" t="s">
        <v>22</v>
      </c>
      <c r="B414">
        <v>4.1399999999999997</v>
      </c>
      <c r="C414" t="s">
        <v>23</v>
      </c>
      <c r="D414">
        <v>1.0004850000000001</v>
      </c>
      <c r="E414" t="s">
        <v>24</v>
      </c>
      <c r="F414">
        <v>1.021746</v>
      </c>
      <c r="G414" t="s">
        <v>25</v>
      </c>
      <c r="H414">
        <v>0.91616900000000001</v>
      </c>
      <c r="I414" t="s">
        <v>26</v>
      </c>
      <c r="J414">
        <v>1.94E-4</v>
      </c>
      <c r="K414" t="s">
        <v>27</v>
      </c>
      <c r="L414">
        <v>2.1861999999999999E-2</v>
      </c>
      <c r="M414" t="s">
        <v>28</v>
      </c>
      <c r="N414">
        <v>1.9602000000000001E-2</v>
      </c>
      <c r="O414" t="s">
        <v>29</v>
      </c>
      <c r="P414">
        <v>0.15057200000000001</v>
      </c>
      <c r="Q414" t="s">
        <v>30</v>
      </c>
      <c r="R414">
        <v>3.7572000000000001E-2</v>
      </c>
      <c r="S414" t="s">
        <v>31</v>
      </c>
      <c r="T414">
        <v>0.59869000000000006</v>
      </c>
      <c r="U414" t="s">
        <v>32</v>
      </c>
      <c r="V414">
        <v>2.0981E-2</v>
      </c>
      <c r="W414" t="s">
        <v>33</v>
      </c>
      <c r="X414">
        <v>0.18612600000000001</v>
      </c>
      <c r="Y414" t="s">
        <v>34</v>
      </c>
      <c r="Z414">
        <v>0.104183</v>
      </c>
      <c r="AA414" t="s">
        <v>35</v>
      </c>
      <c r="AB414">
        <v>5.2671999999999997E-2</v>
      </c>
      <c r="AC414" t="s">
        <v>36</v>
      </c>
      <c r="AD414">
        <v>0.264318</v>
      </c>
      <c r="AE414" t="s">
        <v>37</v>
      </c>
      <c r="AF414">
        <v>0.26155299999999998</v>
      </c>
      <c r="AG414" t="s">
        <v>38</v>
      </c>
      <c r="AH414">
        <v>0.989541</v>
      </c>
      <c r="AI414" t="s">
        <v>39</v>
      </c>
      <c r="AJ414">
        <v>0.77926399999999996</v>
      </c>
      <c r="AK414" t="s">
        <v>40</v>
      </c>
      <c r="AL414">
        <v>0.78449100000000005</v>
      </c>
      <c r="AM414" t="s">
        <v>41</v>
      </c>
      <c r="AN414">
        <v>53.917374000000002</v>
      </c>
      <c r="AO414" t="s">
        <v>42</v>
      </c>
      <c r="AP414">
        <v>28.902422000000001</v>
      </c>
    </row>
    <row r="415" spans="1:42" x14ac:dyDescent="0.3">
      <c r="A415" t="s">
        <v>22</v>
      </c>
      <c r="B415">
        <v>4.1500000000000004</v>
      </c>
      <c r="C415" t="s">
        <v>23</v>
      </c>
      <c r="D415">
        <v>1.0003519999999999</v>
      </c>
      <c r="E415" t="s">
        <v>24</v>
      </c>
      <c r="F415">
        <v>1.0215190000000001</v>
      </c>
      <c r="G415" t="s">
        <v>25</v>
      </c>
      <c r="H415">
        <v>0.91616900000000001</v>
      </c>
      <c r="I415" t="s">
        <v>26</v>
      </c>
      <c r="J415">
        <v>1.93E-4</v>
      </c>
      <c r="K415" t="s">
        <v>27</v>
      </c>
      <c r="L415">
        <v>2.1857000000000001E-2</v>
      </c>
      <c r="M415" t="s">
        <v>28</v>
      </c>
      <c r="N415">
        <v>1.9602000000000001E-2</v>
      </c>
      <c r="O415" t="s">
        <v>29</v>
      </c>
      <c r="P415">
        <v>0.15127699999999999</v>
      </c>
      <c r="Q415" t="s">
        <v>30</v>
      </c>
      <c r="R415">
        <v>3.8776999999999999E-2</v>
      </c>
      <c r="S415" t="s">
        <v>31</v>
      </c>
      <c r="T415">
        <v>0.59869000000000006</v>
      </c>
      <c r="U415" t="s">
        <v>32</v>
      </c>
      <c r="V415">
        <v>2.0933E-2</v>
      </c>
      <c r="W415" t="s">
        <v>33</v>
      </c>
      <c r="X415">
        <v>0.18624199999999999</v>
      </c>
      <c r="Y415" t="s">
        <v>34</v>
      </c>
      <c r="Z415">
        <v>0.104183</v>
      </c>
      <c r="AA415" t="s">
        <v>35</v>
      </c>
      <c r="AB415">
        <v>5.2552000000000001E-2</v>
      </c>
      <c r="AC415" t="s">
        <v>36</v>
      </c>
      <c r="AD415">
        <v>0.26430599999999999</v>
      </c>
      <c r="AE415" t="s">
        <v>37</v>
      </c>
      <c r="AF415">
        <v>0.26155299999999998</v>
      </c>
      <c r="AG415" t="s">
        <v>38</v>
      </c>
      <c r="AH415">
        <v>0.98958500000000005</v>
      </c>
      <c r="AI415" t="s">
        <v>39</v>
      </c>
      <c r="AJ415">
        <v>0.77928600000000003</v>
      </c>
      <c r="AK415" t="s">
        <v>40</v>
      </c>
      <c r="AL415">
        <v>0.78449100000000005</v>
      </c>
      <c r="AM415" t="s">
        <v>41</v>
      </c>
      <c r="AN415">
        <v>54.047611000000003</v>
      </c>
      <c r="AO415" t="s">
        <v>42</v>
      </c>
      <c r="AP415">
        <v>28.969647999999999</v>
      </c>
    </row>
    <row r="416" spans="1:42" x14ac:dyDescent="0.3">
      <c r="A416" t="s">
        <v>22</v>
      </c>
      <c r="B416">
        <v>4.16</v>
      </c>
      <c r="C416" t="s">
        <v>23</v>
      </c>
      <c r="D416">
        <v>1.0002200000000001</v>
      </c>
      <c r="E416" t="s">
        <v>24</v>
      </c>
      <c r="F416">
        <v>1.0212939999999999</v>
      </c>
      <c r="G416" t="s">
        <v>25</v>
      </c>
      <c r="H416">
        <v>0.91616900000000001</v>
      </c>
      <c r="I416" t="s">
        <v>26</v>
      </c>
      <c r="J416">
        <v>1.93E-4</v>
      </c>
      <c r="K416" t="s">
        <v>27</v>
      </c>
      <c r="L416">
        <v>2.1852E-2</v>
      </c>
      <c r="M416" t="s">
        <v>28</v>
      </c>
      <c r="N416">
        <v>1.9602000000000001E-2</v>
      </c>
      <c r="O416" t="s">
        <v>29</v>
      </c>
      <c r="P416">
        <v>0.15198</v>
      </c>
      <c r="Q416" t="s">
        <v>30</v>
      </c>
      <c r="R416">
        <v>3.9975999999999998E-2</v>
      </c>
      <c r="S416" t="s">
        <v>31</v>
      </c>
      <c r="T416">
        <v>0.59869000000000006</v>
      </c>
      <c r="U416" t="s">
        <v>32</v>
      </c>
      <c r="V416">
        <v>2.0885000000000001E-2</v>
      </c>
      <c r="W416" t="s">
        <v>33</v>
      </c>
      <c r="X416">
        <v>0.186358</v>
      </c>
      <c r="Y416" t="s">
        <v>34</v>
      </c>
      <c r="Z416">
        <v>0.104183</v>
      </c>
      <c r="AA416" t="s">
        <v>35</v>
      </c>
      <c r="AB416">
        <v>5.2433E-2</v>
      </c>
      <c r="AC416" t="s">
        <v>36</v>
      </c>
      <c r="AD416">
        <v>0.26429399999999997</v>
      </c>
      <c r="AE416" t="s">
        <v>37</v>
      </c>
      <c r="AF416">
        <v>0.26155299999999998</v>
      </c>
      <c r="AG416" t="s">
        <v>38</v>
      </c>
      <c r="AH416">
        <v>0.98962899999999998</v>
      </c>
      <c r="AI416" t="s">
        <v>39</v>
      </c>
      <c r="AJ416">
        <v>0.779308</v>
      </c>
      <c r="AK416" t="s">
        <v>40</v>
      </c>
      <c r="AL416">
        <v>0.78449100000000005</v>
      </c>
      <c r="AM416" t="s">
        <v>41</v>
      </c>
      <c r="AN416">
        <v>54.177844999999998</v>
      </c>
      <c r="AO416" t="s">
        <v>42</v>
      </c>
      <c r="AP416">
        <v>29.036878999999999</v>
      </c>
    </row>
    <row r="417" spans="1:42" x14ac:dyDescent="0.3">
      <c r="A417" t="s">
        <v>22</v>
      </c>
      <c r="B417">
        <v>4.1700010000000001</v>
      </c>
      <c r="C417" t="s">
        <v>23</v>
      </c>
      <c r="D417">
        <v>1.0000880000000001</v>
      </c>
      <c r="E417" t="s">
        <v>24</v>
      </c>
      <c r="F417">
        <v>1.021069</v>
      </c>
      <c r="G417" t="s">
        <v>25</v>
      </c>
      <c r="H417">
        <v>0.91616900000000001</v>
      </c>
      <c r="I417" t="s">
        <v>26</v>
      </c>
      <c r="J417">
        <v>1.92E-4</v>
      </c>
      <c r="K417" t="s">
        <v>27</v>
      </c>
      <c r="L417">
        <v>2.1846999999999998E-2</v>
      </c>
      <c r="M417" t="s">
        <v>28</v>
      </c>
      <c r="N417">
        <v>1.9602000000000001E-2</v>
      </c>
      <c r="O417" t="s">
        <v>29</v>
      </c>
      <c r="P417">
        <v>0.15268100000000001</v>
      </c>
      <c r="Q417" t="s">
        <v>30</v>
      </c>
      <c r="R417">
        <v>4.1170999999999999E-2</v>
      </c>
      <c r="S417" t="s">
        <v>31</v>
      </c>
      <c r="T417">
        <v>0.59869000000000006</v>
      </c>
      <c r="U417" t="s">
        <v>32</v>
      </c>
      <c r="V417">
        <v>2.0837999999999999E-2</v>
      </c>
      <c r="W417" t="s">
        <v>33</v>
      </c>
      <c r="X417">
        <v>0.186474</v>
      </c>
      <c r="Y417" t="s">
        <v>34</v>
      </c>
      <c r="Z417">
        <v>0.104183</v>
      </c>
      <c r="AA417" t="s">
        <v>35</v>
      </c>
      <c r="AB417">
        <v>5.2313999999999999E-2</v>
      </c>
      <c r="AC417" t="s">
        <v>36</v>
      </c>
      <c r="AD417">
        <v>0.26428299999999999</v>
      </c>
      <c r="AE417" t="s">
        <v>37</v>
      </c>
      <c r="AF417">
        <v>0.26155299999999998</v>
      </c>
      <c r="AG417" t="s">
        <v>38</v>
      </c>
      <c r="AH417">
        <v>0.98967300000000002</v>
      </c>
      <c r="AI417" t="s">
        <v>39</v>
      </c>
      <c r="AJ417">
        <v>0.779331</v>
      </c>
      <c r="AK417" t="s">
        <v>40</v>
      </c>
      <c r="AL417">
        <v>0.78449100000000005</v>
      </c>
      <c r="AM417" t="s">
        <v>41</v>
      </c>
      <c r="AN417">
        <v>54.308078999999999</v>
      </c>
      <c r="AO417" t="s">
        <v>42</v>
      </c>
      <c r="AP417">
        <v>29.104115</v>
      </c>
    </row>
    <row r="418" spans="1:42" x14ac:dyDescent="0.3">
      <c r="A418" t="s">
        <v>22</v>
      </c>
      <c r="B418">
        <v>4.1800009999999999</v>
      </c>
      <c r="C418" t="s">
        <v>23</v>
      </c>
      <c r="D418">
        <v>0.99995599999999996</v>
      </c>
      <c r="E418" t="s">
        <v>24</v>
      </c>
      <c r="F418">
        <v>1.020845</v>
      </c>
      <c r="G418" t="s">
        <v>25</v>
      </c>
      <c r="H418">
        <v>0.91616900000000001</v>
      </c>
      <c r="I418" t="s">
        <v>26</v>
      </c>
      <c r="J418">
        <v>1.9100000000000001E-4</v>
      </c>
      <c r="K418" t="s">
        <v>27</v>
      </c>
      <c r="L418">
        <v>2.1842E-2</v>
      </c>
      <c r="M418" t="s">
        <v>28</v>
      </c>
      <c r="N418">
        <v>1.9602000000000001E-2</v>
      </c>
      <c r="O418" t="s">
        <v>29</v>
      </c>
      <c r="P418">
        <v>0.15338099999999999</v>
      </c>
      <c r="Q418" t="s">
        <v>30</v>
      </c>
      <c r="R418">
        <v>4.2360000000000002E-2</v>
      </c>
      <c r="S418" t="s">
        <v>31</v>
      </c>
      <c r="T418">
        <v>0.59869000000000006</v>
      </c>
      <c r="U418" t="s">
        <v>32</v>
      </c>
      <c r="V418">
        <v>2.0791E-2</v>
      </c>
      <c r="W418" t="s">
        <v>33</v>
      </c>
      <c r="X418">
        <v>0.18659000000000001</v>
      </c>
      <c r="Y418" t="s">
        <v>34</v>
      </c>
      <c r="Z418">
        <v>0.104183</v>
      </c>
      <c r="AA418" t="s">
        <v>35</v>
      </c>
      <c r="AB418">
        <v>5.2194999999999998E-2</v>
      </c>
      <c r="AC418" t="s">
        <v>36</v>
      </c>
      <c r="AD418">
        <v>0.26427099999999998</v>
      </c>
      <c r="AE418" t="s">
        <v>37</v>
      </c>
      <c r="AF418">
        <v>0.26155299999999998</v>
      </c>
      <c r="AG418" t="s">
        <v>38</v>
      </c>
      <c r="AH418">
        <v>0.98971600000000004</v>
      </c>
      <c r="AI418" t="s">
        <v>39</v>
      </c>
      <c r="AJ418">
        <v>0.77935299999999996</v>
      </c>
      <c r="AK418" t="s">
        <v>40</v>
      </c>
      <c r="AL418">
        <v>0.78449100000000005</v>
      </c>
      <c r="AM418" t="s">
        <v>41</v>
      </c>
      <c r="AN418">
        <v>54.438316</v>
      </c>
      <c r="AO418" t="s">
        <v>42</v>
      </c>
      <c r="AP418">
        <v>29.171351999999999</v>
      </c>
    </row>
    <row r="419" spans="1:42" x14ac:dyDescent="0.3">
      <c r="A419" t="s">
        <v>22</v>
      </c>
      <c r="B419">
        <v>4.1900009999999996</v>
      </c>
      <c r="C419" t="s">
        <v>23</v>
      </c>
      <c r="D419">
        <v>0.99982499999999996</v>
      </c>
      <c r="E419" t="s">
        <v>24</v>
      </c>
      <c r="F419">
        <v>1.0206219999999999</v>
      </c>
      <c r="G419" t="s">
        <v>25</v>
      </c>
      <c r="H419">
        <v>0.91616900000000001</v>
      </c>
      <c r="I419" t="s">
        <v>26</v>
      </c>
      <c r="J419">
        <v>1.9100000000000001E-4</v>
      </c>
      <c r="K419" t="s">
        <v>27</v>
      </c>
      <c r="L419">
        <v>2.1838E-2</v>
      </c>
      <c r="M419" t="s">
        <v>28</v>
      </c>
      <c r="N419">
        <v>1.9602000000000001E-2</v>
      </c>
      <c r="O419" t="s">
        <v>29</v>
      </c>
      <c r="P419">
        <v>0.15407899999999999</v>
      </c>
      <c r="Q419" t="s">
        <v>30</v>
      </c>
      <c r="R419">
        <v>4.3545E-2</v>
      </c>
      <c r="S419" t="s">
        <v>31</v>
      </c>
      <c r="T419">
        <v>0.59869000000000006</v>
      </c>
      <c r="U419" t="s">
        <v>32</v>
      </c>
      <c r="V419">
        <v>2.0743999999999999E-2</v>
      </c>
      <c r="W419" t="s">
        <v>33</v>
      </c>
      <c r="X419">
        <v>0.18670600000000001</v>
      </c>
      <c r="Y419" t="s">
        <v>34</v>
      </c>
      <c r="Z419">
        <v>0.104183</v>
      </c>
      <c r="AA419" t="s">
        <v>35</v>
      </c>
      <c r="AB419">
        <v>5.2077999999999999E-2</v>
      </c>
      <c r="AC419" t="s">
        <v>36</v>
      </c>
      <c r="AD419">
        <v>0.26425900000000002</v>
      </c>
      <c r="AE419" t="s">
        <v>37</v>
      </c>
      <c r="AF419">
        <v>0.26155299999999998</v>
      </c>
      <c r="AG419" t="s">
        <v>38</v>
      </c>
      <c r="AH419">
        <v>0.98975900000000006</v>
      </c>
      <c r="AI419" t="s">
        <v>39</v>
      </c>
      <c r="AJ419">
        <v>0.77937500000000004</v>
      </c>
      <c r="AK419" t="s">
        <v>40</v>
      </c>
      <c r="AL419">
        <v>0.78449100000000005</v>
      </c>
      <c r="AM419" t="s">
        <v>41</v>
      </c>
      <c r="AN419">
        <v>54.568550000000002</v>
      </c>
      <c r="AO419" t="s">
        <v>42</v>
      </c>
      <c r="AP419">
        <v>29.238596000000001</v>
      </c>
    </row>
    <row r="420" spans="1:42" x14ac:dyDescent="0.3">
      <c r="A420" t="s">
        <v>22</v>
      </c>
      <c r="B420">
        <v>4.2000010000000003</v>
      </c>
      <c r="C420" t="s">
        <v>23</v>
      </c>
      <c r="D420">
        <v>0.99969399999999997</v>
      </c>
      <c r="E420" t="s">
        <v>24</v>
      </c>
      <c r="F420">
        <v>1.0204</v>
      </c>
      <c r="G420" t="s">
        <v>25</v>
      </c>
      <c r="H420">
        <v>0.91616900000000001</v>
      </c>
      <c r="I420" t="s">
        <v>26</v>
      </c>
      <c r="J420">
        <v>1.9000000000000001E-4</v>
      </c>
      <c r="K420" t="s">
        <v>27</v>
      </c>
      <c r="L420">
        <v>2.1833000000000002E-2</v>
      </c>
      <c r="M420" t="s">
        <v>28</v>
      </c>
      <c r="N420">
        <v>1.9602000000000001E-2</v>
      </c>
      <c r="O420" t="s">
        <v>29</v>
      </c>
      <c r="P420">
        <v>0.154777</v>
      </c>
      <c r="Q420" t="s">
        <v>30</v>
      </c>
      <c r="R420">
        <v>4.4725000000000001E-2</v>
      </c>
      <c r="S420" t="s">
        <v>31</v>
      </c>
      <c r="T420">
        <v>0.59869000000000006</v>
      </c>
      <c r="U420" t="s">
        <v>32</v>
      </c>
      <c r="V420">
        <v>2.0697E-2</v>
      </c>
      <c r="W420" t="s">
        <v>33</v>
      </c>
      <c r="X420">
        <v>0.18682199999999999</v>
      </c>
      <c r="Y420" t="s">
        <v>34</v>
      </c>
      <c r="Z420">
        <v>0.104183</v>
      </c>
      <c r="AA420" t="s">
        <v>35</v>
      </c>
      <c r="AB420">
        <v>5.1959999999999999E-2</v>
      </c>
      <c r="AC420" t="s">
        <v>36</v>
      </c>
      <c r="AD420">
        <v>0.26424799999999998</v>
      </c>
      <c r="AE420" t="s">
        <v>37</v>
      </c>
      <c r="AF420">
        <v>0.26155299999999998</v>
      </c>
      <c r="AG420" t="s">
        <v>38</v>
      </c>
      <c r="AH420">
        <v>0.98980199999999996</v>
      </c>
      <c r="AI420" t="s">
        <v>39</v>
      </c>
      <c r="AJ420">
        <v>0.77939700000000001</v>
      </c>
      <c r="AK420" t="s">
        <v>40</v>
      </c>
      <c r="AL420">
        <v>0.78449100000000005</v>
      </c>
      <c r="AM420" t="s">
        <v>41</v>
      </c>
      <c r="AN420">
        <v>54.698784000000003</v>
      </c>
      <c r="AO420" t="s">
        <v>42</v>
      </c>
      <c r="AP420">
        <v>29.305841000000001</v>
      </c>
    </row>
    <row r="421" spans="1:42" x14ac:dyDescent="0.3">
      <c r="A421" t="s">
        <v>22</v>
      </c>
      <c r="B421">
        <v>4.2100010000000001</v>
      </c>
      <c r="C421" t="s">
        <v>23</v>
      </c>
      <c r="D421">
        <v>0.99956299999999998</v>
      </c>
      <c r="E421" t="s">
        <v>24</v>
      </c>
      <c r="F421">
        <v>1.0201789999999999</v>
      </c>
      <c r="G421" t="s">
        <v>25</v>
      </c>
      <c r="H421">
        <v>0.91616900000000001</v>
      </c>
      <c r="I421" t="s">
        <v>26</v>
      </c>
      <c r="J421">
        <v>1.8900000000000001E-4</v>
      </c>
      <c r="K421" t="s">
        <v>27</v>
      </c>
      <c r="L421">
        <v>2.1828E-2</v>
      </c>
      <c r="M421" t="s">
        <v>28</v>
      </c>
      <c r="N421">
        <v>1.9602000000000001E-2</v>
      </c>
      <c r="O421" t="s">
        <v>29</v>
      </c>
      <c r="P421">
        <v>0.155468</v>
      </c>
      <c r="Q421" t="s">
        <v>30</v>
      </c>
      <c r="R421">
        <v>4.5899000000000002E-2</v>
      </c>
      <c r="S421" t="s">
        <v>31</v>
      </c>
      <c r="T421">
        <v>0.59869000000000006</v>
      </c>
      <c r="U421" t="s">
        <v>32</v>
      </c>
      <c r="V421">
        <v>2.0650000000000002E-2</v>
      </c>
      <c r="W421" t="s">
        <v>33</v>
      </c>
      <c r="X421">
        <v>0.18693799999999999</v>
      </c>
      <c r="Y421" t="s">
        <v>34</v>
      </c>
      <c r="Z421">
        <v>0.104183</v>
      </c>
      <c r="AA421" t="s">
        <v>35</v>
      </c>
      <c r="AB421">
        <v>5.1843E-2</v>
      </c>
      <c r="AC421" t="s">
        <v>36</v>
      </c>
      <c r="AD421">
        <v>0.264237</v>
      </c>
      <c r="AE421" t="s">
        <v>37</v>
      </c>
      <c r="AF421">
        <v>0.26155299999999998</v>
      </c>
      <c r="AG421" t="s">
        <v>38</v>
      </c>
      <c r="AH421">
        <v>0.98984399999999995</v>
      </c>
      <c r="AI421" t="s">
        <v>39</v>
      </c>
      <c r="AJ421">
        <v>0.77941899999999997</v>
      </c>
      <c r="AK421" t="s">
        <v>40</v>
      </c>
      <c r="AL421">
        <v>0.78449100000000005</v>
      </c>
      <c r="AM421" t="s">
        <v>41</v>
      </c>
      <c r="AN421">
        <v>54.829020999999997</v>
      </c>
      <c r="AO421" t="s">
        <v>42</v>
      </c>
      <c r="AP421">
        <v>29.373090999999999</v>
      </c>
    </row>
    <row r="422" spans="1:42" x14ac:dyDescent="0.3">
      <c r="A422" t="s">
        <v>22</v>
      </c>
      <c r="B422">
        <v>4.220002</v>
      </c>
      <c r="C422" t="s">
        <v>23</v>
      </c>
      <c r="D422">
        <v>0.99943300000000002</v>
      </c>
      <c r="E422" t="s">
        <v>24</v>
      </c>
      <c r="F422">
        <v>1.0199590000000001</v>
      </c>
      <c r="G422" t="s">
        <v>25</v>
      </c>
      <c r="H422">
        <v>0.91616900000000001</v>
      </c>
      <c r="I422" t="s">
        <v>26</v>
      </c>
      <c r="J422">
        <v>1.8900000000000001E-4</v>
      </c>
      <c r="K422" t="s">
        <v>27</v>
      </c>
      <c r="L422">
        <v>2.1822999999999999E-2</v>
      </c>
      <c r="M422" t="s">
        <v>28</v>
      </c>
      <c r="N422">
        <v>1.9602000000000001E-2</v>
      </c>
      <c r="O422" t="s">
        <v>29</v>
      </c>
      <c r="P422">
        <v>0.156162</v>
      </c>
      <c r="Q422" t="s">
        <v>30</v>
      </c>
      <c r="R422">
        <v>4.7069E-2</v>
      </c>
      <c r="S422" t="s">
        <v>31</v>
      </c>
      <c r="T422">
        <v>0.59869000000000006</v>
      </c>
      <c r="U422" t="s">
        <v>32</v>
      </c>
      <c r="V422">
        <v>2.0604000000000001E-2</v>
      </c>
      <c r="W422" t="s">
        <v>33</v>
      </c>
      <c r="X422">
        <v>0.187054</v>
      </c>
      <c r="Y422" t="s">
        <v>34</v>
      </c>
      <c r="Z422">
        <v>0.104183</v>
      </c>
      <c r="AA422" t="s">
        <v>35</v>
      </c>
      <c r="AB422">
        <v>5.1727000000000002E-2</v>
      </c>
      <c r="AC422" t="s">
        <v>36</v>
      </c>
      <c r="AD422">
        <v>0.26422499999999999</v>
      </c>
      <c r="AE422" t="s">
        <v>37</v>
      </c>
      <c r="AF422">
        <v>0.26155299999999998</v>
      </c>
      <c r="AG422" t="s">
        <v>38</v>
      </c>
      <c r="AH422">
        <v>0.98988699999999996</v>
      </c>
      <c r="AI422" t="s">
        <v>39</v>
      </c>
      <c r="AJ422">
        <v>0.77944000000000002</v>
      </c>
      <c r="AK422" t="s">
        <v>40</v>
      </c>
      <c r="AL422">
        <v>0.78449100000000005</v>
      </c>
      <c r="AM422" t="s">
        <v>41</v>
      </c>
      <c r="AN422">
        <v>54.959254999999999</v>
      </c>
      <c r="AO422" t="s">
        <v>42</v>
      </c>
      <c r="AP422">
        <v>29.440348</v>
      </c>
    </row>
    <row r="423" spans="1:42" x14ac:dyDescent="0.3">
      <c r="A423" t="s">
        <v>22</v>
      </c>
      <c r="B423">
        <v>4.2300019999999998</v>
      </c>
      <c r="C423" t="s">
        <v>23</v>
      </c>
      <c r="D423">
        <v>0.99930300000000005</v>
      </c>
      <c r="E423" t="s">
        <v>24</v>
      </c>
      <c r="F423">
        <v>1.0197400000000001</v>
      </c>
      <c r="G423" t="s">
        <v>25</v>
      </c>
      <c r="H423">
        <v>0.91616900000000001</v>
      </c>
      <c r="I423" t="s">
        <v>26</v>
      </c>
      <c r="J423">
        <v>1.8799999999999999E-4</v>
      </c>
      <c r="K423" t="s">
        <v>27</v>
      </c>
      <c r="L423">
        <v>2.1819000000000002E-2</v>
      </c>
      <c r="M423" t="s">
        <v>28</v>
      </c>
      <c r="N423">
        <v>1.9602000000000001E-2</v>
      </c>
      <c r="O423" t="s">
        <v>29</v>
      </c>
      <c r="P423">
        <v>0.15685199999999999</v>
      </c>
      <c r="Q423" t="s">
        <v>30</v>
      </c>
      <c r="R423">
        <v>4.8233999999999999E-2</v>
      </c>
      <c r="S423" t="s">
        <v>31</v>
      </c>
      <c r="T423">
        <v>0.59869000000000006</v>
      </c>
      <c r="U423" t="s">
        <v>32</v>
      </c>
      <c r="V423">
        <v>2.0558E-2</v>
      </c>
      <c r="W423" t="s">
        <v>33</v>
      </c>
      <c r="X423">
        <v>0.18717</v>
      </c>
      <c r="Y423" t="s">
        <v>34</v>
      </c>
      <c r="Z423">
        <v>0.104183</v>
      </c>
      <c r="AA423" t="s">
        <v>35</v>
      </c>
      <c r="AB423">
        <v>5.1610999999999997E-2</v>
      </c>
      <c r="AC423" t="s">
        <v>36</v>
      </c>
      <c r="AD423">
        <v>0.264214</v>
      </c>
      <c r="AE423" t="s">
        <v>37</v>
      </c>
      <c r="AF423">
        <v>0.26155299999999998</v>
      </c>
      <c r="AG423" t="s">
        <v>38</v>
      </c>
      <c r="AH423">
        <v>0.98992899999999995</v>
      </c>
      <c r="AI423" t="s">
        <v>39</v>
      </c>
      <c r="AJ423">
        <v>0.77946199999999999</v>
      </c>
      <c r="AK423" t="s">
        <v>40</v>
      </c>
      <c r="AL423">
        <v>0.78449100000000005</v>
      </c>
      <c r="AM423" t="s">
        <v>41</v>
      </c>
      <c r="AN423">
        <v>55.089492999999997</v>
      </c>
      <c r="AO423" t="s">
        <v>42</v>
      </c>
      <c r="AP423">
        <v>29.507605000000002</v>
      </c>
    </row>
    <row r="424" spans="1:42" x14ac:dyDescent="0.3">
      <c r="A424" t="s">
        <v>22</v>
      </c>
      <c r="B424">
        <v>4.2400019999999996</v>
      </c>
      <c r="C424" t="s">
        <v>23</v>
      </c>
      <c r="D424">
        <v>0.99917400000000001</v>
      </c>
      <c r="E424" t="s">
        <v>24</v>
      </c>
      <c r="F424">
        <v>1.019522</v>
      </c>
      <c r="G424" t="s">
        <v>25</v>
      </c>
      <c r="H424">
        <v>0.91616900000000001</v>
      </c>
      <c r="I424" t="s">
        <v>26</v>
      </c>
      <c r="J424">
        <v>1.8699999999999999E-4</v>
      </c>
      <c r="K424" t="s">
        <v>27</v>
      </c>
      <c r="L424">
        <v>2.1814E-2</v>
      </c>
      <c r="M424" t="s">
        <v>28</v>
      </c>
      <c r="N424">
        <v>1.9602000000000001E-2</v>
      </c>
      <c r="O424" t="s">
        <v>29</v>
      </c>
      <c r="P424">
        <v>0.15754000000000001</v>
      </c>
      <c r="Q424" t="s">
        <v>30</v>
      </c>
      <c r="R424">
        <v>4.9394E-2</v>
      </c>
      <c r="S424" t="s">
        <v>31</v>
      </c>
      <c r="T424">
        <v>0.59869000000000006</v>
      </c>
      <c r="U424" t="s">
        <v>32</v>
      </c>
      <c r="V424">
        <v>2.0511999999999999E-2</v>
      </c>
      <c r="W424" t="s">
        <v>33</v>
      </c>
      <c r="X424">
        <v>0.18728600000000001</v>
      </c>
      <c r="Y424" t="s">
        <v>34</v>
      </c>
      <c r="Z424">
        <v>0.104183</v>
      </c>
      <c r="AA424" t="s">
        <v>35</v>
      </c>
      <c r="AB424">
        <v>5.1494999999999999E-2</v>
      </c>
      <c r="AC424" t="s">
        <v>36</v>
      </c>
      <c r="AD424">
        <v>0.26420300000000002</v>
      </c>
      <c r="AE424" t="s">
        <v>37</v>
      </c>
      <c r="AF424">
        <v>0.26155299999999998</v>
      </c>
      <c r="AG424" t="s">
        <v>38</v>
      </c>
      <c r="AH424">
        <v>0.98997000000000002</v>
      </c>
      <c r="AI424" t="s">
        <v>39</v>
      </c>
      <c r="AJ424">
        <v>0.77948200000000001</v>
      </c>
      <c r="AK424" t="s">
        <v>40</v>
      </c>
      <c r="AL424">
        <v>0.78449100000000005</v>
      </c>
      <c r="AM424" t="s">
        <v>41</v>
      </c>
      <c r="AN424">
        <v>55.219726999999999</v>
      </c>
      <c r="AO424" t="s">
        <v>42</v>
      </c>
      <c r="AP424">
        <v>29.574867000000001</v>
      </c>
    </row>
    <row r="425" spans="1:42" x14ac:dyDescent="0.3">
      <c r="A425" t="s">
        <v>22</v>
      </c>
      <c r="B425">
        <v>4.2500020000000003</v>
      </c>
      <c r="C425" t="s">
        <v>23</v>
      </c>
      <c r="D425">
        <v>0.99904400000000004</v>
      </c>
      <c r="E425" t="s">
        <v>24</v>
      </c>
      <c r="F425">
        <v>1.019304</v>
      </c>
      <c r="G425" t="s">
        <v>25</v>
      </c>
      <c r="H425">
        <v>0.91616900000000001</v>
      </c>
      <c r="I425" t="s">
        <v>26</v>
      </c>
      <c r="J425">
        <v>1.8699999999999999E-4</v>
      </c>
      <c r="K425" t="s">
        <v>27</v>
      </c>
      <c r="L425">
        <v>2.1808999999999999E-2</v>
      </c>
      <c r="M425" t="s">
        <v>28</v>
      </c>
      <c r="N425">
        <v>1.9602000000000001E-2</v>
      </c>
      <c r="O425" t="s">
        <v>29</v>
      </c>
      <c r="P425">
        <v>0.15822900000000001</v>
      </c>
      <c r="Q425" t="s">
        <v>30</v>
      </c>
      <c r="R425">
        <v>5.0549999999999998E-2</v>
      </c>
      <c r="S425" t="s">
        <v>31</v>
      </c>
      <c r="T425">
        <v>0.59869000000000006</v>
      </c>
      <c r="U425" t="s">
        <v>32</v>
      </c>
      <c r="V425">
        <v>2.0466000000000002E-2</v>
      </c>
      <c r="W425" t="s">
        <v>33</v>
      </c>
      <c r="X425">
        <v>0.18740200000000001</v>
      </c>
      <c r="Y425" t="s">
        <v>34</v>
      </c>
      <c r="Z425">
        <v>0.104183</v>
      </c>
      <c r="AA425" t="s">
        <v>35</v>
      </c>
      <c r="AB425">
        <v>5.1380000000000002E-2</v>
      </c>
      <c r="AC425" t="s">
        <v>36</v>
      </c>
      <c r="AD425">
        <v>0.26419199999999998</v>
      </c>
      <c r="AE425" t="s">
        <v>37</v>
      </c>
      <c r="AF425">
        <v>0.26155299999999998</v>
      </c>
      <c r="AG425" t="s">
        <v>38</v>
      </c>
      <c r="AH425">
        <v>0.990012</v>
      </c>
      <c r="AI425" t="s">
        <v>39</v>
      </c>
      <c r="AJ425">
        <v>0.77950399999999997</v>
      </c>
      <c r="AK425" t="s">
        <v>40</v>
      </c>
      <c r="AL425">
        <v>0.78449100000000005</v>
      </c>
      <c r="AM425" t="s">
        <v>41</v>
      </c>
      <c r="AN425">
        <v>55.349960000000003</v>
      </c>
      <c r="AO425" t="s">
        <v>42</v>
      </c>
      <c r="AP425">
        <v>29.642132</v>
      </c>
    </row>
    <row r="426" spans="1:42" x14ac:dyDescent="0.3">
      <c r="A426" t="s">
        <v>22</v>
      </c>
      <c r="B426">
        <v>4.2600030000000002</v>
      </c>
      <c r="C426" t="s">
        <v>23</v>
      </c>
      <c r="D426">
        <v>0.998915</v>
      </c>
      <c r="E426" t="s">
        <v>24</v>
      </c>
      <c r="F426">
        <v>1.019088</v>
      </c>
      <c r="G426" t="s">
        <v>25</v>
      </c>
      <c r="H426">
        <v>0.91616900000000001</v>
      </c>
      <c r="I426" t="s">
        <v>26</v>
      </c>
      <c r="J426">
        <v>1.8599999999999999E-4</v>
      </c>
      <c r="K426" t="s">
        <v>27</v>
      </c>
      <c r="L426">
        <v>2.1805000000000001E-2</v>
      </c>
      <c r="M426" t="s">
        <v>28</v>
      </c>
      <c r="N426">
        <v>1.9602000000000001E-2</v>
      </c>
      <c r="O426" t="s">
        <v>29</v>
      </c>
      <c r="P426">
        <v>0.158913</v>
      </c>
      <c r="Q426" t="s">
        <v>30</v>
      </c>
      <c r="R426">
        <v>5.1700999999999997E-2</v>
      </c>
      <c r="S426" t="s">
        <v>31</v>
      </c>
      <c r="T426">
        <v>0.59869000000000006</v>
      </c>
      <c r="U426" t="s">
        <v>32</v>
      </c>
      <c r="V426">
        <v>2.0420000000000001E-2</v>
      </c>
      <c r="W426" t="s">
        <v>33</v>
      </c>
      <c r="X426">
        <v>0.18751799999999999</v>
      </c>
      <c r="Y426" t="s">
        <v>34</v>
      </c>
      <c r="Z426">
        <v>0.104183</v>
      </c>
      <c r="AA426" t="s">
        <v>35</v>
      </c>
      <c r="AB426">
        <v>5.1265999999999999E-2</v>
      </c>
      <c r="AC426" t="s">
        <v>36</v>
      </c>
      <c r="AD426">
        <v>0.264181</v>
      </c>
      <c r="AE426" t="s">
        <v>37</v>
      </c>
      <c r="AF426">
        <v>0.26155299999999998</v>
      </c>
      <c r="AG426" t="s">
        <v>38</v>
      </c>
      <c r="AH426">
        <v>0.99005299999999996</v>
      </c>
      <c r="AI426" t="s">
        <v>39</v>
      </c>
      <c r="AJ426">
        <v>0.77952500000000002</v>
      </c>
      <c r="AK426" t="s">
        <v>40</v>
      </c>
      <c r="AL426">
        <v>0.78449100000000005</v>
      </c>
      <c r="AM426" t="s">
        <v>41</v>
      </c>
      <c r="AN426">
        <v>55.480198000000001</v>
      </c>
      <c r="AO426" t="s">
        <v>42</v>
      </c>
      <c r="AP426">
        <v>29.709399999999999</v>
      </c>
    </row>
    <row r="427" spans="1:42" x14ac:dyDescent="0.3">
      <c r="A427" t="s">
        <v>22</v>
      </c>
      <c r="B427">
        <v>4.270003</v>
      </c>
      <c r="C427" t="s">
        <v>23</v>
      </c>
      <c r="D427">
        <v>0.99878699999999998</v>
      </c>
      <c r="E427" t="s">
        <v>24</v>
      </c>
      <c r="F427">
        <v>1.018872</v>
      </c>
      <c r="G427" t="s">
        <v>25</v>
      </c>
      <c r="H427">
        <v>0.91616900000000001</v>
      </c>
      <c r="I427" t="s">
        <v>26</v>
      </c>
      <c r="J427">
        <v>1.8599999999999999E-4</v>
      </c>
      <c r="K427" t="s">
        <v>27</v>
      </c>
      <c r="L427">
        <v>2.18E-2</v>
      </c>
      <c r="M427" t="s">
        <v>28</v>
      </c>
      <c r="N427">
        <v>1.9602000000000001E-2</v>
      </c>
      <c r="O427" t="s">
        <v>29</v>
      </c>
      <c r="P427">
        <v>0.15959599999999999</v>
      </c>
      <c r="Q427" t="s">
        <v>30</v>
      </c>
      <c r="R427">
        <v>5.2845999999999997E-2</v>
      </c>
      <c r="S427" t="s">
        <v>31</v>
      </c>
      <c r="T427">
        <v>0.59869000000000006</v>
      </c>
      <c r="U427" t="s">
        <v>32</v>
      </c>
      <c r="V427">
        <v>2.0375000000000001E-2</v>
      </c>
      <c r="W427" t="s">
        <v>33</v>
      </c>
      <c r="X427">
        <v>0.187634</v>
      </c>
      <c r="Y427" t="s">
        <v>34</v>
      </c>
      <c r="Z427">
        <v>0.104183</v>
      </c>
      <c r="AA427" t="s">
        <v>35</v>
      </c>
      <c r="AB427">
        <v>5.1152000000000003E-2</v>
      </c>
      <c r="AC427" t="s">
        <v>36</v>
      </c>
      <c r="AD427">
        <v>0.26417000000000002</v>
      </c>
      <c r="AE427" t="s">
        <v>37</v>
      </c>
      <c r="AF427">
        <v>0.26155299999999998</v>
      </c>
      <c r="AG427" t="s">
        <v>38</v>
      </c>
      <c r="AH427">
        <v>0.99009400000000003</v>
      </c>
      <c r="AI427" t="s">
        <v>39</v>
      </c>
      <c r="AJ427">
        <v>0.77954599999999996</v>
      </c>
      <c r="AK427" t="s">
        <v>40</v>
      </c>
      <c r="AL427">
        <v>0.78449100000000005</v>
      </c>
      <c r="AM427" t="s">
        <v>41</v>
      </c>
      <c r="AN427">
        <v>55.610432000000003</v>
      </c>
      <c r="AO427" t="s">
        <v>42</v>
      </c>
      <c r="AP427">
        <v>29.776675999999998</v>
      </c>
    </row>
    <row r="428" spans="1:42" x14ac:dyDescent="0.3">
      <c r="A428" t="s">
        <v>22</v>
      </c>
      <c r="B428">
        <v>4.2800029999999998</v>
      </c>
      <c r="C428" t="s">
        <v>23</v>
      </c>
      <c r="D428">
        <v>0.99865800000000005</v>
      </c>
      <c r="E428" t="s">
        <v>24</v>
      </c>
      <c r="F428">
        <v>1.0186569999999999</v>
      </c>
      <c r="G428" t="s">
        <v>25</v>
      </c>
      <c r="H428">
        <v>0.91616900000000001</v>
      </c>
      <c r="I428" t="s">
        <v>26</v>
      </c>
      <c r="J428">
        <v>1.85E-4</v>
      </c>
      <c r="K428" t="s">
        <v>27</v>
      </c>
      <c r="L428">
        <v>2.1794999999999998E-2</v>
      </c>
      <c r="M428" t="s">
        <v>28</v>
      </c>
      <c r="N428">
        <v>1.9602000000000001E-2</v>
      </c>
      <c r="O428" t="s">
        <v>29</v>
      </c>
      <c r="P428">
        <v>0.160278</v>
      </c>
      <c r="Q428" t="s">
        <v>30</v>
      </c>
      <c r="R428">
        <v>5.3988000000000001E-2</v>
      </c>
      <c r="S428" t="s">
        <v>31</v>
      </c>
      <c r="T428">
        <v>0.59869000000000006</v>
      </c>
      <c r="U428" t="s">
        <v>32</v>
      </c>
      <c r="V428">
        <v>2.0330000000000001E-2</v>
      </c>
      <c r="W428" t="s">
        <v>33</v>
      </c>
      <c r="X428">
        <v>0.18775</v>
      </c>
      <c r="Y428" t="s">
        <v>34</v>
      </c>
      <c r="Z428">
        <v>0.104183</v>
      </c>
      <c r="AA428" t="s">
        <v>35</v>
      </c>
      <c r="AB428">
        <v>5.1038E-2</v>
      </c>
      <c r="AC428" t="s">
        <v>36</v>
      </c>
      <c r="AD428">
        <v>0.26415899999999998</v>
      </c>
      <c r="AE428" t="s">
        <v>37</v>
      </c>
      <c r="AF428">
        <v>0.26155299999999998</v>
      </c>
      <c r="AG428" t="s">
        <v>38</v>
      </c>
      <c r="AH428">
        <v>0.99013499999999999</v>
      </c>
      <c r="AI428" t="s">
        <v>39</v>
      </c>
      <c r="AJ428">
        <v>0.77956599999999998</v>
      </c>
      <c r="AK428" t="s">
        <v>40</v>
      </c>
      <c r="AL428">
        <v>0.78449100000000005</v>
      </c>
      <c r="AM428" t="s">
        <v>41</v>
      </c>
      <c r="AN428">
        <v>55.740665</v>
      </c>
      <c r="AO428" t="s">
        <v>42</v>
      </c>
      <c r="AP428">
        <v>29.84395</v>
      </c>
    </row>
    <row r="429" spans="1:42" x14ac:dyDescent="0.3">
      <c r="A429" t="s">
        <v>22</v>
      </c>
      <c r="B429">
        <v>4.2900029999999996</v>
      </c>
      <c r="C429" t="s">
        <v>23</v>
      </c>
      <c r="D429">
        <v>0.99853000000000003</v>
      </c>
      <c r="E429" t="s">
        <v>24</v>
      </c>
      <c r="F429">
        <v>1.018443</v>
      </c>
      <c r="G429" t="s">
        <v>25</v>
      </c>
      <c r="H429">
        <v>0.91616900000000001</v>
      </c>
      <c r="I429" t="s">
        <v>26</v>
      </c>
      <c r="J429">
        <v>1.84E-4</v>
      </c>
      <c r="K429" t="s">
        <v>27</v>
      </c>
      <c r="L429">
        <v>2.1791000000000001E-2</v>
      </c>
      <c r="M429" t="s">
        <v>28</v>
      </c>
      <c r="N429">
        <v>1.9602000000000001E-2</v>
      </c>
      <c r="O429" t="s">
        <v>29</v>
      </c>
      <c r="P429">
        <v>0.16095799999999999</v>
      </c>
      <c r="Q429" t="s">
        <v>30</v>
      </c>
      <c r="R429">
        <v>5.5125E-2</v>
      </c>
      <c r="S429" t="s">
        <v>31</v>
      </c>
      <c r="T429">
        <v>0.59869000000000006</v>
      </c>
      <c r="U429" t="s">
        <v>32</v>
      </c>
      <c r="V429">
        <v>2.0285000000000001E-2</v>
      </c>
      <c r="W429" t="s">
        <v>33</v>
      </c>
      <c r="X429">
        <v>0.18786700000000001</v>
      </c>
      <c r="Y429" t="s">
        <v>34</v>
      </c>
      <c r="Z429">
        <v>0.104183</v>
      </c>
      <c r="AA429" t="s">
        <v>35</v>
      </c>
      <c r="AB429">
        <v>5.0924999999999998E-2</v>
      </c>
      <c r="AC429" t="s">
        <v>36</v>
      </c>
      <c r="AD429">
        <v>0.26414799999999999</v>
      </c>
      <c r="AE429" t="s">
        <v>37</v>
      </c>
      <c r="AF429">
        <v>0.26155299999999998</v>
      </c>
      <c r="AG429" t="s">
        <v>38</v>
      </c>
      <c r="AH429">
        <v>0.99017500000000003</v>
      </c>
      <c r="AI429" t="s">
        <v>39</v>
      </c>
      <c r="AJ429">
        <v>0.77958700000000003</v>
      </c>
      <c r="AK429" t="s">
        <v>40</v>
      </c>
      <c r="AL429">
        <v>0.78449100000000005</v>
      </c>
      <c r="AM429" t="s">
        <v>41</v>
      </c>
      <c r="AN429">
        <v>55.870902999999998</v>
      </c>
      <c r="AO429" t="s">
        <v>42</v>
      </c>
      <c r="AP429">
        <v>29.91123</v>
      </c>
    </row>
    <row r="430" spans="1:42" x14ac:dyDescent="0.3">
      <c r="A430" t="s">
        <v>22</v>
      </c>
      <c r="B430">
        <v>4.3000040000000004</v>
      </c>
      <c r="C430" t="s">
        <v>23</v>
      </c>
      <c r="D430">
        <v>0.99840300000000004</v>
      </c>
      <c r="E430" t="s">
        <v>24</v>
      </c>
      <c r="F430">
        <v>1.01823</v>
      </c>
      <c r="G430" t="s">
        <v>25</v>
      </c>
      <c r="H430">
        <v>0.91616900000000001</v>
      </c>
      <c r="I430" t="s">
        <v>26</v>
      </c>
      <c r="J430">
        <v>1.84E-4</v>
      </c>
      <c r="K430" t="s">
        <v>27</v>
      </c>
      <c r="L430">
        <v>2.1786E-2</v>
      </c>
      <c r="M430" t="s">
        <v>28</v>
      </c>
      <c r="N430">
        <v>1.9602000000000001E-2</v>
      </c>
      <c r="O430" t="s">
        <v>29</v>
      </c>
      <c r="P430">
        <v>0.161636</v>
      </c>
      <c r="Q430" t="s">
        <v>30</v>
      </c>
      <c r="R430">
        <v>5.6257000000000001E-2</v>
      </c>
      <c r="S430" t="s">
        <v>31</v>
      </c>
      <c r="T430">
        <v>0.59869000000000006</v>
      </c>
      <c r="U430" t="s">
        <v>32</v>
      </c>
      <c r="V430">
        <v>2.0240000000000001E-2</v>
      </c>
      <c r="W430" t="s">
        <v>33</v>
      </c>
      <c r="X430">
        <v>0.18798300000000001</v>
      </c>
      <c r="Y430" t="s">
        <v>34</v>
      </c>
      <c r="Z430">
        <v>0.104183</v>
      </c>
      <c r="AA430" t="s">
        <v>35</v>
      </c>
      <c r="AB430">
        <v>5.0812999999999997E-2</v>
      </c>
      <c r="AC430" t="s">
        <v>36</v>
      </c>
      <c r="AD430">
        <v>0.26413700000000001</v>
      </c>
      <c r="AE430" t="s">
        <v>37</v>
      </c>
      <c r="AF430">
        <v>0.26155299999999998</v>
      </c>
      <c r="AG430" t="s">
        <v>38</v>
      </c>
      <c r="AH430">
        <v>0.99021599999999999</v>
      </c>
      <c r="AI430" t="s">
        <v>39</v>
      </c>
      <c r="AJ430">
        <v>0.77960799999999997</v>
      </c>
      <c r="AK430" t="s">
        <v>40</v>
      </c>
      <c r="AL430">
        <v>0.78449100000000005</v>
      </c>
      <c r="AM430" t="s">
        <v>41</v>
      </c>
      <c r="AN430">
        <v>56.001137</v>
      </c>
      <c r="AO430" t="s">
        <v>42</v>
      </c>
      <c r="AP430">
        <v>29.978514000000001</v>
      </c>
    </row>
    <row r="431" spans="1:42" x14ac:dyDescent="0.3">
      <c r="A431" t="s">
        <v>22</v>
      </c>
      <c r="B431">
        <v>4.3100040000000002</v>
      </c>
      <c r="C431" t="s">
        <v>23</v>
      </c>
      <c r="D431">
        <v>0.99827600000000005</v>
      </c>
      <c r="E431" t="s">
        <v>24</v>
      </c>
      <c r="F431">
        <v>1.0180180000000001</v>
      </c>
      <c r="G431" t="s">
        <v>25</v>
      </c>
      <c r="H431">
        <v>0.91616900000000001</v>
      </c>
      <c r="I431" t="s">
        <v>26</v>
      </c>
      <c r="J431">
        <v>1.83E-4</v>
      </c>
      <c r="K431" t="s">
        <v>27</v>
      </c>
      <c r="L431">
        <v>2.1781999999999999E-2</v>
      </c>
      <c r="M431" t="s">
        <v>28</v>
      </c>
      <c r="N431">
        <v>1.9602000000000001E-2</v>
      </c>
      <c r="O431" t="s">
        <v>29</v>
      </c>
      <c r="P431">
        <v>0.16231200000000001</v>
      </c>
      <c r="Q431" t="s">
        <v>30</v>
      </c>
      <c r="R431">
        <v>5.7383000000000003E-2</v>
      </c>
      <c r="S431" t="s">
        <v>31</v>
      </c>
      <c r="T431">
        <v>0.59869000000000006</v>
      </c>
      <c r="U431" t="s">
        <v>32</v>
      </c>
      <c r="V431">
        <v>2.0195000000000001E-2</v>
      </c>
      <c r="W431" t="s">
        <v>33</v>
      </c>
      <c r="X431">
        <v>0.18809899999999999</v>
      </c>
      <c r="Y431" t="s">
        <v>34</v>
      </c>
      <c r="Z431">
        <v>0.104183</v>
      </c>
      <c r="AA431" t="s">
        <v>35</v>
      </c>
      <c r="AB431">
        <v>5.0700000000000002E-2</v>
      </c>
      <c r="AC431" t="s">
        <v>36</v>
      </c>
      <c r="AD431">
        <v>0.264127</v>
      </c>
      <c r="AE431" t="s">
        <v>37</v>
      </c>
      <c r="AF431">
        <v>0.26155299999999998</v>
      </c>
      <c r="AG431" t="s">
        <v>38</v>
      </c>
      <c r="AH431">
        <v>0.99025600000000003</v>
      </c>
      <c r="AI431" t="s">
        <v>39</v>
      </c>
      <c r="AJ431">
        <v>0.77962799999999999</v>
      </c>
      <c r="AK431" t="s">
        <v>40</v>
      </c>
      <c r="AL431">
        <v>0.78449100000000005</v>
      </c>
      <c r="AM431" t="s">
        <v>41</v>
      </c>
      <c r="AN431">
        <v>56.131374000000001</v>
      </c>
      <c r="AO431" t="s">
        <v>42</v>
      </c>
      <c r="AP431">
        <v>30.045805000000001</v>
      </c>
    </row>
    <row r="432" spans="1:42" x14ac:dyDescent="0.3">
      <c r="A432" t="s">
        <v>22</v>
      </c>
      <c r="B432">
        <v>4.320004</v>
      </c>
      <c r="C432" t="s">
        <v>23</v>
      </c>
      <c r="D432">
        <v>0.99814899999999995</v>
      </c>
      <c r="E432" t="s">
        <v>24</v>
      </c>
      <c r="F432">
        <v>1.0178069999999999</v>
      </c>
      <c r="G432" t="s">
        <v>25</v>
      </c>
      <c r="H432">
        <v>0.91616900000000001</v>
      </c>
      <c r="I432" t="s">
        <v>26</v>
      </c>
      <c r="J432">
        <v>1.8200000000000001E-4</v>
      </c>
      <c r="K432" t="s">
        <v>27</v>
      </c>
      <c r="L432">
        <v>2.1777000000000001E-2</v>
      </c>
      <c r="M432" t="s">
        <v>28</v>
      </c>
      <c r="N432">
        <v>1.9602000000000001E-2</v>
      </c>
      <c r="O432" t="s">
        <v>29</v>
      </c>
      <c r="P432">
        <v>0.16298799999999999</v>
      </c>
      <c r="Q432" t="s">
        <v>30</v>
      </c>
      <c r="R432">
        <v>5.8507000000000003E-2</v>
      </c>
      <c r="S432" t="s">
        <v>31</v>
      </c>
      <c r="T432">
        <v>0.59869000000000006</v>
      </c>
      <c r="U432" t="s">
        <v>32</v>
      </c>
      <c r="V432">
        <v>2.0150999999999999E-2</v>
      </c>
      <c r="W432" t="s">
        <v>33</v>
      </c>
      <c r="X432">
        <v>0.18821499999999999</v>
      </c>
      <c r="Y432" t="s">
        <v>34</v>
      </c>
      <c r="Z432">
        <v>0.104183</v>
      </c>
      <c r="AA432" t="s">
        <v>35</v>
      </c>
      <c r="AB432">
        <v>5.0589000000000002E-2</v>
      </c>
      <c r="AC432" t="s">
        <v>36</v>
      </c>
      <c r="AD432">
        <v>0.26411600000000002</v>
      </c>
      <c r="AE432" t="s">
        <v>37</v>
      </c>
      <c r="AF432">
        <v>0.26155299999999998</v>
      </c>
      <c r="AG432" t="s">
        <v>38</v>
      </c>
      <c r="AH432">
        <v>0.99029599999999995</v>
      </c>
      <c r="AI432" t="s">
        <v>39</v>
      </c>
      <c r="AJ432">
        <v>0.77964699999999998</v>
      </c>
      <c r="AK432" t="s">
        <v>40</v>
      </c>
      <c r="AL432">
        <v>0.78449100000000005</v>
      </c>
      <c r="AM432" t="s">
        <v>41</v>
      </c>
      <c r="AN432">
        <v>56.261608000000003</v>
      </c>
      <c r="AO432" t="s">
        <v>42</v>
      </c>
      <c r="AP432">
        <v>30.113094</v>
      </c>
    </row>
    <row r="433" spans="1:42" x14ac:dyDescent="0.3">
      <c r="A433" t="s">
        <v>22</v>
      </c>
      <c r="B433">
        <v>4.3300039999999997</v>
      </c>
      <c r="C433" t="s">
        <v>23</v>
      </c>
      <c r="D433">
        <v>0.99802199999999996</v>
      </c>
      <c r="E433" t="s">
        <v>24</v>
      </c>
      <c r="F433">
        <v>1.0175970000000001</v>
      </c>
      <c r="G433" t="s">
        <v>25</v>
      </c>
      <c r="H433">
        <v>0.91616900000000001</v>
      </c>
      <c r="I433" t="s">
        <v>26</v>
      </c>
      <c r="J433">
        <v>1.8200000000000001E-4</v>
      </c>
      <c r="K433" t="s">
        <v>27</v>
      </c>
      <c r="L433">
        <v>2.1773000000000001E-2</v>
      </c>
      <c r="M433" t="s">
        <v>28</v>
      </c>
      <c r="N433">
        <v>1.9602000000000001E-2</v>
      </c>
      <c r="O433" t="s">
        <v>29</v>
      </c>
      <c r="P433">
        <v>0.163661</v>
      </c>
      <c r="Q433" t="s">
        <v>30</v>
      </c>
      <c r="R433">
        <v>5.9624999999999997E-2</v>
      </c>
      <c r="S433" t="s">
        <v>31</v>
      </c>
      <c r="T433">
        <v>0.59869000000000006</v>
      </c>
      <c r="U433" t="s">
        <v>32</v>
      </c>
      <c r="V433">
        <v>2.0107E-2</v>
      </c>
      <c r="W433" t="s">
        <v>33</v>
      </c>
      <c r="X433">
        <v>0.188331</v>
      </c>
      <c r="Y433" t="s">
        <v>34</v>
      </c>
      <c r="Z433">
        <v>0.104183</v>
      </c>
      <c r="AA433" t="s">
        <v>35</v>
      </c>
      <c r="AB433">
        <v>5.0478000000000002E-2</v>
      </c>
      <c r="AC433" t="s">
        <v>36</v>
      </c>
      <c r="AD433">
        <v>0.26410600000000001</v>
      </c>
      <c r="AE433" t="s">
        <v>37</v>
      </c>
      <c r="AF433">
        <v>0.26155299999999998</v>
      </c>
      <c r="AG433" t="s">
        <v>38</v>
      </c>
      <c r="AH433">
        <v>0.99033499999999997</v>
      </c>
      <c r="AI433" t="s">
        <v>39</v>
      </c>
      <c r="AJ433">
        <v>0.77966800000000003</v>
      </c>
      <c r="AK433" t="s">
        <v>40</v>
      </c>
      <c r="AL433">
        <v>0.78449100000000005</v>
      </c>
      <c r="AM433" t="s">
        <v>41</v>
      </c>
      <c r="AN433">
        <v>56.391841999999997</v>
      </c>
      <c r="AO433" t="s">
        <v>42</v>
      </c>
      <c r="AP433">
        <v>30.180387</v>
      </c>
    </row>
    <row r="434" spans="1:42" x14ac:dyDescent="0.3">
      <c r="A434" t="s">
        <v>22</v>
      </c>
      <c r="B434">
        <v>4.3400040000000004</v>
      </c>
      <c r="C434" t="s">
        <v>23</v>
      </c>
      <c r="D434">
        <v>0.99789600000000001</v>
      </c>
      <c r="E434" t="s">
        <v>24</v>
      </c>
      <c r="F434">
        <v>1.017387</v>
      </c>
      <c r="G434" t="s">
        <v>25</v>
      </c>
      <c r="H434">
        <v>0.91616900000000001</v>
      </c>
      <c r="I434" t="s">
        <v>26</v>
      </c>
      <c r="J434">
        <v>1.8100000000000001E-4</v>
      </c>
      <c r="K434" t="s">
        <v>27</v>
      </c>
      <c r="L434">
        <v>2.1767999999999999E-2</v>
      </c>
      <c r="M434" t="s">
        <v>28</v>
      </c>
      <c r="N434">
        <v>1.9602000000000001E-2</v>
      </c>
      <c r="O434" t="s">
        <v>29</v>
      </c>
      <c r="P434">
        <v>0.164331</v>
      </c>
      <c r="Q434" t="s">
        <v>30</v>
      </c>
      <c r="R434">
        <v>6.0739000000000001E-2</v>
      </c>
      <c r="S434" t="s">
        <v>31</v>
      </c>
      <c r="T434">
        <v>0.59869000000000006</v>
      </c>
      <c r="U434" t="s">
        <v>32</v>
      </c>
      <c r="V434">
        <v>2.0062E-2</v>
      </c>
      <c r="W434" t="s">
        <v>33</v>
      </c>
      <c r="X434">
        <v>0.188447</v>
      </c>
      <c r="Y434" t="s">
        <v>34</v>
      </c>
      <c r="Z434">
        <v>0.104183</v>
      </c>
      <c r="AA434" t="s">
        <v>35</v>
      </c>
      <c r="AB434">
        <v>5.0367000000000002E-2</v>
      </c>
      <c r="AC434" t="s">
        <v>36</v>
      </c>
      <c r="AD434">
        <v>0.26409500000000002</v>
      </c>
      <c r="AE434" t="s">
        <v>37</v>
      </c>
      <c r="AF434">
        <v>0.26155299999999998</v>
      </c>
      <c r="AG434" t="s">
        <v>38</v>
      </c>
      <c r="AH434">
        <v>0.99037399999999998</v>
      </c>
      <c r="AI434" t="s">
        <v>39</v>
      </c>
      <c r="AJ434">
        <v>0.77968800000000005</v>
      </c>
      <c r="AK434" t="s">
        <v>40</v>
      </c>
      <c r="AL434">
        <v>0.78449100000000005</v>
      </c>
      <c r="AM434" t="s">
        <v>41</v>
      </c>
      <c r="AN434">
        <v>56.522078999999998</v>
      </c>
      <c r="AO434" t="s">
        <v>42</v>
      </c>
      <c r="AP434">
        <v>30.247688</v>
      </c>
    </row>
    <row r="435" spans="1:42" x14ac:dyDescent="0.3">
      <c r="A435" t="s">
        <v>22</v>
      </c>
      <c r="B435">
        <v>4.3500050000000003</v>
      </c>
      <c r="C435" t="s">
        <v>23</v>
      </c>
      <c r="D435">
        <v>0.99777000000000005</v>
      </c>
      <c r="E435" t="s">
        <v>24</v>
      </c>
      <c r="F435">
        <v>1.0171790000000001</v>
      </c>
      <c r="G435" t="s">
        <v>25</v>
      </c>
      <c r="H435">
        <v>0.91616900000000001</v>
      </c>
      <c r="I435" t="s">
        <v>26</v>
      </c>
      <c r="J435">
        <v>1.8100000000000001E-4</v>
      </c>
      <c r="K435" t="s">
        <v>27</v>
      </c>
      <c r="L435">
        <v>2.1763999999999999E-2</v>
      </c>
      <c r="M435" t="s">
        <v>28</v>
      </c>
      <c r="N435">
        <v>1.9602000000000001E-2</v>
      </c>
      <c r="O435" t="s">
        <v>29</v>
      </c>
      <c r="P435">
        <v>0.16500100000000001</v>
      </c>
      <c r="Q435" t="s">
        <v>30</v>
      </c>
      <c r="R435">
        <v>6.1848E-2</v>
      </c>
      <c r="S435" t="s">
        <v>31</v>
      </c>
      <c r="T435">
        <v>0.59869000000000006</v>
      </c>
      <c r="U435" t="s">
        <v>32</v>
      </c>
      <c r="V435">
        <v>2.0018999999999999E-2</v>
      </c>
      <c r="W435" t="s">
        <v>33</v>
      </c>
      <c r="X435">
        <v>0.18856300000000001</v>
      </c>
      <c r="Y435" t="s">
        <v>34</v>
      </c>
      <c r="Z435">
        <v>0.104183</v>
      </c>
      <c r="AA435" t="s">
        <v>35</v>
      </c>
      <c r="AB435">
        <v>5.0257000000000003E-2</v>
      </c>
      <c r="AC435" t="s">
        <v>36</v>
      </c>
      <c r="AD435">
        <v>0.26408500000000001</v>
      </c>
      <c r="AE435" t="s">
        <v>37</v>
      </c>
      <c r="AF435">
        <v>0.26155299999999998</v>
      </c>
      <c r="AG435" t="s">
        <v>38</v>
      </c>
      <c r="AH435">
        <v>0.99041400000000002</v>
      </c>
      <c r="AI435" t="s">
        <v>39</v>
      </c>
      <c r="AJ435">
        <v>0.77970799999999996</v>
      </c>
      <c r="AK435" t="s">
        <v>40</v>
      </c>
      <c r="AL435">
        <v>0.78449100000000005</v>
      </c>
      <c r="AM435" t="s">
        <v>41</v>
      </c>
      <c r="AN435">
        <v>56.652312999999999</v>
      </c>
      <c r="AO435" t="s">
        <v>42</v>
      </c>
      <c r="AP435">
        <v>30.314990999999999</v>
      </c>
    </row>
    <row r="436" spans="1:42" x14ac:dyDescent="0.3">
      <c r="A436" t="s">
        <v>22</v>
      </c>
      <c r="B436">
        <v>4.3600050000000001</v>
      </c>
      <c r="C436" t="s">
        <v>23</v>
      </c>
      <c r="D436">
        <v>0.99764399999999998</v>
      </c>
      <c r="E436" t="s">
        <v>24</v>
      </c>
      <c r="F436">
        <v>1.0169710000000001</v>
      </c>
      <c r="G436" t="s">
        <v>25</v>
      </c>
      <c r="H436">
        <v>0.91616900000000001</v>
      </c>
      <c r="I436" t="s">
        <v>26</v>
      </c>
      <c r="J436">
        <v>1.8000000000000001E-4</v>
      </c>
      <c r="K436" t="s">
        <v>27</v>
      </c>
      <c r="L436">
        <v>2.1759000000000001E-2</v>
      </c>
      <c r="M436" t="s">
        <v>28</v>
      </c>
      <c r="N436">
        <v>1.9602000000000001E-2</v>
      </c>
      <c r="O436" t="s">
        <v>29</v>
      </c>
      <c r="P436">
        <v>0.16566900000000001</v>
      </c>
      <c r="Q436" t="s">
        <v>30</v>
      </c>
      <c r="R436">
        <v>6.2952999999999995E-2</v>
      </c>
      <c r="S436" t="s">
        <v>31</v>
      </c>
      <c r="T436">
        <v>0.59869000000000006</v>
      </c>
      <c r="U436" t="s">
        <v>32</v>
      </c>
      <c r="V436">
        <v>1.9975E-2</v>
      </c>
      <c r="W436" t="s">
        <v>33</v>
      </c>
      <c r="X436">
        <v>0.18867900000000001</v>
      </c>
      <c r="Y436" t="s">
        <v>34</v>
      </c>
      <c r="Z436">
        <v>0.104183</v>
      </c>
      <c r="AA436" t="s">
        <v>35</v>
      </c>
      <c r="AB436">
        <v>5.0146999999999997E-2</v>
      </c>
      <c r="AC436" t="s">
        <v>36</v>
      </c>
      <c r="AD436">
        <v>0.26407399999999998</v>
      </c>
      <c r="AE436" t="s">
        <v>37</v>
      </c>
      <c r="AF436">
        <v>0.26155299999999998</v>
      </c>
      <c r="AG436" t="s">
        <v>38</v>
      </c>
      <c r="AH436">
        <v>0.990452</v>
      </c>
      <c r="AI436" t="s">
        <v>39</v>
      </c>
      <c r="AJ436">
        <v>0.77972799999999998</v>
      </c>
      <c r="AK436" t="s">
        <v>40</v>
      </c>
      <c r="AL436">
        <v>0.78449100000000005</v>
      </c>
      <c r="AM436" t="s">
        <v>41</v>
      </c>
      <c r="AN436">
        <v>56.782547000000001</v>
      </c>
      <c r="AO436" t="s">
        <v>42</v>
      </c>
      <c r="AP436">
        <v>30.382297999999999</v>
      </c>
    </row>
    <row r="437" spans="1:42" x14ac:dyDescent="0.3">
      <c r="A437" t="s">
        <v>22</v>
      </c>
      <c r="B437">
        <v>4.3700049999999999</v>
      </c>
      <c r="C437" t="s">
        <v>23</v>
      </c>
      <c r="D437">
        <v>0.99751900000000004</v>
      </c>
      <c r="E437" t="s">
        <v>24</v>
      </c>
      <c r="F437">
        <v>1.016764</v>
      </c>
      <c r="G437" t="s">
        <v>25</v>
      </c>
      <c r="H437">
        <v>0.91616900000000001</v>
      </c>
      <c r="I437" t="s">
        <v>26</v>
      </c>
      <c r="J437">
        <v>1.7899999999999999E-4</v>
      </c>
      <c r="K437" t="s">
        <v>27</v>
      </c>
      <c r="L437">
        <v>2.1755E-2</v>
      </c>
      <c r="M437" t="s">
        <v>28</v>
      </c>
      <c r="N437">
        <v>1.9602000000000001E-2</v>
      </c>
      <c r="O437" t="s">
        <v>29</v>
      </c>
      <c r="P437">
        <v>0.16633500000000001</v>
      </c>
      <c r="Q437" t="s">
        <v>30</v>
      </c>
      <c r="R437">
        <v>6.4052999999999999E-2</v>
      </c>
      <c r="S437" t="s">
        <v>31</v>
      </c>
      <c r="T437">
        <v>0.59869000000000006</v>
      </c>
      <c r="U437" t="s">
        <v>32</v>
      </c>
      <c r="V437">
        <v>1.9931000000000001E-2</v>
      </c>
      <c r="W437" t="s">
        <v>33</v>
      </c>
      <c r="X437">
        <v>0.18879499999999999</v>
      </c>
      <c r="Y437" t="s">
        <v>34</v>
      </c>
      <c r="Z437">
        <v>0.104183</v>
      </c>
      <c r="AA437" t="s">
        <v>35</v>
      </c>
      <c r="AB437">
        <v>5.0037999999999999E-2</v>
      </c>
      <c r="AC437" t="s">
        <v>36</v>
      </c>
      <c r="AD437">
        <v>0.26406400000000002</v>
      </c>
      <c r="AE437" t="s">
        <v>37</v>
      </c>
      <c r="AF437">
        <v>0.26155299999999998</v>
      </c>
      <c r="AG437" t="s">
        <v>38</v>
      </c>
      <c r="AH437">
        <v>0.99049100000000001</v>
      </c>
      <c r="AI437" t="s">
        <v>39</v>
      </c>
      <c r="AJ437">
        <v>0.77974699999999997</v>
      </c>
      <c r="AK437" t="s">
        <v>40</v>
      </c>
      <c r="AL437">
        <v>0.78449100000000005</v>
      </c>
      <c r="AM437" t="s">
        <v>41</v>
      </c>
      <c r="AN437">
        <v>56.912785</v>
      </c>
      <c r="AO437" t="s">
        <v>42</v>
      </c>
      <c r="AP437">
        <v>30.449605999999999</v>
      </c>
    </row>
    <row r="438" spans="1:42" x14ac:dyDescent="0.3">
      <c r="A438" t="s">
        <v>22</v>
      </c>
      <c r="B438">
        <v>4.3800049999999997</v>
      </c>
      <c r="C438" t="s">
        <v>23</v>
      </c>
      <c r="D438">
        <v>0.997394</v>
      </c>
      <c r="E438" t="s">
        <v>24</v>
      </c>
      <c r="F438">
        <v>1.0165569999999999</v>
      </c>
      <c r="G438" t="s">
        <v>25</v>
      </c>
      <c r="H438">
        <v>0.91616900000000001</v>
      </c>
      <c r="I438" t="s">
        <v>26</v>
      </c>
      <c r="J438">
        <v>1.7899999999999999E-4</v>
      </c>
      <c r="K438" t="s">
        <v>27</v>
      </c>
      <c r="L438">
        <v>2.1751E-2</v>
      </c>
      <c r="M438" t="s">
        <v>28</v>
      </c>
      <c r="N438">
        <v>1.9602000000000001E-2</v>
      </c>
      <c r="O438" t="s">
        <v>29</v>
      </c>
      <c r="P438">
        <v>0.16699800000000001</v>
      </c>
      <c r="Q438" t="s">
        <v>30</v>
      </c>
      <c r="R438">
        <v>6.5148999999999999E-2</v>
      </c>
      <c r="S438" t="s">
        <v>31</v>
      </c>
      <c r="T438">
        <v>0.59869000000000006</v>
      </c>
      <c r="U438" t="s">
        <v>32</v>
      </c>
      <c r="V438">
        <v>1.9887999999999999E-2</v>
      </c>
      <c r="W438" t="s">
        <v>33</v>
      </c>
      <c r="X438">
        <v>0.188911</v>
      </c>
      <c r="Y438" t="s">
        <v>34</v>
      </c>
      <c r="Z438">
        <v>0.104183</v>
      </c>
      <c r="AA438" t="s">
        <v>35</v>
      </c>
      <c r="AB438">
        <v>4.9929000000000001E-2</v>
      </c>
      <c r="AC438" t="s">
        <v>36</v>
      </c>
      <c r="AD438">
        <v>0.26405400000000001</v>
      </c>
      <c r="AE438" t="s">
        <v>37</v>
      </c>
      <c r="AF438">
        <v>0.26155299999999998</v>
      </c>
      <c r="AG438" t="s">
        <v>38</v>
      </c>
      <c r="AH438">
        <v>0.99052899999999999</v>
      </c>
      <c r="AI438" t="s">
        <v>39</v>
      </c>
      <c r="AJ438">
        <v>0.77976699999999999</v>
      </c>
      <c r="AK438" t="s">
        <v>40</v>
      </c>
      <c r="AL438">
        <v>0.78449100000000005</v>
      </c>
      <c r="AM438" t="s">
        <v>41</v>
      </c>
      <c r="AN438">
        <v>57.043018000000004</v>
      </c>
      <c r="AO438" t="s">
        <v>42</v>
      </c>
      <c r="AP438">
        <v>30.516919999999999</v>
      </c>
    </row>
    <row r="439" spans="1:42" x14ac:dyDescent="0.3">
      <c r="A439" t="s">
        <v>22</v>
      </c>
      <c r="B439">
        <v>4.3900059999999996</v>
      </c>
      <c r="C439" t="s">
        <v>23</v>
      </c>
      <c r="D439">
        <v>0.99726899999999996</v>
      </c>
      <c r="E439" t="s">
        <v>24</v>
      </c>
      <c r="F439">
        <v>1.0163519999999999</v>
      </c>
      <c r="G439" t="s">
        <v>25</v>
      </c>
      <c r="H439">
        <v>0.91616900000000001</v>
      </c>
      <c r="I439" t="s">
        <v>26</v>
      </c>
      <c r="J439">
        <v>1.7799999999999999E-4</v>
      </c>
      <c r="K439" t="s">
        <v>27</v>
      </c>
      <c r="L439">
        <v>2.1746000000000001E-2</v>
      </c>
      <c r="M439" t="s">
        <v>28</v>
      </c>
      <c r="N439">
        <v>1.9602000000000001E-2</v>
      </c>
      <c r="O439" t="s">
        <v>29</v>
      </c>
      <c r="P439">
        <v>0.16766200000000001</v>
      </c>
      <c r="Q439" t="s">
        <v>30</v>
      </c>
      <c r="R439">
        <v>6.6239999999999993E-2</v>
      </c>
      <c r="S439" t="s">
        <v>31</v>
      </c>
      <c r="T439">
        <v>0.59869000000000006</v>
      </c>
      <c r="U439" t="s">
        <v>32</v>
      </c>
      <c r="V439">
        <v>1.9845000000000002E-2</v>
      </c>
      <c r="W439" t="s">
        <v>33</v>
      </c>
      <c r="X439">
        <v>0.189027</v>
      </c>
      <c r="Y439" t="s">
        <v>34</v>
      </c>
      <c r="Z439">
        <v>0.104183</v>
      </c>
      <c r="AA439" t="s">
        <v>35</v>
      </c>
      <c r="AB439">
        <v>4.9820999999999997E-2</v>
      </c>
      <c r="AC439" t="s">
        <v>36</v>
      </c>
      <c r="AD439">
        <v>0.264044</v>
      </c>
      <c r="AE439" t="s">
        <v>37</v>
      </c>
      <c r="AF439">
        <v>0.26155299999999998</v>
      </c>
      <c r="AG439" t="s">
        <v>38</v>
      </c>
      <c r="AH439">
        <v>0.990568</v>
      </c>
      <c r="AI439" t="s">
        <v>39</v>
      </c>
      <c r="AJ439">
        <v>0.77978599999999998</v>
      </c>
      <c r="AK439" t="s">
        <v>40</v>
      </c>
      <c r="AL439">
        <v>0.78449100000000005</v>
      </c>
      <c r="AM439" t="s">
        <v>41</v>
      </c>
      <c r="AN439">
        <v>57.173256000000002</v>
      </c>
      <c r="AO439" t="s">
        <v>42</v>
      </c>
      <c r="AP439">
        <v>30.584236000000001</v>
      </c>
    </row>
    <row r="440" spans="1:42" x14ac:dyDescent="0.3">
      <c r="A440" t="s">
        <v>22</v>
      </c>
      <c r="B440">
        <v>4.4000060000000003</v>
      </c>
      <c r="C440" t="s">
        <v>23</v>
      </c>
      <c r="D440">
        <v>0.99714499999999995</v>
      </c>
      <c r="E440" t="s">
        <v>24</v>
      </c>
      <c r="F440">
        <v>1.0161480000000001</v>
      </c>
      <c r="G440" t="s">
        <v>25</v>
      </c>
      <c r="H440">
        <v>0.91616900000000001</v>
      </c>
      <c r="I440" t="s">
        <v>26</v>
      </c>
      <c r="J440">
        <v>1.7799999999999999E-4</v>
      </c>
      <c r="K440" t="s">
        <v>27</v>
      </c>
      <c r="L440">
        <v>2.1742000000000001E-2</v>
      </c>
      <c r="M440" t="s">
        <v>28</v>
      </c>
      <c r="N440">
        <v>1.9602000000000001E-2</v>
      </c>
      <c r="O440" t="s">
        <v>29</v>
      </c>
      <c r="P440">
        <v>0.168321</v>
      </c>
      <c r="Q440" t="s">
        <v>30</v>
      </c>
      <c r="R440">
        <v>6.7326999999999998E-2</v>
      </c>
      <c r="S440" t="s">
        <v>31</v>
      </c>
      <c r="T440">
        <v>0.59869000000000006</v>
      </c>
      <c r="U440" t="s">
        <v>32</v>
      </c>
      <c r="V440">
        <v>1.9802E-2</v>
      </c>
      <c r="W440" t="s">
        <v>33</v>
      </c>
      <c r="X440">
        <v>0.18914300000000001</v>
      </c>
      <c r="Y440" t="s">
        <v>34</v>
      </c>
      <c r="Z440">
        <v>0.104183</v>
      </c>
      <c r="AA440" t="s">
        <v>35</v>
      </c>
      <c r="AB440">
        <v>4.9713E-2</v>
      </c>
      <c r="AC440" t="s">
        <v>36</v>
      </c>
      <c r="AD440">
        <v>0.26403399999999999</v>
      </c>
      <c r="AE440" t="s">
        <v>37</v>
      </c>
      <c r="AF440">
        <v>0.26155299999999998</v>
      </c>
      <c r="AG440" t="s">
        <v>38</v>
      </c>
      <c r="AH440">
        <v>0.99060599999999999</v>
      </c>
      <c r="AI440" t="s">
        <v>39</v>
      </c>
      <c r="AJ440">
        <v>0.77980499999999997</v>
      </c>
      <c r="AK440" t="s">
        <v>40</v>
      </c>
      <c r="AL440">
        <v>0.78449100000000005</v>
      </c>
      <c r="AM440" t="s">
        <v>41</v>
      </c>
      <c r="AN440">
        <v>57.303489999999996</v>
      </c>
      <c r="AO440" t="s">
        <v>42</v>
      </c>
      <c r="AP440">
        <v>30.651558000000001</v>
      </c>
    </row>
    <row r="441" spans="1:42" x14ac:dyDescent="0.3">
      <c r="A441" t="s">
        <v>22</v>
      </c>
      <c r="B441">
        <v>4.4100060000000001</v>
      </c>
      <c r="C441" t="s">
        <v>23</v>
      </c>
      <c r="D441">
        <v>0.99702100000000005</v>
      </c>
      <c r="E441" t="s">
        <v>24</v>
      </c>
      <c r="F441">
        <v>1.015944</v>
      </c>
      <c r="G441" t="s">
        <v>25</v>
      </c>
      <c r="H441">
        <v>0.91616900000000001</v>
      </c>
      <c r="I441" t="s">
        <v>26</v>
      </c>
      <c r="J441">
        <v>1.7699999999999999E-4</v>
      </c>
      <c r="K441" t="s">
        <v>27</v>
      </c>
      <c r="L441">
        <v>2.1736999999999999E-2</v>
      </c>
      <c r="M441" t="s">
        <v>28</v>
      </c>
      <c r="N441">
        <v>1.9602000000000001E-2</v>
      </c>
      <c r="O441" t="s">
        <v>29</v>
      </c>
      <c r="P441">
        <v>0.16898099999999999</v>
      </c>
      <c r="Q441" t="s">
        <v>30</v>
      </c>
      <c r="R441">
        <v>6.8409999999999999E-2</v>
      </c>
      <c r="S441" t="s">
        <v>31</v>
      </c>
      <c r="T441">
        <v>0.59869000000000006</v>
      </c>
      <c r="U441" t="s">
        <v>32</v>
      </c>
      <c r="V441">
        <v>1.9758999999999999E-2</v>
      </c>
      <c r="W441" t="s">
        <v>33</v>
      </c>
      <c r="X441">
        <v>0.18925900000000001</v>
      </c>
      <c r="Y441" t="s">
        <v>34</v>
      </c>
      <c r="Z441">
        <v>0.104183</v>
      </c>
      <c r="AA441" t="s">
        <v>35</v>
      </c>
      <c r="AB441">
        <v>4.9605000000000003E-2</v>
      </c>
      <c r="AC441" t="s">
        <v>36</v>
      </c>
      <c r="AD441">
        <v>0.26402399999999998</v>
      </c>
      <c r="AE441" t="s">
        <v>37</v>
      </c>
      <c r="AF441">
        <v>0.26155299999999998</v>
      </c>
      <c r="AG441" t="s">
        <v>38</v>
      </c>
      <c r="AH441">
        <v>0.99064300000000005</v>
      </c>
      <c r="AI441" t="s">
        <v>39</v>
      </c>
      <c r="AJ441">
        <v>0.77982399999999996</v>
      </c>
      <c r="AK441" t="s">
        <v>40</v>
      </c>
      <c r="AL441">
        <v>0.78449100000000005</v>
      </c>
      <c r="AM441" t="s">
        <v>41</v>
      </c>
      <c r="AN441">
        <v>57.433723000000001</v>
      </c>
      <c r="AO441" t="s">
        <v>42</v>
      </c>
      <c r="AP441">
        <v>30.718883999999999</v>
      </c>
    </row>
    <row r="442" spans="1:42" x14ac:dyDescent="0.3">
      <c r="A442" t="s">
        <v>22</v>
      </c>
      <c r="B442">
        <v>4.4200059999999999</v>
      </c>
      <c r="C442" t="s">
        <v>23</v>
      </c>
      <c r="D442">
        <v>0.99689700000000003</v>
      </c>
      <c r="E442" t="s">
        <v>24</v>
      </c>
      <c r="F442">
        <v>1.015741</v>
      </c>
      <c r="G442" t="s">
        <v>25</v>
      </c>
      <c r="H442">
        <v>0.91616900000000001</v>
      </c>
      <c r="I442" t="s">
        <v>26</v>
      </c>
      <c r="J442">
        <v>1.76E-4</v>
      </c>
      <c r="K442" t="s">
        <v>27</v>
      </c>
      <c r="L442">
        <v>2.1732999999999999E-2</v>
      </c>
      <c r="M442" t="s">
        <v>28</v>
      </c>
      <c r="N442">
        <v>1.9602000000000001E-2</v>
      </c>
      <c r="O442" t="s">
        <v>29</v>
      </c>
      <c r="P442">
        <v>0.16963900000000001</v>
      </c>
      <c r="Q442" t="s">
        <v>30</v>
      </c>
      <c r="R442">
        <v>6.9487999999999994E-2</v>
      </c>
      <c r="S442" t="s">
        <v>31</v>
      </c>
      <c r="T442">
        <v>0.59869000000000006</v>
      </c>
      <c r="U442" t="s">
        <v>32</v>
      </c>
      <c r="V442">
        <v>1.9716000000000001E-2</v>
      </c>
      <c r="W442" t="s">
        <v>33</v>
      </c>
      <c r="X442">
        <v>0.18937499999999999</v>
      </c>
      <c r="Y442" t="s">
        <v>34</v>
      </c>
      <c r="Z442">
        <v>0.104183</v>
      </c>
      <c r="AA442" t="s">
        <v>35</v>
      </c>
      <c r="AB442">
        <v>4.9498E-2</v>
      </c>
      <c r="AC442" t="s">
        <v>36</v>
      </c>
      <c r="AD442">
        <v>0.264013</v>
      </c>
      <c r="AE442" t="s">
        <v>37</v>
      </c>
      <c r="AF442">
        <v>0.26155299999999998</v>
      </c>
      <c r="AG442" t="s">
        <v>38</v>
      </c>
      <c r="AH442">
        <v>0.99068100000000003</v>
      </c>
      <c r="AI442" t="s">
        <v>39</v>
      </c>
      <c r="AJ442">
        <v>0.77984399999999998</v>
      </c>
      <c r="AK442" t="s">
        <v>40</v>
      </c>
      <c r="AL442">
        <v>0.78449100000000005</v>
      </c>
      <c r="AM442" t="s">
        <v>41</v>
      </c>
      <c r="AN442">
        <v>57.563960999999999</v>
      </c>
      <c r="AO442" t="s">
        <v>42</v>
      </c>
      <c r="AP442">
        <v>30.786207000000001</v>
      </c>
    </row>
    <row r="443" spans="1:42" x14ac:dyDescent="0.3">
      <c r="A443" t="s">
        <v>22</v>
      </c>
      <c r="B443">
        <v>4.4300069999999998</v>
      </c>
      <c r="C443" t="s">
        <v>23</v>
      </c>
      <c r="D443">
        <v>0.99677400000000005</v>
      </c>
      <c r="E443" t="s">
        <v>24</v>
      </c>
      <c r="F443">
        <v>1.015539</v>
      </c>
      <c r="G443" t="s">
        <v>25</v>
      </c>
      <c r="H443">
        <v>0.91616900000000001</v>
      </c>
      <c r="I443" t="s">
        <v>26</v>
      </c>
      <c r="J443">
        <v>1.76E-4</v>
      </c>
      <c r="K443" t="s">
        <v>27</v>
      </c>
      <c r="L443">
        <v>2.1728999999999998E-2</v>
      </c>
      <c r="M443" t="s">
        <v>28</v>
      </c>
      <c r="N443">
        <v>1.9602000000000001E-2</v>
      </c>
      <c r="O443" t="s">
        <v>29</v>
      </c>
      <c r="P443">
        <v>0.170293</v>
      </c>
      <c r="Q443" t="s">
        <v>30</v>
      </c>
      <c r="R443">
        <v>7.0562E-2</v>
      </c>
      <c r="S443" t="s">
        <v>31</v>
      </c>
      <c r="T443">
        <v>0.59869000000000006</v>
      </c>
      <c r="U443" t="s">
        <v>32</v>
      </c>
      <c r="V443">
        <v>1.9674000000000001E-2</v>
      </c>
      <c r="W443" t="s">
        <v>33</v>
      </c>
      <c r="X443">
        <v>0.18949099999999999</v>
      </c>
      <c r="Y443" t="s">
        <v>34</v>
      </c>
      <c r="Z443">
        <v>0.104183</v>
      </c>
      <c r="AA443" t="s">
        <v>35</v>
      </c>
      <c r="AB443">
        <v>4.9391999999999998E-2</v>
      </c>
      <c r="AC443" t="s">
        <v>36</v>
      </c>
      <c r="AD443">
        <v>0.26400400000000002</v>
      </c>
      <c r="AE443" t="s">
        <v>37</v>
      </c>
      <c r="AF443">
        <v>0.26155299999999998</v>
      </c>
      <c r="AG443" t="s">
        <v>38</v>
      </c>
      <c r="AH443">
        <v>0.99071799999999999</v>
      </c>
      <c r="AI443" t="s">
        <v>39</v>
      </c>
      <c r="AJ443">
        <v>0.77986200000000006</v>
      </c>
      <c r="AK443" t="s">
        <v>40</v>
      </c>
      <c r="AL443">
        <v>0.78449100000000005</v>
      </c>
      <c r="AM443" t="s">
        <v>41</v>
      </c>
      <c r="AN443">
        <v>57.694195000000001</v>
      </c>
      <c r="AO443" t="s">
        <v>42</v>
      </c>
      <c r="AP443">
        <v>30.853539000000001</v>
      </c>
    </row>
    <row r="444" spans="1:42" x14ac:dyDescent="0.3">
      <c r="A444" t="s">
        <v>22</v>
      </c>
      <c r="B444">
        <v>4.4400069999999996</v>
      </c>
      <c r="C444" t="s">
        <v>23</v>
      </c>
      <c r="D444">
        <v>0.99665099999999995</v>
      </c>
      <c r="E444" t="s">
        <v>24</v>
      </c>
      <c r="F444">
        <v>1.0153380000000001</v>
      </c>
      <c r="G444" t="s">
        <v>25</v>
      </c>
      <c r="H444">
        <v>0.91616900000000001</v>
      </c>
      <c r="I444" t="s">
        <v>26</v>
      </c>
      <c r="J444">
        <v>1.75E-4</v>
      </c>
      <c r="K444" t="s">
        <v>27</v>
      </c>
      <c r="L444">
        <v>2.1724E-2</v>
      </c>
      <c r="M444" t="s">
        <v>28</v>
      </c>
      <c r="N444">
        <v>1.9602000000000001E-2</v>
      </c>
      <c r="O444" t="s">
        <v>29</v>
      </c>
      <c r="P444">
        <v>0.17094799999999999</v>
      </c>
      <c r="Q444" t="s">
        <v>30</v>
      </c>
      <c r="R444">
        <v>7.1632000000000001E-2</v>
      </c>
      <c r="S444" t="s">
        <v>31</v>
      </c>
      <c r="T444">
        <v>0.59869000000000006</v>
      </c>
      <c r="U444" t="s">
        <v>32</v>
      </c>
      <c r="V444">
        <v>1.9632E-2</v>
      </c>
      <c r="W444" t="s">
        <v>33</v>
      </c>
      <c r="X444">
        <v>0.189607</v>
      </c>
      <c r="Y444" t="s">
        <v>34</v>
      </c>
      <c r="Z444">
        <v>0.104183</v>
      </c>
      <c r="AA444" t="s">
        <v>35</v>
      </c>
      <c r="AB444">
        <v>4.9286000000000003E-2</v>
      </c>
      <c r="AC444" t="s">
        <v>36</v>
      </c>
      <c r="AD444">
        <v>0.26399400000000001</v>
      </c>
      <c r="AE444" t="s">
        <v>37</v>
      </c>
      <c r="AF444">
        <v>0.26155299999999998</v>
      </c>
      <c r="AG444" t="s">
        <v>38</v>
      </c>
      <c r="AH444">
        <v>0.99075500000000005</v>
      </c>
      <c r="AI444" t="s">
        <v>39</v>
      </c>
      <c r="AJ444">
        <v>0.77988100000000005</v>
      </c>
      <c r="AK444" t="s">
        <v>40</v>
      </c>
      <c r="AL444">
        <v>0.78449100000000005</v>
      </c>
      <c r="AM444" t="s">
        <v>41</v>
      </c>
      <c r="AN444">
        <v>57.824429000000002</v>
      </c>
      <c r="AO444" t="s">
        <v>42</v>
      </c>
      <c r="AP444">
        <v>30.920874000000001</v>
      </c>
    </row>
    <row r="445" spans="1:42" x14ac:dyDescent="0.3">
      <c r="A445" t="s">
        <v>22</v>
      </c>
      <c r="B445">
        <v>4.4500070000000003</v>
      </c>
      <c r="C445" t="s">
        <v>23</v>
      </c>
      <c r="D445">
        <v>0.99652799999999997</v>
      </c>
      <c r="E445" t="s">
        <v>24</v>
      </c>
      <c r="F445">
        <v>1.015137</v>
      </c>
      <c r="G445" t="s">
        <v>25</v>
      </c>
      <c r="H445">
        <v>0.91616900000000001</v>
      </c>
      <c r="I445" t="s">
        <v>26</v>
      </c>
      <c r="J445">
        <v>1.75E-4</v>
      </c>
      <c r="K445" t="s">
        <v>27</v>
      </c>
      <c r="L445">
        <v>2.172E-2</v>
      </c>
      <c r="M445" t="s">
        <v>28</v>
      </c>
      <c r="N445">
        <v>1.9602000000000001E-2</v>
      </c>
      <c r="O445" t="s">
        <v>29</v>
      </c>
      <c r="P445">
        <v>0.171601</v>
      </c>
      <c r="Q445" t="s">
        <v>30</v>
      </c>
      <c r="R445">
        <v>7.2697999999999999E-2</v>
      </c>
      <c r="S445" t="s">
        <v>31</v>
      </c>
      <c r="T445">
        <v>0.59869000000000006</v>
      </c>
      <c r="U445" t="s">
        <v>32</v>
      </c>
      <c r="V445">
        <v>1.959E-2</v>
      </c>
      <c r="W445" t="s">
        <v>33</v>
      </c>
      <c r="X445">
        <v>0.189723</v>
      </c>
      <c r="Y445" t="s">
        <v>34</v>
      </c>
      <c r="Z445">
        <v>0.104183</v>
      </c>
      <c r="AA445" t="s">
        <v>35</v>
      </c>
      <c r="AB445">
        <v>4.9180000000000001E-2</v>
      </c>
      <c r="AC445" t="s">
        <v>36</v>
      </c>
      <c r="AD445">
        <v>0.263984</v>
      </c>
      <c r="AE445" t="s">
        <v>37</v>
      </c>
      <c r="AF445">
        <v>0.26155299999999998</v>
      </c>
      <c r="AG445" t="s">
        <v>38</v>
      </c>
      <c r="AH445">
        <v>0.99079200000000001</v>
      </c>
      <c r="AI445" t="s">
        <v>39</v>
      </c>
      <c r="AJ445">
        <v>0.77990000000000004</v>
      </c>
      <c r="AK445" t="s">
        <v>40</v>
      </c>
      <c r="AL445">
        <v>0.78449100000000005</v>
      </c>
      <c r="AM445" t="s">
        <v>41</v>
      </c>
      <c r="AN445">
        <v>57.954666000000003</v>
      </c>
      <c r="AO445" t="s">
        <v>42</v>
      </c>
      <c r="AP445">
        <v>30.988211</v>
      </c>
    </row>
    <row r="446" spans="1:42" x14ac:dyDescent="0.3">
      <c r="A446" t="s">
        <v>22</v>
      </c>
      <c r="B446">
        <v>4.4600070000000001</v>
      </c>
      <c r="C446" t="s">
        <v>23</v>
      </c>
      <c r="D446">
        <v>0.99640600000000001</v>
      </c>
      <c r="E446" t="s">
        <v>24</v>
      </c>
      <c r="F446">
        <v>1.014937</v>
      </c>
      <c r="G446" t="s">
        <v>25</v>
      </c>
      <c r="H446">
        <v>0.91616900000000001</v>
      </c>
      <c r="I446" t="s">
        <v>26</v>
      </c>
      <c r="J446">
        <v>1.74E-4</v>
      </c>
      <c r="K446" t="s">
        <v>27</v>
      </c>
      <c r="L446">
        <v>2.1715999999999999E-2</v>
      </c>
      <c r="M446" t="s">
        <v>28</v>
      </c>
      <c r="N446">
        <v>1.9602000000000001E-2</v>
      </c>
      <c r="O446" t="s">
        <v>29</v>
      </c>
      <c r="P446">
        <v>0.17224999999999999</v>
      </c>
      <c r="Q446" t="s">
        <v>30</v>
      </c>
      <c r="R446">
        <v>7.3759000000000005E-2</v>
      </c>
      <c r="S446" t="s">
        <v>31</v>
      </c>
      <c r="T446">
        <v>0.59869000000000006</v>
      </c>
      <c r="U446" t="s">
        <v>32</v>
      </c>
      <c r="V446">
        <v>1.9547999999999999E-2</v>
      </c>
      <c r="W446" t="s">
        <v>33</v>
      </c>
      <c r="X446">
        <v>0.18983900000000001</v>
      </c>
      <c r="Y446" t="s">
        <v>34</v>
      </c>
      <c r="Z446">
        <v>0.104183</v>
      </c>
      <c r="AA446" t="s">
        <v>35</v>
      </c>
      <c r="AB446">
        <v>4.9075000000000001E-2</v>
      </c>
      <c r="AC446" t="s">
        <v>36</v>
      </c>
      <c r="AD446">
        <v>0.26397399999999999</v>
      </c>
      <c r="AE446" t="s">
        <v>37</v>
      </c>
      <c r="AF446">
        <v>0.26155299999999998</v>
      </c>
      <c r="AG446" t="s">
        <v>38</v>
      </c>
      <c r="AH446">
        <v>0.99082800000000004</v>
      </c>
      <c r="AI446" t="s">
        <v>39</v>
      </c>
      <c r="AJ446">
        <v>0.77991900000000003</v>
      </c>
      <c r="AK446" t="s">
        <v>40</v>
      </c>
      <c r="AL446">
        <v>0.78449100000000005</v>
      </c>
      <c r="AM446" t="s">
        <v>41</v>
      </c>
      <c r="AN446">
        <v>58.084899999999998</v>
      </c>
      <c r="AO446" t="s">
        <v>42</v>
      </c>
      <c r="AP446">
        <v>31.055551999999999</v>
      </c>
    </row>
    <row r="447" spans="1:42" x14ac:dyDescent="0.3">
      <c r="A447" t="s">
        <v>22</v>
      </c>
      <c r="B447">
        <v>4.4700069999999998</v>
      </c>
      <c r="C447" t="s">
        <v>23</v>
      </c>
      <c r="D447">
        <v>0.99628399999999995</v>
      </c>
      <c r="E447" t="s">
        <v>24</v>
      </c>
      <c r="F447">
        <v>1.0147379999999999</v>
      </c>
      <c r="G447" t="s">
        <v>25</v>
      </c>
      <c r="H447">
        <v>0.91616900000000001</v>
      </c>
      <c r="I447" t="s">
        <v>26</v>
      </c>
      <c r="J447">
        <v>1.74E-4</v>
      </c>
      <c r="K447" t="s">
        <v>27</v>
      </c>
      <c r="L447">
        <v>2.1711999999999999E-2</v>
      </c>
      <c r="M447" t="s">
        <v>28</v>
      </c>
      <c r="N447">
        <v>1.9602000000000001E-2</v>
      </c>
      <c r="O447" t="s">
        <v>29</v>
      </c>
      <c r="P447">
        <v>0.172899</v>
      </c>
      <c r="Q447" t="s">
        <v>30</v>
      </c>
      <c r="R447">
        <v>7.4815999999999994E-2</v>
      </c>
      <c r="S447" t="s">
        <v>31</v>
      </c>
      <c r="T447">
        <v>0.59869000000000006</v>
      </c>
      <c r="U447" t="s">
        <v>32</v>
      </c>
      <c r="V447">
        <v>1.9505999999999999E-2</v>
      </c>
      <c r="W447" t="s">
        <v>33</v>
      </c>
      <c r="X447">
        <v>0.18995500000000001</v>
      </c>
      <c r="Y447" t="s">
        <v>34</v>
      </c>
      <c r="Z447">
        <v>0.104183</v>
      </c>
      <c r="AA447" t="s">
        <v>35</v>
      </c>
      <c r="AB447">
        <v>4.897E-2</v>
      </c>
      <c r="AC447" t="s">
        <v>36</v>
      </c>
      <c r="AD447">
        <v>0.26396399999999998</v>
      </c>
      <c r="AE447" t="s">
        <v>37</v>
      </c>
      <c r="AF447">
        <v>0.26155299999999998</v>
      </c>
      <c r="AG447" t="s">
        <v>38</v>
      </c>
      <c r="AH447">
        <v>0.990865</v>
      </c>
      <c r="AI447" t="s">
        <v>39</v>
      </c>
      <c r="AJ447">
        <v>0.77993699999999999</v>
      </c>
      <c r="AK447" t="s">
        <v>40</v>
      </c>
      <c r="AL447">
        <v>0.78449100000000005</v>
      </c>
      <c r="AM447" t="s">
        <v>41</v>
      </c>
      <c r="AN447">
        <v>58.215136999999999</v>
      </c>
      <c r="AO447" t="s">
        <v>42</v>
      </c>
      <c r="AP447">
        <v>31.122896000000001</v>
      </c>
    </row>
    <row r="448" spans="1:42" x14ac:dyDescent="0.3">
      <c r="A448" t="s">
        <v>22</v>
      </c>
      <c r="B448">
        <v>4.4800079999999998</v>
      </c>
      <c r="C448" t="s">
        <v>23</v>
      </c>
      <c r="D448">
        <v>0.99616199999999999</v>
      </c>
      <c r="E448" t="s">
        <v>24</v>
      </c>
      <c r="F448">
        <v>1.01454</v>
      </c>
      <c r="G448" t="s">
        <v>25</v>
      </c>
      <c r="H448">
        <v>0.91616900000000001</v>
      </c>
      <c r="I448" t="s">
        <v>26</v>
      </c>
      <c r="J448">
        <v>1.73E-4</v>
      </c>
      <c r="K448" t="s">
        <v>27</v>
      </c>
      <c r="L448">
        <v>2.1707000000000001E-2</v>
      </c>
      <c r="M448" t="s">
        <v>28</v>
      </c>
      <c r="N448">
        <v>1.9602000000000001E-2</v>
      </c>
      <c r="O448" t="s">
        <v>29</v>
      </c>
      <c r="P448">
        <v>0.173545</v>
      </c>
      <c r="Q448" t="s">
        <v>30</v>
      </c>
      <c r="R448">
        <v>7.5869000000000006E-2</v>
      </c>
      <c r="S448" t="s">
        <v>31</v>
      </c>
      <c r="T448">
        <v>0.59869000000000006</v>
      </c>
      <c r="U448" t="s">
        <v>32</v>
      </c>
      <c r="V448">
        <v>1.9463999999999999E-2</v>
      </c>
      <c r="W448" t="s">
        <v>33</v>
      </c>
      <c r="X448">
        <v>0.19007099999999999</v>
      </c>
      <c r="Y448" t="s">
        <v>34</v>
      </c>
      <c r="Z448">
        <v>0.104183</v>
      </c>
      <c r="AA448" t="s">
        <v>35</v>
      </c>
      <c r="AB448">
        <v>4.8864999999999999E-2</v>
      </c>
      <c r="AC448" t="s">
        <v>36</v>
      </c>
      <c r="AD448">
        <v>0.263955</v>
      </c>
      <c r="AE448" t="s">
        <v>37</v>
      </c>
      <c r="AF448">
        <v>0.26155299999999998</v>
      </c>
      <c r="AG448" t="s">
        <v>38</v>
      </c>
      <c r="AH448">
        <v>0.99090100000000003</v>
      </c>
      <c r="AI448" t="s">
        <v>39</v>
      </c>
      <c r="AJ448">
        <v>0.77995499999999995</v>
      </c>
      <c r="AK448" t="s">
        <v>40</v>
      </c>
      <c r="AL448">
        <v>0.78449100000000005</v>
      </c>
      <c r="AM448" t="s">
        <v>41</v>
      </c>
      <c r="AN448">
        <v>58.345371</v>
      </c>
      <c r="AO448" t="s">
        <v>42</v>
      </c>
      <c r="AP448">
        <v>31.190245000000001</v>
      </c>
    </row>
    <row r="449" spans="1:42" x14ac:dyDescent="0.3">
      <c r="A449" t="s">
        <v>22</v>
      </c>
      <c r="B449">
        <v>4.4900080000000004</v>
      </c>
      <c r="C449" t="s">
        <v>23</v>
      </c>
      <c r="D449">
        <v>0.99604000000000004</v>
      </c>
      <c r="E449" t="s">
        <v>24</v>
      </c>
      <c r="F449">
        <v>1.014343</v>
      </c>
      <c r="G449" t="s">
        <v>25</v>
      </c>
      <c r="H449">
        <v>0.91616900000000001</v>
      </c>
      <c r="I449" t="s">
        <v>26</v>
      </c>
      <c r="J449">
        <v>1.7200000000000001E-4</v>
      </c>
      <c r="K449" t="s">
        <v>27</v>
      </c>
      <c r="L449">
        <v>2.1703E-2</v>
      </c>
      <c r="M449" t="s">
        <v>28</v>
      </c>
      <c r="N449">
        <v>1.9602000000000001E-2</v>
      </c>
      <c r="O449" t="s">
        <v>29</v>
      </c>
      <c r="P449">
        <v>0.17419200000000001</v>
      </c>
      <c r="Q449" t="s">
        <v>30</v>
      </c>
      <c r="R449">
        <v>7.6918E-2</v>
      </c>
      <c r="S449" t="s">
        <v>31</v>
      </c>
      <c r="T449">
        <v>0.59869000000000006</v>
      </c>
      <c r="U449" t="s">
        <v>32</v>
      </c>
      <c r="V449">
        <v>1.9422999999999999E-2</v>
      </c>
      <c r="W449" t="s">
        <v>33</v>
      </c>
      <c r="X449">
        <v>0.19018699999999999</v>
      </c>
      <c r="Y449" t="s">
        <v>34</v>
      </c>
      <c r="Z449">
        <v>0.104183</v>
      </c>
      <c r="AA449" t="s">
        <v>35</v>
      </c>
      <c r="AB449">
        <v>4.8760999999999999E-2</v>
      </c>
      <c r="AC449" t="s">
        <v>36</v>
      </c>
      <c r="AD449">
        <v>0.26394499999999999</v>
      </c>
      <c r="AE449" t="s">
        <v>37</v>
      </c>
      <c r="AF449">
        <v>0.26155299999999998</v>
      </c>
      <c r="AG449" t="s">
        <v>38</v>
      </c>
      <c r="AH449">
        <v>0.99093699999999996</v>
      </c>
      <c r="AI449" t="s">
        <v>39</v>
      </c>
      <c r="AJ449">
        <v>0.77997399999999995</v>
      </c>
      <c r="AK449" t="s">
        <v>40</v>
      </c>
      <c r="AL449">
        <v>0.78449100000000005</v>
      </c>
      <c r="AM449" t="s">
        <v>41</v>
      </c>
      <c r="AN449">
        <v>58.475605000000002</v>
      </c>
      <c r="AO449" t="s">
        <v>42</v>
      </c>
      <c r="AP449">
        <v>31.257597000000001</v>
      </c>
    </row>
    <row r="450" spans="1:42" x14ac:dyDescent="0.3">
      <c r="A450" t="s">
        <v>22</v>
      </c>
      <c r="B450">
        <v>4.5000080000000002</v>
      </c>
      <c r="C450" t="s">
        <v>23</v>
      </c>
      <c r="D450">
        <v>0.995919</v>
      </c>
      <c r="E450" t="s">
        <v>24</v>
      </c>
      <c r="F450">
        <v>1.014146</v>
      </c>
      <c r="G450" t="s">
        <v>25</v>
      </c>
      <c r="H450">
        <v>0.91616900000000001</v>
      </c>
      <c r="I450" t="s">
        <v>26</v>
      </c>
      <c r="J450">
        <v>1.7200000000000001E-4</v>
      </c>
      <c r="K450" t="s">
        <v>27</v>
      </c>
      <c r="L450">
        <v>2.1699E-2</v>
      </c>
      <c r="M450" t="s">
        <v>28</v>
      </c>
      <c r="N450">
        <v>1.9602000000000001E-2</v>
      </c>
      <c r="O450" t="s">
        <v>29</v>
      </c>
      <c r="P450">
        <v>0.17483499999999999</v>
      </c>
      <c r="Q450" t="s">
        <v>30</v>
      </c>
      <c r="R450">
        <v>7.7963000000000005E-2</v>
      </c>
      <c r="S450" t="s">
        <v>31</v>
      </c>
      <c r="T450">
        <v>0.59869000000000006</v>
      </c>
      <c r="U450" t="s">
        <v>32</v>
      </c>
      <c r="V450">
        <v>1.9382E-2</v>
      </c>
      <c r="W450" t="s">
        <v>33</v>
      </c>
      <c r="X450">
        <v>0.190303</v>
      </c>
      <c r="Y450" t="s">
        <v>34</v>
      </c>
      <c r="Z450">
        <v>0.104183</v>
      </c>
      <c r="AA450" t="s">
        <v>35</v>
      </c>
      <c r="AB450">
        <v>4.8658E-2</v>
      </c>
      <c r="AC450" t="s">
        <v>36</v>
      </c>
      <c r="AD450">
        <v>0.263936</v>
      </c>
      <c r="AE450" t="s">
        <v>37</v>
      </c>
      <c r="AF450">
        <v>0.26155299999999998</v>
      </c>
      <c r="AG450" t="s">
        <v>38</v>
      </c>
      <c r="AH450">
        <v>0.99097299999999999</v>
      </c>
      <c r="AI450" t="s">
        <v>39</v>
      </c>
      <c r="AJ450">
        <v>0.77999099999999999</v>
      </c>
      <c r="AK450" t="s">
        <v>40</v>
      </c>
      <c r="AL450">
        <v>0.78449100000000005</v>
      </c>
      <c r="AM450" t="s">
        <v>41</v>
      </c>
      <c r="AN450">
        <v>58.605843</v>
      </c>
      <c r="AO450" t="s">
        <v>42</v>
      </c>
      <c r="AP450">
        <v>31.324950999999999</v>
      </c>
    </row>
    <row r="451" spans="1:42" x14ac:dyDescent="0.3">
      <c r="A451" t="s">
        <v>22</v>
      </c>
      <c r="B451">
        <v>4.510008</v>
      </c>
      <c r="C451" t="s">
        <v>23</v>
      </c>
      <c r="D451">
        <v>0.99579899999999999</v>
      </c>
      <c r="E451" t="s">
        <v>24</v>
      </c>
      <c r="F451">
        <v>1.013951</v>
      </c>
      <c r="G451" t="s">
        <v>25</v>
      </c>
      <c r="H451">
        <v>0.91616900000000001</v>
      </c>
      <c r="I451" t="s">
        <v>26</v>
      </c>
      <c r="J451">
        <v>1.7100000000000001E-4</v>
      </c>
      <c r="K451" t="s">
        <v>27</v>
      </c>
      <c r="L451">
        <v>2.1694999999999999E-2</v>
      </c>
      <c r="M451" t="s">
        <v>28</v>
      </c>
      <c r="N451">
        <v>1.9602000000000001E-2</v>
      </c>
      <c r="O451" t="s">
        <v>29</v>
      </c>
      <c r="P451">
        <v>0.17547699999999999</v>
      </c>
      <c r="Q451" t="s">
        <v>30</v>
      </c>
      <c r="R451">
        <v>7.9003000000000004E-2</v>
      </c>
      <c r="S451" t="s">
        <v>31</v>
      </c>
      <c r="T451">
        <v>0.59869000000000006</v>
      </c>
      <c r="U451" t="s">
        <v>32</v>
      </c>
      <c r="V451">
        <v>1.9341000000000001E-2</v>
      </c>
      <c r="W451" t="s">
        <v>33</v>
      </c>
      <c r="X451">
        <v>0.190418</v>
      </c>
      <c r="Y451" t="s">
        <v>34</v>
      </c>
      <c r="Z451">
        <v>0.104183</v>
      </c>
      <c r="AA451" t="s">
        <v>35</v>
      </c>
      <c r="AB451">
        <v>4.8555000000000001E-2</v>
      </c>
      <c r="AC451" t="s">
        <v>36</v>
      </c>
      <c r="AD451">
        <v>0.26392599999999999</v>
      </c>
      <c r="AE451" t="s">
        <v>37</v>
      </c>
      <c r="AF451">
        <v>0.26155299999999998</v>
      </c>
      <c r="AG451" t="s">
        <v>38</v>
      </c>
      <c r="AH451">
        <v>0.991008</v>
      </c>
      <c r="AI451" t="s">
        <v>39</v>
      </c>
      <c r="AJ451">
        <v>0.78000999999999998</v>
      </c>
      <c r="AK451" t="s">
        <v>40</v>
      </c>
      <c r="AL451">
        <v>0.78449100000000005</v>
      </c>
      <c r="AM451" t="s">
        <v>41</v>
      </c>
      <c r="AN451">
        <v>58.736075999999997</v>
      </c>
      <c r="AO451" t="s">
        <v>42</v>
      </c>
      <c r="AP451">
        <v>31.392309000000001</v>
      </c>
    </row>
    <row r="452" spans="1:42" x14ac:dyDescent="0.3">
      <c r="A452" t="s">
        <v>22</v>
      </c>
      <c r="B452">
        <v>4.5200089999999999</v>
      </c>
      <c r="C452" t="s">
        <v>23</v>
      </c>
      <c r="D452">
        <v>0.99567799999999995</v>
      </c>
      <c r="E452" t="s">
        <v>24</v>
      </c>
      <c r="F452">
        <v>1.0137560000000001</v>
      </c>
      <c r="G452" t="s">
        <v>25</v>
      </c>
      <c r="H452">
        <v>0.91616900000000001</v>
      </c>
      <c r="I452" t="s">
        <v>26</v>
      </c>
      <c r="J452">
        <v>1.7100000000000001E-4</v>
      </c>
      <c r="K452" t="s">
        <v>27</v>
      </c>
      <c r="L452">
        <v>2.1690999999999998E-2</v>
      </c>
      <c r="M452" t="s">
        <v>28</v>
      </c>
      <c r="N452">
        <v>1.9602000000000001E-2</v>
      </c>
      <c r="O452" t="s">
        <v>29</v>
      </c>
      <c r="P452">
        <v>0.176119</v>
      </c>
      <c r="Q452" t="s">
        <v>30</v>
      </c>
      <c r="R452">
        <v>8.004E-2</v>
      </c>
      <c r="S452" t="s">
        <v>31</v>
      </c>
      <c r="T452">
        <v>0.59869000000000006</v>
      </c>
      <c r="U452" t="s">
        <v>32</v>
      </c>
      <c r="V452">
        <v>1.9300000000000001E-2</v>
      </c>
      <c r="W452" t="s">
        <v>33</v>
      </c>
      <c r="X452">
        <v>0.19053400000000001</v>
      </c>
      <c r="Y452" t="s">
        <v>34</v>
      </c>
      <c r="Z452">
        <v>0.104183</v>
      </c>
      <c r="AA452" t="s">
        <v>35</v>
      </c>
      <c r="AB452">
        <v>4.8452000000000002E-2</v>
      </c>
      <c r="AC452" t="s">
        <v>36</v>
      </c>
      <c r="AD452">
        <v>0.26391700000000001</v>
      </c>
      <c r="AE452" t="s">
        <v>37</v>
      </c>
      <c r="AF452">
        <v>0.26155299999999998</v>
      </c>
      <c r="AG452" t="s">
        <v>38</v>
      </c>
      <c r="AH452">
        <v>0.99104400000000004</v>
      </c>
      <c r="AI452" t="s">
        <v>39</v>
      </c>
      <c r="AJ452">
        <v>0.78002800000000005</v>
      </c>
      <c r="AK452" t="s">
        <v>40</v>
      </c>
      <c r="AL452">
        <v>0.78449100000000005</v>
      </c>
      <c r="AM452" t="s">
        <v>41</v>
      </c>
      <c r="AN452">
        <v>58.866309999999999</v>
      </c>
      <c r="AO452" t="s">
        <v>42</v>
      </c>
      <c r="AP452">
        <v>31.459669000000002</v>
      </c>
    </row>
    <row r="453" spans="1:42" x14ac:dyDescent="0.3">
      <c r="A453" t="s">
        <v>22</v>
      </c>
      <c r="B453">
        <v>4.5300089999999997</v>
      </c>
      <c r="C453" t="s">
        <v>23</v>
      </c>
      <c r="D453">
        <v>0.99555800000000005</v>
      </c>
      <c r="E453" t="s">
        <v>24</v>
      </c>
      <c r="F453">
        <v>1.0135609999999999</v>
      </c>
      <c r="G453" t="s">
        <v>25</v>
      </c>
      <c r="H453">
        <v>0.91616900000000001</v>
      </c>
      <c r="I453" t="s">
        <v>26</v>
      </c>
      <c r="J453">
        <v>1.7000000000000001E-4</v>
      </c>
      <c r="K453" t="s">
        <v>27</v>
      </c>
      <c r="L453">
        <v>2.1686E-2</v>
      </c>
      <c r="M453" t="s">
        <v>28</v>
      </c>
      <c r="N453">
        <v>1.9602000000000001E-2</v>
      </c>
      <c r="O453" t="s">
        <v>29</v>
      </c>
      <c r="P453">
        <v>0.176757</v>
      </c>
      <c r="Q453" t="s">
        <v>30</v>
      </c>
      <c r="R453">
        <v>8.1072000000000005E-2</v>
      </c>
      <c r="S453" t="s">
        <v>31</v>
      </c>
      <c r="T453">
        <v>0.59869000000000006</v>
      </c>
      <c r="U453" t="s">
        <v>32</v>
      </c>
      <c r="V453">
        <v>1.9258999999999998E-2</v>
      </c>
      <c r="W453" t="s">
        <v>33</v>
      </c>
      <c r="X453">
        <v>0.19064999999999999</v>
      </c>
      <c r="Y453" t="s">
        <v>34</v>
      </c>
      <c r="Z453">
        <v>0.104183</v>
      </c>
      <c r="AA453" t="s">
        <v>35</v>
      </c>
      <c r="AB453">
        <v>4.8349999999999997E-2</v>
      </c>
      <c r="AC453" t="s">
        <v>36</v>
      </c>
      <c r="AD453">
        <v>0.26390799999999998</v>
      </c>
      <c r="AE453" t="s">
        <v>37</v>
      </c>
      <c r="AF453">
        <v>0.26155299999999998</v>
      </c>
      <c r="AG453" t="s">
        <v>38</v>
      </c>
      <c r="AH453">
        <v>0.99107900000000004</v>
      </c>
      <c r="AI453" t="s">
        <v>39</v>
      </c>
      <c r="AJ453">
        <v>0.78004499999999999</v>
      </c>
      <c r="AK453" t="s">
        <v>40</v>
      </c>
      <c r="AL453">
        <v>0.78449100000000005</v>
      </c>
      <c r="AM453" t="s">
        <v>41</v>
      </c>
      <c r="AN453">
        <v>58.996547999999997</v>
      </c>
      <c r="AO453" t="s">
        <v>42</v>
      </c>
      <c r="AP453">
        <v>31.527035000000001</v>
      </c>
    </row>
    <row r="454" spans="1:42" x14ac:dyDescent="0.3">
      <c r="A454" t="s">
        <v>22</v>
      </c>
      <c r="B454">
        <v>4.5400090000000004</v>
      </c>
      <c r="C454" t="s">
        <v>23</v>
      </c>
      <c r="D454">
        <v>0.99543800000000005</v>
      </c>
      <c r="E454" t="s">
        <v>24</v>
      </c>
      <c r="F454">
        <v>1.013368</v>
      </c>
      <c r="G454" t="s">
        <v>25</v>
      </c>
      <c r="H454">
        <v>0.91616900000000001</v>
      </c>
      <c r="I454" t="s">
        <v>26</v>
      </c>
      <c r="J454">
        <v>1.7000000000000001E-4</v>
      </c>
      <c r="K454" t="s">
        <v>27</v>
      </c>
      <c r="L454">
        <v>2.1682E-2</v>
      </c>
      <c r="M454" t="s">
        <v>28</v>
      </c>
      <c r="N454">
        <v>1.9602000000000001E-2</v>
      </c>
      <c r="O454" t="s">
        <v>29</v>
      </c>
      <c r="P454">
        <v>0.177394</v>
      </c>
      <c r="Q454" t="s">
        <v>30</v>
      </c>
      <c r="R454">
        <v>8.2100000000000006E-2</v>
      </c>
      <c r="S454" t="s">
        <v>31</v>
      </c>
      <c r="T454">
        <v>0.59869000000000006</v>
      </c>
      <c r="U454" t="s">
        <v>32</v>
      </c>
      <c r="V454">
        <v>1.9217999999999999E-2</v>
      </c>
      <c r="W454" t="s">
        <v>33</v>
      </c>
      <c r="X454">
        <v>0.19076599999999999</v>
      </c>
      <c r="Y454" t="s">
        <v>34</v>
      </c>
      <c r="Z454">
        <v>0.104183</v>
      </c>
      <c r="AA454" t="s">
        <v>35</v>
      </c>
      <c r="AB454">
        <v>4.8247999999999999E-2</v>
      </c>
      <c r="AC454" t="s">
        <v>36</v>
      </c>
      <c r="AD454">
        <v>0.26389800000000002</v>
      </c>
      <c r="AE454" t="s">
        <v>37</v>
      </c>
      <c r="AF454">
        <v>0.26155299999999998</v>
      </c>
      <c r="AG454" t="s">
        <v>38</v>
      </c>
      <c r="AH454">
        <v>0.99111400000000005</v>
      </c>
      <c r="AI454" t="s">
        <v>39</v>
      </c>
      <c r="AJ454">
        <v>0.78006299999999995</v>
      </c>
      <c r="AK454" t="s">
        <v>40</v>
      </c>
      <c r="AL454">
        <v>0.78449100000000005</v>
      </c>
      <c r="AM454" t="s">
        <v>41</v>
      </c>
      <c r="AN454">
        <v>59.126781000000001</v>
      </c>
      <c r="AO454" t="s">
        <v>42</v>
      </c>
      <c r="AP454">
        <v>31.594401999999999</v>
      </c>
    </row>
    <row r="455" spans="1:42" x14ac:dyDescent="0.3">
      <c r="A455" t="s">
        <v>22</v>
      </c>
      <c r="B455">
        <v>4.5500090000000002</v>
      </c>
      <c r="C455" t="s">
        <v>23</v>
      </c>
      <c r="D455">
        <v>0.99531800000000004</v>
      </c>
      <c r="E455" t="s">
        <v>24</v>
      </c>
      <c r="F455">
        <v>1.0131749999999999</v>
      </c>
      <c r="G455" t="s">
        <v>25</v>
      </c>
      <c r="H455">
        <v>0.91616900000000001</v>
      </c>
      <c r="I455" t="s">
        <v>26</v>
      </c>
      <c r="J455">
        <v>1.6899999999999999E-4</v>
      </c>
      <c r="K455" t="s">
        <v>27</v>
      </c>
      <c r="L455">
        <v>2.1677999999999999E-2</v>
      </c>
      <c r="M455" t="s">
        <v>28</v>
      </c>
      <c r="N455">
        <v>1.9602000000000001E-2</v>
      </c>
      <c r="O455" t="s">
        <v>29</v>
      </c>
      <c r="P455">
        <v>0.17802899999999999</v>
      </c>
      <c r="Q455" t="s">
        <v>30</v>
      </c>
      <c r="R455">
        <v>8.3125000000000004E-2</v>
      </c>
      <c r="S455" t="s">
        <v>31</v>
      </c>
      <c r="T455">
        <v>0.59869000000000006</v>
      </c>
      <c r="U455" t="s">
        <v>32</v>
      </c>
      <c r="V455">
        <v>1.9178000000000001E-2</v>
      </c>
      <c r="W455" t="s">
        <v>33</v>
      </c>
      <c r="X455">
        <v>0.190882</v>
      </c>
      <c r="Y455" t="s">
        <v>34</v>
      </c>
      <c r="Z455">
        <v>0.104183</v>
      </c>
      <c r="AA455" t="s">
        <v>35</v>
      </c>
      <c r="AB455">
        <v>4.8147000000000002E-2</v>
      </c>
      <c r="AC455" t="s">
        <v>36</v>
      </c>
      <c r="AD455">
        <v>0.26388899999999998</v>
      </c>
      <c r="AE455" t="s">
        <v>37</v>
      </c>
      <c r="AF455">
        <v>0.26155299999999998</v>
      </c>
      <c r="AG455" t="s">
        <v>38</v>
      </c>
      <c r="AH455">
        <v>0.99114899999999995</v>
      </c>
      <c r="AI455" t="s">
        <v>39</v>
      </c>
      <c r="AJ455">
        <v>0.78008</v>
      </c>
      <c r="AK455" t="s">
        <v>40</v>
      </c>
      <c r="AL455">
        <v>0.78449100000000005</v>
      </c>
      <c r="AM455" t="s">
        <v>41</v>
      </c>
      <c r="AN455">
        <v>59.257019</v>
      </c>
      <c r="AO455" t="s">
        <v>42</v>
      </c>
      <c r="AP455">
        <v>31.661776</v>
      </c>
    </row>
    <row r="456" spans="1:42" x14ac:dyDescent="0.3">
      <c r="A456" t="s">
        <v>22</v>
      </c>
      <c r="B456">
        <v>4.560009</v>
      </c>
      <c r="C456" t="s">
        <v>23</v>
      </c>
      <c r="D456">
        <v>0.99519899999999994</v>
      </c>
      <c r="E456" t="s">
        <v>24</v>
      </c>
      <c r="F456">
        <v>1.012983</v>
      </c>
      <c r="G456" t="s">
        <v>25</v>
      </c>
      <c r="H456">
        <v>0.91616900000000001</v>
      </c>
      <c r="I456" t="s">
        <v>26</v>
      </c>
      <c r="J456">
        <v>1.6899999999999999E-4</v>
      </c>
      <c r="K456" t="s">
        <v>27</v>
      </c>
      <c r="L456">
        <v>2.1673999999999999E-2</v>
      </c>
      <c r="M456" t="s">
        <v>28</v>
      </c>
      <c r="N456">
        <v>1.9602000000000001E-2</v>
      </c>
      <c r="O456" t="s">
        <v>29</v>
      </c>
      <c r="P456">
        <v>0.17866399999999999</v>
      </c>
      <c r="Q456" t="s">
        <v>30</v>
      </c>
      <c r="R456">
        <v>8.4145999999999999E-2</v>
      </c>
      <c r="S456" t="s">
        <v>31</v>
      </c>
      <c r="T456">
        <v>0.59869000000000006</v>
      </c>
      <c r="U456" t="s">
        <v>32</v>
      </c>
      <c r="V456">
        <v>1.9137999999999999E-2</v>
      </c>
      <c r="W456" t="s">
        <v>33</v>
      </c>
      <c r="X456">
        <v>0.190998</v>
      </c>
      <c r="Y456" t="s">
        <v>34</v>
      </c>
      <c r="Z456">
        <v>0.104183</v>
      </c>
      <c r="AA456" t="s">
        <v>35</v>
      </c>
      <c r="AB456">
        <v>4.8044999999999997E-2</v>
      </c>
      <c r="AC456" t="s">
        <v>36</v>
      </c>
      <c r="AD456">
        <v>0.26388</v>
      </c>
      <c r="AE456" t="s">
        <v>37</v>
      </c>
      <c r="AF456">
        <v>0.26155299999999998</v>
      </c>
      <c r="AG456" t="s">
        <v>38</v>
      </c>
      <c r="AH456">
        <v>0.99118300000000004</v>
      </c>
      <c r="AI456" t="s">
        <v>39</v>
      </c>
      <c r="AJ456">
        <v>0.78009799999999996</v>
      </c>
      <c r="AK456" t="s">
        <v>40</v>
      </c>
      <c r="AL456">
        <v>0.78449100000000005</v>
      </c>
      <c r="AM456" t="s">
        <v>41</v>
      </c>
      <c r="AN456">
        <v>59.387253000000001</v>
      </c>
      <c r="AO456" t="s">
        <v>42</v>
      </c>
      <c r="AP456">
        <v>31.729151000000002</v>
      </c>
    </row>
    <row r="457" spans="1:42" x14ac:dyDescent="0.3">
      <c r="A457" t="s">
        <v>22</v>
      </c>
      <c r="B457">
        <v>4.5700099999999999</v>
      </c>
      <c r="C457" t="s">
        <v>23</v>
      </c>
      <c r="D457">
        <v>0.99507999999999996</v>
      </c>
      <c r="E457" t="s">
        <v>24</v>
      </c>
      <c r="F457">
        <v>1.0127919999999999</v>
      </c>
      <c r="G457" t="s">
        <v>25</v>
      </c>
      <c r="H457">
        <v>0.91616900000000001</v>
      </c>
      <c r="I457" t="s">
        <v>26</v>
      </c>
      <c r="J457">
        <v>1.6799999999999999E-4</v>
      </c>
      <c r="K457" t="s">
        <v>27</v>
      </c>
      <c r="L457">
        <v>2.1669999999999998E-2</v>
      </c>
      <c r="M457" t="s">
        <v>28</v>
      </c>
      <c r="N457">
        <v>1.9602000000000001E-2</v>
      </c>
      <c r="O457" t="s">
        <v>29</v>
      </c>
      <c r="P457">
        <v>0.17929500000000001</v>
      </c>
      <c r="Q457" t="s">
        <v>30</v>
      </c>
      <c r="R457">
        <v>8.5162000000000002E-2</v>
      </c>
      <c r="S457" t="s">
        <v>31</v>
      </c>
      <c r="T457">
        <v>0.59869000000000006</v>
      </c>
      <c r="U457" t="s">
        <v>32</v>
      </c>
      <c r="V457">
        <v>1.9098E-2</v>
      </c>
      <c r="W457" t="s">
        <v>33</v>
      </c>
      <c r="X457">
        <v>0.19111400000000001</v>
      </c>
      <c r="Y457" t="s">
        <v>34</v>
      </c>
      <c r="Z457">
        <v>0.104183</v>
      </c>
      <c r="AA457" t="s">
        <v>35</v>
      </c>
      <c r="AB457">
        <v>4.7945000000000002E-2</v>
      </c>
      <c r="AC457" t="s">
        <v>36</v>
      </c>
      <c r="AD457">
        <v>0.26387100000000002</v>
      </c>
      <c r="AE457" t="s">
        <v>37</v>
      </c>
      <c r="AF457">
        <v>0.26155299999999998</v>
      </c>
      <c r="AG457" t="s">
        <v>38</v>
      </c>
      <c r="AH457">
        <v>0.99121700000000001</v>
      </c>
      <c r="AI457" t="s">
        <v>39</v>
      </c>
      <c r="AJ457">
        <v>0.780115</v>
      </c>
      <c r="AK457" t="s">
        <v>40</v>
      </c>
      <c r="AL457">
        <v>0.78449100000000005</v>
      </c>
      <c r="AM457" t="s">
        <v>41</v>
      </c>
      <c r="AN457">
        <v>59.517487000000003</v>
      </c>
      <c r="AO457" t="s">
        <v>42</v>
      </c>
      <c r="AP457">
        <v>31.796527999999999</v>
      </c>
    </row>
    <row r="458" spans="1:42" x14ac:dyDescent="0.3">
      <c r="A458" t="s">
        <v>22</v>
      </c>
      <c r="B458">
        <v>4.5800099999999997</v>
      </c>
      <c r="C458" t="s">
        <v>23</v>
      </c>
      <c r="D458">
        <v>0.99496200000000001</v>
      </c>
      <c r="E458" t="s">
        <v>24</v>
      </c>
      <c r="F458">
        <v>1.0126010000000001</v>
      </c>
      <c r="G458" t="s">
        <v>25</v>
      </c>
      <c r="H458">
        <v>0.91616900000000001</v>
      </c>
      <c r="I458" t="s">
        <v>26</v>
      </c>
      <c r="J458">
        <v>1.6799999999999999E-4</v>
      </c>
      <c r="K458" t="s">
        <v>27</v>
      </c>
      <c r="L458">
        <v>2.1666000000000001E-2</v>
      </c>
      <c r="M458" t="s">
        <v>28</v>
      </c>
      <c r="N458">
        <v>1.9602000000000001E-2</v>
      </c>
      <c r="O458" t="s">
        <v>29</v>
      </c>
      <c r="P458">
        <v>0.179925</v>
      </c>
      <c r="Q458" t="s">
        <v>30</v>
      </c>
      <c r="R458">
        <v>8.6174000000000001E-2</v>
      </c>
      <c r="S458" t="s">
        <v>31</v>
      </c>
      <c r="T458">
        <v>0.59869000000000006</v>
      </c>
      <c r="U458" t="s">
        <v>32</v>
      </c>
      <c r="V458">
        <v>1.9057999999999999E-2</v>
      </c>
      <c r="W458" t="s">
        <v>33</v>
      </c>
      <c r="X458">
        <v>0.19123000000000001</v>
      </c>
      <c r="Y458" t="s">
        <v>34</v>
      </c>
      <c r="Z458">
        <v>0.104183</v>
      </c>
      <c r="AA458" t="s">
        <v>35</v>
      </c>
      <c r="AB458">
        <v>4.7844999999999999E-2</v>
      </c>
      <c r="AC458" t="s">
        <v>36</v>
      </c>
      <c r="AD458">
        <v>0.26386100000000001</v>
      </c>
      <c r="AE458" t="s">
        <v>37</v>
      </c>
      <c r="AF458">
        <v>0.26155299999999998</v>
      </c>
      <c r="AG458" t="s">
        <v>38</v>
      </c>
      <c r="AH458">
        <v>0.99125200000000002</v>
      </c>
      <c r="AI458" t="s">
        <v>39</v>
      </c>
      <c r="AJ458">
        <v>0.78013299999999997</v>
      </c>
      <c r="AK458" t="s">
        <v>40</v>
      </c>
      <c r="AL458">
        <v>0.78449100000000005</v>
      </c>
      <c r="AM458" t="s">
        <v>41</v>
      </c>
      <c r="AN458">
        <v>59.647723999999997</v>
      </c>
      <c r="AO458" t="s">
        <v>42</v>
      </c>
      <c r="AP458">
        <v>31.863909</v>
      </c>
    </row>
    <row r="459" spans="1:42" x14ac:dyDescent="0.3">
      <c r="A459" t="s">
        <v>22</v>
      </c>
      <c r="B459">
        <v>4.5900100000000004</v>
      </c>
      <c r="C459" t="s">
        <v>23</v>
      </c>
      <c r="D459">
        <v>0.99484300000000003</v>
      </c>
      <c r="E459" t="s">
        <v>24</v>
      </c>
      <c r="F459">
        <v>1.0124120000000001</v>
      </c>
      <c r="G459" t="s">
        <v>25</v>
      </c>
      <c r="H459">
        <v>0.91616900000000001</v>
      </c>
      <c r="I459" t="s">
        <v>26</v>
      </c>
      <c r="J459">
        <v>1.6699999999999999E-4</v>
      </c>
      <c r="K459" t="s">
        <v>27</v>
      </c>
      <c r="L459">
        <v>2.1662000000000001E-2</v>
      </c>
      <c r="M459" t="s">
        <v>28</v>
      </c>
      <c r="N459">
        <v>1.9602000000000001E-2</v>
      </c>
      <c r="O459" t="s">
        <v>29</v>
      </c>
      <c r="P459">
        <v>0.18055499999999999</v>
      </c>
      <c r="Q459" t="s">
        <v>30</v>
      </c>
      <c r="R459">
        <v>8.7182999999999997E-2</v>
      </c>
      <c r="S459" t="s">
        <v>31</v>
      </c>
      <c r="T459">
        <v>0.59869000000000006</v>
      </c>
      <c r="U459" t="s">
        <v>32</v>
      </c>
      <c r="V459">
        <v>1.9018E-2</v>
      </c>
      <c r="W459" t="s">
        <v>33</v>
      </c>
      <c r="X459">
        <v>0.19134599999999999</v>
      </c>
      <c r="Y459" t="s">
        <v>34</v>
      </c>
      <c r="Z459">
        <v>0.104183</v>
      </c>
      <c r="AA459" t="s">
        <v>35</v>
      </c>
      <c r="AB459">
        <v>4.7745000000000003E-2</v>
      </c>
      <c r="AC459" t="s">
        <v>36</v>
      </c>
      <c r="AD459">
        <v>0.263853</v>
      </c>
      <c r="AE459" t="s">
        <v>37</v>
      </c>
      <c r="AF459">
        <v>0.26155299999999998</v>
      </c>
      <c r="AG459" t="s">
        <v>38</v>
      </c>
      <c r="AH459">
        <v>0.99128499999999997</v>
      </c>
      <c r="AI459" t="s">
        <v>39</v>
      </c>
      <c r="AJ459">
        <v>0.78015000000000001</v>
      </c>
      <c r="AK459" t="s">
        <v>40</v>
      </c>
      <c r="AL459">
        <v>0.78449100000000005</v>
      </c>
      <c r="AM459" t="s">
        <v>41</v>
      </c>
      <c r="AN459">
        <v>59.777957999999998</v>
      </c>
      <c r="AO459" t="s">
        <v>42</v>
      </c>
      <c r="AP459">
        <v>31.931293</v>
      </c>
    </row>
    <row r="460" spans="1:42" x14ac:dyDescent="0.3">
      <c r="A460" t="s">
        <v>22</v>
      </c>
      <c r="B460">
        <v>4.6000100000000002</v>
      </c>
      <c r="C460" t="s">
        <v>23</v>
      </c>
      <c r="D460">
        <v>0.99472499999999997</v>
      </c>
      <c r="E460" t="s">
        <v>24</v>
      </c>
      <c r="F460">
        <v>1.0122230000000001</v>
      </c>
      <c r="G460" t="s">
        <v>25</v>
      </c>
      <c r="H460">
        <v>0.91616900000000001</v>
      </c>
      <c r="I460" t="s">
        <v>26</v>
      </c>
      <c r="J460">
        <v>1.66E-4</v>
      </c>
      <c r="K460" t="s">
        <v>27</v>
      </c>
      <c r="L460">
        <v>2.1658E-2</v>
      </c>
      <c r="M460" t="s">
        <v>28</v>
      </c>
      <c r="N460">
        <v>1.9602000000000001E-2</v>
      </c>
      <c r="O460" t="s">
        <v>29</v>
      </c>
      <c r="P460">
        <v>0.18118300000000001</v>
      </c>
      <c r="Q460" t="s">
        <v>30</v>
      </c>
      <c r="R460">
        <v>8.8188000000000002E-2</v>
      </c>
      <c r="S460" t="s">
        <v>31</v>
      </c>
      <c r="T460">
        <v>0.59869000000000006</v>
      </c>
      <c r="U460" t="s">
        <v>32</v>
      </c>
      <c r="V460">
        <v>1.8977999999999998E-2</v>
      </c>
      <c r="W460" t="s">
        <v>33</v>
      </c>
      <c r="X460">
        <v>0.19146099999999999</v>
      </c>
      <c r="Y460" t="s">
        <v>34</v>
      </c>
      <c r="Z460">
        <v>0.104183</v>
      </c>
      <c r="AA460" t="s">
        <v>35</v>
      </c>
      <c r="AB460">
        <v>4.7645E-2</v>
      </c>
      <c r="AC460" t="s">
        <v>36</v>
      </c>
      <c r="AD460">
        <v>0.26384400000000002</v>
      </c>
      <c r="AE460" t="s">
        <v>37</v>
      </c>
      <c r="AF460">
        <v>0.26155299999999998</v>
      </c>
      <c r="AG460" t="s">
        <v>38</v>
      </c>
      <c r="AH460">
        <v>0.99131899999999995</v>
      </c>
      <c r="AI460" t="s">
        <v>39</v>
      </c>
      <c r="AJ460">
        <v>0.78016600000000003</v>
      </c>
      <c r="AK460" t="s">
        <v>40</v>
      </c>
      <c r="AL460">
        <v>0.78449100000000005</v>
      </c>
      <c r="AM460" t="s">
        <v>41</v>
      </c>
      <c r="AN460">
        <v>59.908192</v>
      </c>
      <c r="AO460" t="s">
        <v>42</v>
      </c>
      <c r="AP460">
        <v>31.99868</v>
      </c>
    </row>
    <row r="461" spans="1:42" x14ac:dyDescent="0.3">
      <c r="A461" t="s">
        <v>22</v>
      </c>
      <c r="B461">
        <v>4.6100110000000001</v>
      </c>
      <c r="C461" t="s">
        <v>23</v>
      </c>
      <c r="D461">
        <v>0.99460800000000005</v>
      </c>
      <c r="E461" t="s">
        <v>24</v>
      </c>
      <c r="F461">
        <v>1.0120340000000001</v>
      </c>
      <c r="G461" t="s">
        <v>25</v>
      </c>
      <c r="H461">
        <v>0.91616900000000001</v>
      </c>
      <c r="I461" t="s">
        <v>26</v>
      </c>
      <c r="J461">
        <v>1.66E-4</v>
      </c>
      <c r="K461" t="s">
        <v>27</v>
      </c>
      <c r="L461">
        <v>2.1654E-2</v>
      </c>
      <c r="M461" t="s">
        <v>28</v>
      </c>
      <c r="N461">
        <v>1.9602000000000001E-2</v>
      </c>
      <c r="O461" t="s">
        <v>29</v>
      </c>
      <c r="P461">
        <v>0.181807</v>
      </c>
      <c r="Q461" t="s">
        <v>30</v>
      </c>
      <c r="R461">
        <v>8.9189000000000004E-2</v>
      </c>
      <c r="S461" t="s">
        <v>31</v>
      </c>
      <c r="T461">
        <v>0.59869000000000006</v>
      </c>
      <c r="U461" t="s">
        <v>32</v>
      </c>
      <c r="V461">
        <v>1.8939000000000001E-2</v>
      </c>
      <c r="W461" t="s">
        <v>33</v>
      </c>
      <c r="X461">
        <v>0.191577</v>
      </c>
      <c r="Y461" t="s">
        <v>34</v>
      </c>
      <c r="Z461">
        <v>0.104183</v>
      </c>
      <c r="AA461" t="s">
        <v>35</v>
      </c>
      <c r="AB461">
        <v>4.7545999999999998E-2</v>
      </c>
      <c r="AC461" t="s">
        <v>36</v>
      </c>
      <c r="AD461">
        <v>0.26383499999999999</v>
      </c>
      <c r="AE461" t="s">
        <v>37</v>
      </c>
      <c r="AF461">
        <v>0.26155299999999998</v>
      </c>
      <c r="AG461" t="s">
        <v>38</v>
      </c>
      <c r="AH461">
        <v>0.99135300000000004</v>
      </c>
      <c r="AI461" t="s">
        <v>39</v>
      </c>
      <c r="AJ461">
        <v>0.78018399999999999</v>
      </c>
      <c r="AK461" t="s">
        <v>40</v>
      </c>
      <c r="AL461">
        <v>0.78449100000000005</v>
      </c>
      <c r="AM461" t="s">
        <v>41</v>
      </c>
      <c r="AN461">
        <v>60.038429000000001</v>
      </c>
      <c r="AO461" t="s">
        <v>42</v>
      </c>
      <c r="AP461">
        <v>32.066071000000001</v>
      </c>
    </row>
    <row r="462" spans="1:42" x14ac:dyDescent="0.3">
      <c r="A462" t="s">
        <v>22</v>
      </c>
      <c r="B462">
        <v>4.6200109999999999</v>
      </c>
      <c r="C462" t="s">
        <v>23</v>
      </c>
      <c r="D462">
        <v>0.99448999999999999</v>
      </c>
      <c r="E462" t="s">
        <v>24</v>
      </c>
      <c r="F462">
        <v>1.0118469999999999</v>
      </c>
      <c r="G462" t="s">
        <v>25</v>
      </c>
      <c r="H462">
        <v>0.91616900000000001</v>
      </c>
      <c r="I462" t="s">
        <v>26</v>
      </c>
      <c r="J462">
        <v>1.65E-4</v>
      </c>
      <c r="K462" t="s">
        <v>27</v>
      </c>
      <c r="L462">
        <v>2.1649999999999999E-2</v>
      </c>
      <c r="M462" t="s">
        <v>28</v>
      </c>
      <c r="N462">
        <v>1.9602000000000001E-2</v>
      </c>
      <c r="O462" t="s">
        <v>29</v>
      </c>
      <c r="P462">
        <v>0.18243200000000001</v>
      </c>
      <c r="Q462" t="s">
        <v>30</v>
      </c>
      <c r="R462">
        <v>9.0185000000000001E-2</v>
      </c>
      <c r="S462" t="s">
        <v>31</v>
      </c>
      <c r="T462">
        <v>0.59869000000000006</v>
      </c>
      <c r="U462" t="s">
        <v>32</v>
      </c>
      <c r="V462">
        <v>1.89E-2</v>
      </c>
      <c r="W462" t="s">
        <v>33</v>
      </c>
      <c r="X462">
        <v>0.191693</v>
      </c>
      <c r="Y462" t="s">
        <v>34</v>
      </c>
      <c r="Z462">
        <v>0.104183</v>
      </c>
      <c r="AA462" t="s">
        <v>35</v>
      </c>
      <c r="AB462">
        <v>4.7447999999999997E-2</v>
      </c>
      <c r="AC462" t="s">
        <v>36</v>
      </c>
      <c r="AD462">
        <v>0.263826</v>
      </c>
      <c r="AE462" t="s">
        <v>37</v>
      </c>
      <c r="AF462">
        <v>0.26155299999999998</v>
      </c>
      <c r="AG462" t="s">
        <v>38</v>
      </c>
      <c r="AH462">
        <v>0.99138599999999999</v>
      </c>
      <c r="AI462" t="s">
        <v>39</v>
      </c>
      <c r="AJ462">
        <v>0.78020100000000003</v>
      </c>
      <c r="AK462" t="s">
        <v>40</v>
      </c>
      <c r="AL462">
        <v>0.78449100000000005</v>
      </c>
      <c r="AM462" t="s">
        <v>41</v>
      </c>
      <c r="AN462">
        <v>60.168663000000002</v>
      </c>
      <c r="AO462" t="s">
        <v>42</v>
      </c>
      <c r="AP462">
        <v>32.133465000000001</v>
      </c>
    </row>
    <row r="463" spans="1:42" x14ac:dyDescent="0.3">
      <c r="A463" t="s">
        <v>22</v>
      </c>
      <c r="B463">
        <v>4.6300109999999997</v>
      </c>
      <c r="C463" t="s">
        <v>23</v>
      </c>
      <c r="D463">
        <v>0.99437299999999995</v>
      </c>
      <c r="E463" t="s">
        <v>24</v>
      </c>
      <c r="F463">
        <v>1.01166</v>
      </c>
      <c r="G463" t="s">
        <v>25</v>
      </c>
      <c r="H463">
        <v>0.91616900000000001</v>
      </c>
      <c r="I463" t="s">
        <v>26</v>
      </c>
      <c r="J463">
        <v>1.65E-4</v>
      </c>
      <c r="K463" t="s">
        <v>27</v>
      </c>
      <c r="L463">
        <v>2.1645999999999999E-2</v>
      </c>
      <c r="M463" t="s">
        <v>28</v>
      </c>
      <c r="N463">
        <v>1.9602000000000001E-2</v>
      </c>
      <c r="O463" t="s">
        <v>29</v>
      </c>
      <c r="P463">
        <v>0.183055</v>
      </c>
      <c r="Q463" t="s">
        <v>30</v>
      </c>
      <c r="R463">
        <v>9.1178999999999996E-2</v>
      </c>
      <c r="S463" t="s">
        <v>31</v>
      </c>
      <c r="T463">
        <v>0.59869000000000006</v>
      </c>
      <c r="U463" t="s">
        <v>32</v>
      </c>
      <c r="V463">
        <v>1.8859999999999998E-2</v>
      </c>
      <c r="W463" t="s">
        <v>33</v>
      </c>
      <c r="X463">
        <v>0.19180900000000001</v>
      </c>
      <c r="Y463" t="s">
        <v>34</v>
      </c>
      <c r="Z463">
        <v>0.104183</v>
      </c>
      <c r="AA463" t="s">
        <v>35</v>
      </c>
      <c r="AB463">
        <v>4.7349000000000002E-2</v>
      </c>
      <c r="AC463" t="s">
        <v>36</v>
      </c>
      <c r="AD463">
        <v>0.26381700000000002</v>
      </c>
      <c r="AE463" t="s">
        <v>37</v>
      </c>
      <c r="AF463">
        <v>0.26155299999999998</v>
      </c>
      <c r="AG463" t="s">
        <v>38</v>
      </c>
      <c r="AH463">
        <v>0.99141900000000005</v>
      </c>
      <c r="AI463" t="s">
        <v>39</v>
      </c>
      <c r="AJ463">
        <v>0.78021700000000005</v>
      </c>
      <c r="AK463" t="s">
        <v>40</v>
      </c>
      <c r="AL463">
        <v>0.78449100000000005</v>
      </c>
      <c r="AM463" t="s">
        <v>41</v>
      </c>
      <c r="AN463">
        <v>60.298901000000001</v>
      </c>
      <c r="AO463" t="s">
        <v>42</v>
      </c>
      <c r="AP463">
        <v>32.200859000000001</v>
      </c>
    </row>
    <row r="464" spans="1:42" x14ac:dyDescent="0.3">
      <c r="A464" t="s">
        <v>22</v>
      </c>
      <c r="B464">
        <v>4.6400110000000003</v>
      </c>
      <c r="C464" t="s">
        <v>23</v>
      </c>
      <c r="D464">
        <v>0.99425600000000003</v>
      </c>
      <c r="E464" t="s">
        <v>24</v>
      </c>
      <c r="F464">
        <v>1.011474</v>
      </c>
      <c r="G464" t="s">
        <v>25</v>
      </c>
      <c r="H464">
        <v>0.91616900000000001</v>
      </c>
      <c r="I464" t="s">
        <v>26</v>
      </c>
      <c r="J464">
        <v>1.64E-4</v>
      </c>
      <c r="K464" t="s">
        <v>27</v>
      </c>
      <c r="L464">
        <v>2.1642000000000002E-2</v>
      </c>
      <c r="M464" t="s">
        <v>28</v>
      </c>
      <c r="N464">
        <v>1.9602000000000001E-2</v>
      </c>
      <c r="O464" t="s">
        <v>29</v>
      </c>
      <c r="P464">
        <v>0.183674</v>
      </c>
      <c r="Q464" t="s">
        <v>30</v>
      </c>
      <c r="R464">
        <v>9.2168E-2</v>
      </c>
      <c r="S464" t="s">
        <v>31</v>
      </c>
      <c r="T464">
        <v>0.59869000000000006</v>
      </c>
      <c r="U464" t="s">
        <v>32</v>
      </c>
      <c r="V464">
        <v>1.8821000000000001E-2</v>
      </c>
      <c r="W464" t="s">
        <v>33</v>
      </c>
      <c r="X464">
        <v>0.19192500000000001</v>
      </c>
      <c r="Y464" t="s">
        <v>34</v>
      </c>
      <c r="Z464">
        <v>0.104183</v>
      </c>
      <c r="AA464" t="s">
        <v>35</v>
      </c>
      <c r="AB464">
        <v>4.7251000000000001E-2</v>
      </c>
      <c r="AC464" t="s">
        <v>36</v>
      </c>
      <c r="AD464">
        <v>0.26380799999999999</v>
      </c>
      <c r="AE464" t="s">
        <v>37</v>
      </c>
      <c r="AF464">
        <v>0.26155299999999998</v>
      </c>
      <c r="AG464" t="s">
        <v>38</v>
      </c>
      <c r="AH464">
        <v>0.991452</v>
      </c>
      <c r="AI464" t="s">
        <v>39</v>
      </c>
      <c r="AJ464">
        <v>0.78023399999999998</v>
      </c>
      <c r="AK464" t="s">
        <v>40</v>
      </c>
      <c r="AL464">
        <v>0.78449100000000005</v>
      </c>
      <c r="AM464" t="s">
        <v>41</v>
      </c>
      <c r="AN464">
        <v>60.429133999999998</v>
      </c>
      <c r="AO464" t="s">
        <v>42</v>
      </c>
      <c r="AP464">
        <v>32.268261000000003</v>
      </c>
    </row>
    <row r="465" spans="1:42" x14ac:dyDescent="0.3">
      <c r="A465" t="s">
        <v>22</v>
      </c>
      <c r="B465">
        <v>4.6500120000000003</v>
      </c>
      <c r="C465" t="s">
        <v>23</v>
      </c>
      <c r="D465">
        <v>0.99414000000000002</v>
      </c>
      <c r="E465" t="s">
        <v>24</v>
      </c>
      <c r="F465">
        <v>1.011288</v>
      </c>
      <c r="G465" t="s">
        <v>25</v>
      </c>
      <c r="H465">
        <v>0.91616900000000001</v>
      </c>
      <c r="I465" t="s">
        <v>26</v>
      </c>
      <c r="J465">
        <v>1.64E-4</v>
      </c>
      <c r="K465" t="s">
        <v>27</v>
      </c>
      <c r="L465">
        <v>2.1638000000000001E-2</v>
      </c>
      <c r="M465" t="s">
        <v>28</v>
      </c>
      <c r="N465">
        <v>1.9602000000000001E-2</v>
      </c>
      <c r="O465" t="s">
        <v>29</v>
      </c>
      <c r="P465">
        <v>0.18429499999999999</v>
      </c>
      <c r="Q465" t="s">
        <v>30</v>
      </c>
      <c r="R465">
        <v>9.3154000000000001E-2</v>
      </c>
      <c r="S465" t="s">
        <v>31</v>
      </c>
      <c r="T465">
        <v>0.59869000000000006</v>
      </c>
      <c r="U465" t="s">
        <v>32</v>
      </c>
      <c r="V465">
        <v>1.8783000000000001E-2</v>
      </c>
      <c r="W465" t="s">
        <v>33</v>
      </c>
      <c r="X465">
        <v>0.19203999999999999</v>
      </c>
      <c r="Y465" t="s">
        <v>34</v>
      </c>
      <c r="Z465">
        <v>0.104183</v>
      </c>
      <c r="AA465" t="s">
        <v>35</v>
      </c>
      <c r="AB465">
        <v>4.7154000000000001E-2</v>
      </c>
      <c r="AC465" t="s">
        <v>36</v>
      </c>
      <c r="AD465">
        <v>0.26379900000000001</v>
      </c>
      <c r="AE465" t="s">
        <v>37</v>
      </c>
      <c r="AF465">
        <v>0.26155299999999998</v>
      </c>
      <c r="AG465" t="s">
        <v>38</v>
      </c>
      <c r="AH465">
        <v>0.99148499999999995</v>
      </c>
      <c r="AI465" t="s">
        <v>39</v>
      </c>
      <c r="AJ465">
        <v>0.78025100000000003</v>
      </c>
      <c r="AK465" t="s">
        <v>40</v>
      </c>
      <c r="AL465">
        <v>0.78449100000000005</v>
      </c>
      <c r="AM465" t="s">
        <v>41</v>
      </c>
      <c r="AN465">
        <v>60.559367999999999</v>
      </c>
      <c r="AO465" t="s">
        <v>42</v>
      </c>
      <c r="AP465">
        <v>32.335667000000001</v>
      </c>
    </row>
    <row r="466" spans="1:42" x14ac:dyDescent="0.3">
      <c r="A466" t="s">
        <v>22</v>
      </c>
      <c r="B466">
        <v>4.660012</v>
      </c>
      <c r="C466" t="s">
        <v>23</v>
      </c>
      <c r="D466">
        <v>0.99402400000000002</v>
      </c>
      <c r="E466" t="s">
        <v>24</v>
      </c>
      <c r="F466">
        <v>1.0111030000000001</v>
      </c>
      <c r="G466" t="s">
        <v>25</v>
      </c>
      <c r="H466">
        <v>0.91616900000000001</v>
      </c>
      <c r="I466" t="s">
        <v>26</v>
      </c>
      <c r="J466">
        <v>1.63E-4</v>
      </c>
      <c r="K466" t="s">
        <v>27</v>
      </c>
      <c r="L466">
        <v>2.1634E-2</v>
      </c>
      <c r="M466" t="s">
        <v>28</v>
      </c>
      <c r="N466">
        <v>1.9602000000000001E-2</v>
      </c>
      <c r="O466" t="s">
        <v>29</v>
      </c>
      <c r="P466">
        <v>0.18491099999999999</v>
      </c>
      <c r="Q466" t="s">
        <v>30</v>
      </c>
      <c r="R466">
        <v>9.4135999999999997E-2</v>
      </c>
      <c r="S466" t="s">
        <v>31</v>
      </c>
      <c r="T466">
        <v>0.59869000000000006</v>
      </c>
      <c r="U466" t="s">
        <v>32</v>
      </c>
      <c r="V466">
        <v>1.8744E-2</v>
      </c>
      <c r="W466" t="s">
        <v>33</v>
      </c>
      <c r="X466">
        <v>0.19215599999999999</v>
      </c>
      <c r="Y466" t="s">
        <v>34</v>
      </c>
      <c r="Z466">
        <v>0.104183</v>
      </c>
      <c r="AA466" t="s">
        <v>35</v>
      </c>
      <c r="AB466">
        <v>4.7057000000000002E-2</v>
      </c>
      <c r="AC466" t="s">
        <v>36</v>
      </c>
      <c r="AD466">
        <v>0.263791</v>
      </c>
      <c r="AE466" t="s">
        <v>37</v>
      </c>
      <c r="AF466">
        <v>0.26155299999999998</v>
      </c>
      <c r="AG466" t="s">
        <v>38</v>
      </c>
      <c r="AH466">
        <v>0.99151800000000001</v>
      </c>
      <c r="AI466" t="s">
        <v>39</v>
      </c>
      <c r="AJ466">
        <v>0.78026700000000004</v>
      </c>
      <c r="AK466" t="s">
        <v>40</v>
      </c>
      <c r="AL466">
        <v>0.78449100000000005</v>
      </c>
      <c r="AM466" t="s">
        <v>41</v>
      </c>
      <c r="AN466">
        <v>60.689605999999998</v>
      </c>
      <c r="AO466" t="s">
        <v>42</v>
      </c>
      <c r="AP466">
        <v>32.403072000000002</v>
      </c>
    </row>
    <row r="467" spans="1:42" x14ac:dyDescent="0.3">
      <c r="A467" t="s">
        <v>22</v>
      </c>
      <c r="B467">
        <v>4.6700119999999998</v>
      </c>
      <c r="C467" t="s">
        <v>23</v>
      </c>
      <c r="D467">
        <v>0.99390800000000001</v>
      </c>
      <c r="E467" t="s">
        <v>24</v>
      </c>
      <c r="F467">
        <v>1.0109189999999999</v>
      </c>
      <c r="G467" t="s">
        <v>25</v>
      </c>
      <c r="H467">
        <v>0.91616900000000001</v>
      </c>
      <c r="I467" t="s">
        <v>26</v>
      </c>
      <c r="J467">
        <v>1.63E-4</v>
      </c>
      <c r="K467" t="s">
        <v>27</v>
      </c>
      <c r="L467">
        <v>2.163E-2</v>
      </c>
      <c r="M467" t="s">
        <v>28</v>
      </c>
      <c r="N467">
        <v>1.9602000000000001E-2</v>
      </c>
      <c r="O467" t="s">
        <v>29</v>
      </c>
      <c r="P467">
        <v>0.185527</v>
      </c>
      <c r="Q467" t="s">
        <v>30</v>
      </c>
      <c r="R467">
        <v>9.5114000000000004E-2</v>
      </c>
      <c r="S467" t="s">
        <v>31</v>
      </c>
      <c r="T467">
        <v>0.59869000000000006</v>
      </c>
      <c r="U467" t="s">
        <v>32</v>
      </c>
      <c r="V467">
        <v>1.8704999999999999E-2</v>
      </c>
      <c r="W467" t="s">
        <v>33</v>
      </c>
      <c r="X467">
        <v>0.192272</v>
      </c>
      <c r="Y467" t="s">
        <v>34</v>
      </c>
      <c r="Z467">
        <v>0.104183</v>
      </c>
      <c r="AA467" t="s">
        <v>35</v>
      </c>
      <c r="AB467">
        <v>4.6960000000000002E-2</v>
      </c>
      <c r="AC467" t="s">
        <v>36</v>
      </c>
      <c r="AD467">
        <v>0.26378200000000002</v>
      </c>
      <c r="AE467" t="s">
        <v>37</v>
      </c>
      <c r="AF467">
        <v>0.26155299999999998</v>
      </c>
      <c r="AG467" t="s">
        <v>38</v>
      </c>
      <c r="AH467">
        <v>0.99155000000000004</v>
      </c>
      <c r="AI467" t="s">
        <v>39</v>
      </c>
      <c r="AJ467">
        <v>0.78028399999999998</v>
      </c>
      <c r="AK467" t="s">
        <v>40</v>
      </c>
      <c r="AL467">
        <v>0.78449100000000005</v>
      </c>
      <c r="AM467" t="s">
        <v>41</v>
      </c>
      <c r="AN467">
        <v>60.819839000000002</v>
      </c>
      <c r="AO467" t="s">
        <v>42</v>
      </c>
      <c r="AP467">
        <v>32.470481999999997</v>
      </c>
    </row>
    <row r="468" spans="1:42" x14ac:dyDescent="0.3">
      <c r="A468" t="s">
        <v>22</v>
      </c>
      <c r="B468">
        <v>4.6800119999999996</v>
      </c>
      <c r="C468" t="s">
        <v>23</v>
      </c>
      <c r="D468">
        <v>0.99379200000000001</v>
      </c>
      <c r="E468" t="s">
        <v>24</v>
      </c>
      <c r="F468">
        <v>1.0107360000000001</v>
      </c>
      <c r="G468" t="s">
        <v>25</v>
      </c>
      <c r="H468">
        <v>0.91616900000000001</v>
      </c>
      <c r="I468" t="s">
        <v>26</v>
      </c>
      <c r="J468">
        <v>1.6200000000000001E-4</v>
      </c>
      <c r="K468" t="s">
        <v>27</v>
      </c>
      <c r="L468">
        <v>2.1625999999999999E-2</v>
      </c>
      <c r="M468" t="s">
        <v>28</v>
      </c>
      <c r="N468">
        <v>1.9602000000000001E-2</v>
      </c>
      <c r="O468" t="s">
        <v>29</v>
      </c>
      <c r="P468">
        <v>0.186142</v>
      </c>
      <c r="Q468" t="s">
        <v>30</v>
      </c>
      <c r="R468">
        <v>9.6088000000000007E-2</v>
      </c>
      <c r="S468" t="s">
        <v>31</v>
      </c>
      <c r="T468">
        <v>0.59869000000000006</v>
      </c>
      <c r="U468" t="s">
        <v>32</v>
      </c>
      <c r="V468">
        <v>1.8667E-2</v>
      </c>
      <c r="W468" t="s">
        <v>33</v>
      </c>
      <c r="X468">
        <v>0.192388</v>
      </c>
      <c r="Y468" t="s">
        <v>34</v>
      </c>
      <c r="Z468">
        <v>0.104183</v>
      </c>
      <c r="AA468" t="s">
        <v>35</v>
      </c>
      <c r="AB468">
        <v>4.6864000000000003E-2</v>
      </c>
      <c r="AC468" t="s">
        <v>36</v>
      </c>
      <c r="AD468">
        <v>0.26377299999999998</v>
      </c>
      <c r="AE468" t="s">
        <v>37</v>
      </c>
      <c r="AF468">
        <v>0.26155299999999998</v>
      </c>
      <c r="AG468" t="s">
        <v>38</v>
      </c>
      <c r="AH468">
        <v>0.99158299999999999</v>
      </c>
      <c r="AI468" t="s">
        <v>39</v>
      </c>
      <c r="AJ468">
        <v>0.78029999999999999</v>
      </c>
      <c r="AK468" t="s">
        <v>40</v>
      </c>
      <c r="AL468">
        <v>0.78449100000000005</v>
      </c>
      <c r="AM468" t="s">
        <v>41</v>
      </c>
      <c r="AN468">
        <v>60.950077</v>
      </c>
      <c r="AO468" t="s">
        <v>42</v>
      </c>
      <c r="AP468">
        <v>32.537894999999999</v>
      </c>
    </row>
    <row r="469" spans="1:42" x14ac:dyDescent="0.3">
      <c r="A469" t="s">
        <v>22</v>
      </c>
      <c r="B469">
        <v>4.6900120000000003</v>
      </c>
      <c r="C469" t="s">
        <v>23</v>
      </c>
      <c r="D469">
        <v>0.99367700000000003</v>
      </c>
      <c r="E469" t="s">
        <v>24</v>
      </c>
      <c r="F469">
        <v>1.010553</v>
      </c>
      <c r="G469" t="s">
        <v>25</v>
      </c>
      <c r="H469">
        <v>0.91616900000000001</v>
      </c>
      <c r="I469" t="s">
        <v>26</v>
      </c>
      <c r="J469">
        <v>1.6200000000000001E-4</v>
      </c>
      <c r="K469" t="s">
        <v>27</v>
      </c>
      <c r="L469">
        <v>2.1621999999999999E-2</v>
      </c>
      <c r="M469" t="s">
        <v>28</v>
      </c>
      <c r="N469">
        <v>1.9602000000000001E-2</v>
      </c>
      <c r="O469" t="s">
        <v>29</v>
      </c>
      <c r="P469">
        <v>0.186754</v>
      </c>
      <c r="Q469" t="s">
        <v>30</v>
      </c>
      <c r="R469">
        <v>9.7059000000000006E-2</v>
      </c>
      <c r="S469" t="s">
        <v>31</v>
      </c>
      <c r="T469">
        <v>0.59869000000000006</v>
      </c>
      <c r="U469" t="s">
        <v>32</v>
      </c>
      <c r="V469">
        <v>1.8629E-2</v>
      </c>
      <c r="W469" t="s">
        <v>33</v>
      </c>
      <c r="X469">
        <v>0.19250300000000001</v>
      </c>
      <c r="Y469" t="s">
        <v>34</v>
      </c>
      <c r="Z469">
        <v>0.104183</v>
      </c>
      <c r="AA469" t="s">
        <v>35</v>
      </c>
      <c r="AB469">
        <v>4.6767999999999997E-2</v>
      </c>
      <c r="AC469" t="s">
        <v>36</v>
      </c>
      <c r="AD469">
        <v>0.26376500000000003</v>
      </c>
      <c r="AE469" t="s">
        <v>37</v>
      </c>
      <c r="AF469">
        <v>0.26155299999999998</v>
      </c>
      <c r="AG469" t="s">
        <v>38</v>
      </c>
      <c r="AH469">
        <v>0.99161500000000002</v>
      </c>
      <c r="AI469" t="s">
        <v>39</v>
      </c>
      <c r="AJ469">
        <v>0.78031600000000001</v>
      </c>
      <c r="AK469" t="s">
        <v>40</v>
      </c>
      <c r="AL469">
        <v>0.78449100000000005</v>
      </c>
      <c r="AM469" t="s">
        <v>41</v>
      </c>
      <c r="AN469">
        <v>61.080311000000002</v>
      </c>
      <c r="AO469" t="s">
        <v>42</v>
      </c>
      <c r="AP469">
        <v>32.605308999999998</v>
      </c>
    </row>
    <row r="470" spans="1:42" x14ac:dyDescent="0.3">
      <c r="A470" t="s">
        <v>22</v>
      </c>
      <c r="B470">
        <v>4.7000130000000002</v>
      </c>
      <c r="C470" t="s">
        <v>23</v>
      </c>
      <c r="D470">
        <v>0.99356199999999995</v>
      </c>
      <c r="E470" t="s">
        <v>24</v>
      </c>
      <c r="F470">
        <v>1.0103709999999999</v>
      </c>
      <c r="G470" t="s">
        <v>25</v>
      </c>
      <c r="H470">
        <v>0.91616900000000001</v>
      </c>
      <c r="I470" t="s">
        <v>26</v>
      </c>
      <c r="J470">
        <v>1.6100000000000001E-4</v>
      </c>
      <c r="K470" t="s">
        <v>27</v>
      </c>
      <c r="L470">
        <v>2.1617999999999998E-2</v>
      </c>
      <c r="M470" t="s">
        <v>28</v>
      </c>
      <c r="N470">
        <v>1.9602000000000001E-2</v>
      </c>
      <c r="O470" t="s">
        <v>29</v>
      </c>
      <c r="P470">
        <v>0.187365</v>
      </c>
      <c r="Q470" t="s">
        <v>30</v>
      </c>
      <c r="R470">
        <v>9.8026000000000002E-2</v>
      </c>
      <c r="S470" t="s">
        <v>31</v>
      </c>
      <c r="T470">
        <v>0.59869000000000006</v>
      </c>
      <c r="U470" t="s">
        <v>32</v>
      </c>
      <c r="V470">
        <v>1.8591E-2</v>
      </c>
      <c r="W470" t="s">
        <v>33</v>
      </c>
      <c r="X470">
        <v>0.19261900000000001</v>
      </c>
      <c r="Y470" t="s">
        <v>34</v>
      </c>
      <c r="Z470">
        <v>0.104183</v>
      </c>
      <c r="AA470" t="s">
        <v>35</v>
      </c>
      <c r="AB470">
        <v>4.6671999999999998E-2</v>
      </c>
      <c r="AC470" t="s">
        <v>36</v>
      </c>
      <c r="AD470">
        <v>0.26375700000000002</v>
      </c>
      <c r="AE470" t="s">
        <v>37</v>
      </c>
      <c r="AF470">
        <v>0.26155299999999998</v>
      </c>
      <c r="AG470" t="s">
        <v>38</v>
      </c>
      <c r="AH470">
        <v>0.99164699999999995</v>
      </c>
      <c r="AI470" t="s">
        <v>39</v>
      </c>
      <c r="AJ470">
        <v>0.78033200000000003</v>
      </c>
      <c r="AK470" t="s">
        <v>40</v>
      </c>
      <c r="AL470">
        <v>0.78449100000000005</v>
      </c>
      <c r="AM470" t="s">
        <v>41</v>
      </c>
      <c r="AN470">
        <v>61.210545000000003</v>
      </c>
      <c r="AO470" t="s">
        <v>42</v>
      </c>
      <c r="AP470">
        <v>32.672733000000001</v>
      </c>
    </row>
    <row r="471" spans="1:42" x14ac:dyDescent="0.3">
      <c r="A471" t="s">
        <v>22</v>
      </c>
      <c r="B471">
        <v>4.710013</v>
      </c>
      <c r="C471" t="s">
        <v>23</v>
      </c>
      <c r="D471">
        <v>0.99344699999999997</v>
      </c>
      <c r="E471" t="s">
        <v>24</v>
      </c>
      <c r="F471">
        <v>1.0101899999999999</v>
      </c>
      <c r="G471" t="s">
        <v>25</v>
      </c>
      <c r="H471">
        <v>0.91616900000000001</v>
      </c>
      <c r="I471" t="s">
        <v>26</v>
      </c>
      <c r="J471">
        <v>1.6100000000000001E-4</v>
      </c>
      <c r="K471" t="s">
        <v>27</v>
      </c>
      <c r="L471">
        <v>2.1614000000000001E-2</v>
      </c>
      <c r="M471" t="s">
        <v>28</v>
      </c>
      <c r="N471">
        <v>1.9602000000000001E-2</v>
      </c>
      <c r="O471" t="s">
        <v>29</v>
      </c>
      <c r="P471">
        <v>0.187975</v>
      </c>
      <c r="Q471" t="s">
        <v>30</v>
      </c>
      <c r="R471">
        <v>9.8988999999999994E-2</v>
      </c>
      <c r="S471" t="s">
        <v>31</v>
      </c>
      <c r="T471">
        <v>0.59869000000000006</v>
      </c>
      <c r="U471" t="s">
        <v>32</v>
      </c>
      <c r="V471">
        <v>1.8553E-2</v>
      </c>
      <c r="W471" t="s">
        <v>33</v>
      </c>
      <c r="X471">
        <v>0.19273499999999999</v>
      </c>
      <c r="Y471" t="s">
        <v>34</v>
      </c>
      <c r="Z471">
        <v>0.104183</v>
      </c>
      <c r="AA471" t="s">
        <v>35</v>
      </c>
      <c r="AB471">
        <v>4.6577E-2</v>
      </c>
      <c r="AC471" t="s">
        <v>36</v>
      </c>
      <c r="AD471">
        <v>0.26374799999999998</v>
      </c>
      <c r="AE471" t="s">
        <v>37</v>
      </c>
      <c r="AF471">
        <v>0.26155299999999998</v>
      </c>
      <c r="AG471" t="s">
        <v>38</v>
      </c>
      <c r="AH471">
        <v>0.99167799999999995</v>
      </c>
      <c r="AI471" t="s">
        <v>39</v>
      </c>
      <c r="AJ471">
        <v>0.78034800000000004</v>
      </c>
      <c r="AK471" t="s">
        <v>40</v>
      </c>
      <c r="AL471">
        <v>0.78449100000000005</v>
      </c>
      <c r="AM471" t="s">
        <v>41</v>
      </c>
      <c r="AN471">
        <v>61.340781999999997</v>
      </c>
      <c r="AO471" t="s">
        <v>42</v>
      </c>
      <c r="AP471">
        <v>32.74015</v>
      </c>
    </row>
    <row r="472" spans="1:42" x14ac:dyDescent="0.3">
      <c r="A472" t="s">
        <v>22</v>
      </c>
      <c r="B472">
        <v>4.7200129999999998</v>
      </c>
      <c r="C472" t="s">
        <v>23</v>
      </c>
      <c r="D472">
        <v>0.99333300000000002</v>
      </c>
      <c r="E472" t="s">
        <v>24</v>
      </c>
      <c r="F472">
        <v>1.0100100000000001</v>
      </c>
      <c r="G472" t="s">
        <v>25</v>
      </c>
      <c r="H472">
        <v>0.91616900000000001</v>
      </c>
      <c r="I472" t="s">
        <v>26</v>
      </c>
      <c r="J472">
        <v>1.6000000000000001E-4</v>
      </c>
      <c r="K472" t="s">
        <v>27</v>
      </c>
      <c r="L472">
        <v>2.1610000000000001E-2</v>
      </c>
      <c r="M472" t="s">
        <v>28</v>
      </c>
      <c r="N472">
        <v>1.9602000000000001E-2</v>
      </c>
      <c r="O472" t="s">
        <v>29</v>
      </c>
      <c r="P472">
        <v>0.188583</v>
      </c>
      <c r="Q472" t="s">
        <v>30</v>
      </c>
      <c r="R472">
        <v>9.9948999999999996E-2</v>
      </c>
      <c r="S472" t="s">
        <v>31</v>
      </c>
      <c r="T472">
        <v>0.59869000000000006</v>
      </c>
      <c r="U472" t="s">
        <v>32</v>
      </c>
      <c r="V472">
        <v>1.8515E-2</v>
      </c>
      <c r="W472" t="s">
        <v>33</v>
      </c>
      <c r="X472">
        <v>0.19285099999999999</v>
      </c>
      <c r="Y472" t="s">
        <v>34</v>
      </c>
      <c r="Z472">
        <v>0.104183</v>
      </c>
      <c r="AA472" t="s">
        <v>35</v>
      </c>
      <c r="AB472">
        <v>4.6482999999999997E-2</v>
      </c>
      <c r="AC472" t="s">
        <v>36</v>
      </c>
      <c r="AD472">
        <v>0.263739</v>
      </c>
      <c r="AE472" t="s">
        <v>37</v>
      </c>
      <c r="AF472">
        <v>0.26155299999999998</v>
      </c>
      <c r="AG472" t="s">
        <v>38</v>
      </c>
      <c r="AH472">
        <v>0.99170999999999998</v>
      </c>
      <c r="AI472" t="s">
        <v>39</v>
      </c>
      <c r="AJ472">
        <v>0.78036399999999995</v>
      </c>
      <c r="AK472" t="s">
        <v>40</v>
      </c>
      <c r="AL472">
        <v>0.78449100000000005</v>
      </c>
      <c r="AM472" t="s">
        <v>41</v>
      </c>
      <c r="AN472">
        <v>61.471015999999999</v>
      </c>
      <c r="AO472" t="s">
        <v>42</v>
      </c>
      <c r="AP472">
        <v>32.807578999999997</v>
      </c>
    </row>
    <row r="473" spans="1:42" x14ac:dyDescent="0.3">
      <c r="A473" t="s">
        <v>22</v>
      </c>
      <c r="B473">
        <v>4.7300129999999996</v>
      </c>
      <c r="C473" t="s">
        <v>23</v>
      </c>
      <c r="D473">
        <v>0.99321899999999996</v>
      </c>
      <c r="E473" t="s">
        <v>24</v>
      </c>
      <c r="F473">
        <v>1.00983</v>
      </c>
      <c r="G473" t="s">
        <v>25</v>
      </c>
      <c r="H473">
        <v>0.91616900000000001</v>
      </c>
      <c r="I473" t="s">
        <v>26</v>
      </c>
      <c r="J473">
        <v>1.6000000000000001E-4</v>
      </c>
      <c r="K473" t="s">
        <v>27</v>
      </c>
      <c r="L473">
        <v>2.1607000000000001E-2</v>
      </c>
      <c r="M473" t="s">
        <v>28</v>
      </c>
      <c r="N473">
        <v>1.9602000000000001E-2</v>
      </c>
      <c r="O473" t="s">
        <v>29</v>
      </c>
      <c r="P473">
        <v>0.18919</v>
      </c>
      <c r="Q473" t="s">
        <v>30</v>
      </c>
      <c r="R473">
        <v>0.10090499999999999</v>
      </c>
      <c r="S473" t="s">
        <v>31</v>
      </c>
      <c r="T473">
        <v>0.59869000000000006</v>
      </c>
      <c r="U473" t="s">
        <v>32</v>
      </c>
      <c r="V473">
        <v>1.8477E-2</v>
      </c>
      <c r="W473" t="s">
        <v>33</v>
      </c>
      <c r="X473">
        <v>0.192966</v>
      </c>
      <c r="Y473" t="s">
        <v>34</v>
      </c>
      <c r="Z473">
        <v>0.104183</v>
      </c>
      <c r="AA473" t="s">
        <v>35</v>
      </c>
      <c r="AB473">
        <v>4.6387999999999999E-2</v>
      </c>
      <c r="AC473" t="s">
        <v>36</v>
      </c>
      <c r="AD473">
        <v>0.26373099999999999</v>
      </c>
      <c r="AE473" t="s">
        <v>37</v>
      </c>
      <c r="AF473">
        <v>0.26155299999999998</v>
      </c>
      <c r="AG473" t="s">
        <v>38</v>
      </c>
      <c r="AH473">
        <v>0.99174099999999998</v>
      </c>
      <c r="AI473" t="s">
        <v>39</v>
      </c>
      <c r="AJ473">
        <v>0.78037999999999996</v>
      </c>
      <c r="AK473" t="s">
        <v>40</v>
      </c>
      <c r="AL473">
        <v>0.78449100000000005</v>
      </c>
      <c r="AM473" t="s">
        <v>41</v>
      </c>
      <c r="AN473">
        <v>61.60125</v>
      </c>
      <c r="AO473" t="s">
        <v>42</v>
      </c>
      <c r="AP473">
        <v>32.875008000000001</v>
      </c>
    </row>
    <row r="474" spans="1:42" x14ac:dyDescent="0.3">
      <c r="A474" t="s">
        <v>22</v>
      </c>
      <c r="B474">
        <v>4.7400140000000004</v>
      </c>
      <c r="C474" t="s">
        <v>23</v>
      </c>
      <c r="D474">
        <v>0.99310500000000002</v>
      </c>
      <c r="E474" t="s">
        <v>24</v>
      </c>
      <c r="F474">
        <v>1.0096499999999999</v>
      </c>
      <c r="G474" t="s">
        <v>25</v>
      </c>
      <c r="H474">
        <v>0.91616900000000001</v>
      </c>
      <c r="I474" t="s">
        <v>26</v>
      </c>
      <c r="J474">
        <v>1.5899999999999999E-4</v>
      </c>
      <c r="K474" t="s">
        <v>27</v>
      </c>
      <c r="L474">
        <v>2.1603000000000001E-2</v>
      </c>
      <c r="M474" t="s">
        <v>28</v>
      </c>
      <c r="N474">
        <v>1.9602000000000001E-2</v>
      </c>
      <c r="O474" t="s">
        <v>29</v>
      </c>
      <c r="P474">
        <v>0.18979399999999999</v>
      </c>
      <c r="Q474" t="s">
        <v>30</v>
      </c>
      <c r="R474">
        <v>0.101858</v>
      </c>
      <c r="S474" t="s">
        <v>31</v>
      </c>
      <c r="T474">
        <v>0.59869000000000006</v>
      </c>
      <c r="U474" t="s">
        <v>32</v>
      </c>
      <c r="V474">
        <v>1.8440000000000002E-2</v>
      </c>
      <c r="W474" t="s">
        <v>33</v>
      </c>
      <c r="X474">
        <v>0.193082</v>
      </c>
      <c r="Y474" t="s">
        <v>34</v>
      </c>
      <c r="Z474">
        <v>0.104183</v>
      </c>
      <c r="AA474" t="s">
        <v>35</v>
      </c>
      <c r="AB474">
        <v>4.6294000000000002E-2</v>
      </c>
      <c r="AC474" t="s">
        <v>36</v>
      </c>
      <c r="AD474">
        <v>0.26372299999999999</v>
      </c>
      <c r="AE474" t="s">
        <v>37</v>
      </c>
      <c r="AF474">
        <v>0.26155299999999998</v>
      </c>
      <c r="AG474" t="s">
        <v>38</v>
      </c>
      <c r="AH474">
        <v>0.99177199999999999</v>
      </c>
      <c r="AI474" t="s">
        <v>39</v>
      </c>
      <c r="AJ474">
        <v>0.78039599999999998</v>
      </c>
      <c r="AK474" t="s">
        <v>40</v>
      </c>
      <c r="AL474">
        <v>0.78449100000000005</v>
      </c>
      <c r="AM474" t="s">
        <v>41</v>
      </c>
      <c r="AN474">
        <v>61.731487000000001</v>
      </c>
      <c r="AO474" t="s">
        <v>42</v>
      </c>
      <c r="AP474">
        <v>32.942436000000001</v>
      </c>
    </row>
    <row r="475" spans="1:42" x14ac:dyDescent="0.3">
      <c r="A475" t="s">
        <v>22</v>
      </c>
      <c r="B475">
        <v>4.7500140000000002</v>
      </c>
      <c r="C475" t="s">
        <v>23</v>
      </c>
      <c r="D475">
        <v>0.99299099999999996</v>
      </c>
      <c r="E475" t="s">
        <v>24</v>
      </c>
      <c r="F475">
        <v>1.0094719999999999</v>
      </c>
      <c r="G475" t="s">
        <v>25</v>
      </c>
      <c r="H475">
        <v>0.91616900000000001</v>
      </c>
      <c r="I475" t="s">
        <v>26</v>
      </c>
      <c r="J475">
        <v>1.5899999999999999E-4</v>
      </c>
      <c r="K475" t="s">
        <v>27</v>
      </c>
      <c r="L475">
        <v>2.1599E-2</v>
      </c>
      <c r="M475" t="s">
        <v>28</v>
      </c>
      <c r="N475">
        <v>1.9602000000000001E-2</v>
      </c>
      <c r="O475" t="s">
        <v>29</v>
      </c>
      <c r="P475">
        <v>0.19039700000000001</v>
      </c>
      <c r="Q475" t="s">
        <v>30</v>
      </c>
      <c r="R475">
        <v>0.10280599999999999</v>
      </c>
      <c r="S475" t="s">
        <v>31</v>
      </c>
      <c r="T475">
        <v>0.59869000000000006</v>
      </c>
      <c r="U475" t="s">
        <v>32</v>
      </c>
      <c r="V475">
        <v>1.8402999999999999E-2</v>
      </c>
      <c r="W475" t="s">
        <v>33</v>
      </c>
      <c r="X475">
        <v>0.19319800000000001</v>
      </c>
      <c r="Y475" t="s">
        <v>34</v>
      </c>
      <c r="Z475">
        <v>0.104183</v>
      </c>
      <c r="AA475" t="s">
        <v>35</v>
      </c>
      <c r="AB475">
        <v>4.6199999999999998E-2</v>
      </c>
      <c r="AC475" t="s">
        <v>36</v>
      </c>
      <c r="AD475">
        <v>0.26371499999999998</v>
      </c>
      <c r="AE475" t="s">
        <v>37</v>
      </c>
      <c r="AF475">
        <v>0.26155299999999998</v>
      </c>
      <c r="AG475" t="s">
        <v>38</v>
      </c>
      <c r="AH475">
        <v>0.99180299999999999</v>
      </c>
      <c r="AI475" t="s">
        <v>39</v>
      </c>
      <c r="AJ475">
        <v>0.78041099999999997</v>
      </c>
      <c r="AK475" t="s">
        <v>40</v>
      </c>
      <c r="AL475">
        <v>0.78449100000000005</v>
      </c>
      <c r="AM475" t="s">
        <v>41</v>
      </c>
      <c r="AN475">
        <v>61.861721000000003</v>
      </c>
      <c r="AO475" t="s">
        <v>42</v>
      </c>
      <c r="AP475">
        <v>33.009872000000001</v>
      </c>
    </row>
    <row r="476" spans="1:42" x14ac:dyDescent="0.3">
      <c r="A476" t="s">
        <v>22</v>
      </c>
      <c r="B476">
        <v>4.760014</v>
      </c>
      <c r="C476" t="s">
        <v>23</v>
      </c>
      <c r="D476">
        <v>0.99287800000000004</v>
      </c>
      <c r="E476" t="s">
        <v>24</v>
      </c>
      <c r="F476">
        <v>1.0092939999999999</v>
      </c>
      <c r="G476" t="s">
        <v>25</v>
      </c>
      <c r="H476">
        <v>0.91616900000000001</v>
      </c>
      <c r="I476" t="s">
        <v>26</v>
      </c>
      <c r="J476">
        <v>1.5799999999999999E-4</v>
      </c>
      <c r="K476" t="s">
        <v>27</v>
      </c>
      <c r="L476">
        <v>2.1595E-2</v>
      </c>
      <c r="M476" t="s">
        <v>28</v>
      </c>
      <c r="N476">
        <v>1.9602000000000001E-2</v>
      </c>
      <c r="O476" t="s">
        <v>29</v>
      </c>
      <c r="P476">
        <v>0.190999</v>
      </c>
      <c r="Q476" t="s">
        <v>30</v>
      </c>
      <c r="R476">
        <v>0.103751</v>
      </c>
      <c r="S476" t="s">
        <v>31</v>
      </c>
      <c r="T476">
        <v>0.59869000000000006</v>
      </c>
      <c r="U476" t="s">
        <v>32</v>
      </c>
      <c r="V476">
        <v>1.8366E-2</v>
      </c>
      <c r="W476" t="s">
        <v>33</v>
      </c>
      <c r="X476">
        <v>0.19331300000000001</v>
      </c>
      <c r="Y476" t="s">
        <v>34</v>
      </c>
      <c r="Z476">
        <v>0.104183</v>
      </c>
      <c r="AA476" t="s">
        <v>35</v>
      </c>
      <c r="AB476">
        <v>4.6107000000000002E-2</v>
      </c>
      <c r="AC476" t="s">
        <v>36</v>
      </c>
      <c r="AD476">
        <v>0.26370700000000002</v>
      </c>
      <c r="AE476" t="s">
        <v>37</v>
      </c>
      <c r="AF476">
        <v>0.26155299999999998</v>
      </c>
      <c r="AG476" t="s">
        <v>38</v>
      </c>
      <c r="AH476">
        <v>0.99183399999999999</v>
      </c>
      <c r="AI476" t="s">
        <v>39</v>
      </c>
      <c r="AJ476">
        <v>0.78042699999999998</v>
      </c>
      <c r="AK476" t="s">
        <v>40</v>
      </c>
      <c r="AL476">
        <v>0.78449100000000005</v>
      </c>
      <c r="AM476" t="s">
        <v>41</v>
      </c>
      <c r="AN476">
        <v>61.991959000000001</v>
      </c>
      <c r="AO476" t="s">
        <v>42</v>
      </c>
      <c r="AP476">
        <v>33.077311999999999</v>
      </c>
    </row>
    <row r="477" spans="1:42" x14ac:dyDescent="0.3">
      <c r="A477" t="s">
        <v>22</v>
      </c>
      <c r="B477">
        <v>4.7700139999999998</v>
      </c>
      <c r="C477" t="s">
        <v>23</v>
      </c>
      <c r="D477">
        <v>0.99276500000000001</v>
      </c>
      <c r="E477" t="s">
        <v>24</v>
      </c>
      <c r="F477">
        <v>1.009117</v>
      </c>
      <c r="G477" t="s">
        <v>25</v>
      </c>
      <c r="H477">
        <v>0.91616900000000001</v>
      </c>
      <c r="I477" t="s">
        <v>26</v>
      </c>
      <c r="J477">
        <v>1.5799999999999999E-4</v>
      </c>
      <c r="K477" t="s">
        <v>27</v>
      </c>
      <c r="L477">
        <v>2.1590999999999999E-2</v>
      </c>
      <c r="M477" t="s">
        <v>28</v>
      </c>
      <c r="N477">
        <v>1.9602000000000001E-2</v>
      </c>
      <c r="O477" t="s">
        <v>29</v>
      </c>
      <c r="P477">
        <v>0.19159999999999999</v>
      </c>
      <c r="Q477" t="s">
        <v>30</v>
      </c>
      <c r="R477">
        <v>0.104694</v>
      </c>
      <c r="S477" t="s">
        <v>31</v>
      </c>
      <c r="T477">
        <v>0.59869000000000006</v>
      </c>
      <c r="U477" t="s">
        <v>32</v>
      </c>
      <c r="V477">
        <v>1.8328000000000001E-2</v>
      </c>
      <c r="W477" t="s">
        <v>33</v>
      </c>
      <c r="X477">
        <v>0.19342899999999999</v>
      </c>
      <c r="Y477" t="s">
        <v>34</v>
      </c>
      <c r="Z477">
        <v>0.104183</v>
      </c>
      <c r="AA477" t="s">
        <v>35</v>
      </c>
      <c r="AB477">
        <v>4.6013999999999999E-2</v>
      </c>
      <c r="AC477" t="s">
        <v>36</v>
      </c>
      <c r="AD477">
        <v>0.26369799999999999</v>
      </c>
      <c r="AE477" t="s">
        <v>37</v>
      </c>
      <c r="AF477">
        <v>0.26155299999999998</v>
      </c>
      <c r="AG477" t="s">
        <v>38</v>
      </c>
      <c r="AH477">
        <v>0.991865</v>
      </c>
      <c r="AI477" t="s">
        <v>39</v>
      </c>
      <c r="AJ477">
        <v>0.780443</v>
      </c>
      <c r="AK477" t="s">
        <v>40</v>
      </c>
      <c r="AL477">
        <v>0.78449100000000005</v>
      </c>
      <c r="AM477" t="s">
        <v>41</v>
      </c>
      <c r="AN477">
        <v>62.122191999999998</v>
      </c>
      <c r="AO477" t="s">
        <v>42</v>
      </c>
      <c r="AP477">
        <v>33.144748999999997</v>
      </c>
    </row>
    <row r="478" spans="1:42" x14ac:dyDescent="0.3">
      <c r="A478" t="s">
        <v>22</v>
      </c>
      <c r="B478">
        <v>4.7800149999999997</v>
      </c>
      <c r="C478" t="s">
        <v>23</v>
      </c>
      <c r="D478">
        <v>0.99265300000000001</v>
      </c>
      <c r="E478" t="s">
        <v>24</v>
      </c>
      <c r="F478">
        <v>1.0089399999999999</v>
      </c>
      <c r="G478" t="s">
        <v>25</v>
      </c>
      <c r="H478">
        <v>0.91616900000000001</v>
      </c>
      <c r="I478" t="s">
        <v>26</v>
      </c>
      <c r="J478">
        <v>1.5699999999999999E-4</v>
      </c>
      <c r="K478" t="s">
        <v>27</v>
      </c>
      <c r="L478">
        <v>2.1588E-2</v>
      </c>
      <c r="M478" t="s">
        <v>28</v>
      </c>
      <c r="N478">
        <v>1.9602000000000001E-2</v>
      </c>
      <c r="O478" t="s">
        <v>29</v>
      </c>
      <c r="P478">
        <v>0.19219800000000001</v>
      </c>
      <c r="Q478" t="s">
        <v>30</v>
      </c>
      <c r="R478">
        <v>0.105632</v>
      </c>
      <c r="S478" t="s">
        <v>31</v>
      </c>
      <c r="T478">
        <v>0.59869000000000006</v>
      </c>
      <c r="U478" t="s">
        <v>32</v>
      </c>
      <c r="V478">
        <v>1.8291999999999999E-2</v>
      </c>
      <c r="W478" t="s">
        <v>33</v>
      </c>
      <c r="X478">
        <v>0.19354399999999999</v>
      </c>
      <c r="Y478" t="s">
        <v>34</v>
      </c>
      <c r="Z478">
        <v>0.104183</v>
      </c>
      <c r="AA478" t="s">
        <v>35</v>
      </c>
      <c r="AB478">
        <v>4.5920999999999997E-2</v>
      </c>
      <c r="AC478" t="s">
        <v>36</v>
      </c>
      <c r="AD478">
        <v>0.26368999999999998</v>
      </c>
      <c r="AE478" t="s">
        <v>37</v>
      </c>
      <c r="AF478">
        <v>0.26155299999999998</v>
      </c>
      <c r="AG478" t="s">
        <v>38</v>
      </c>
      <c r="AH478">
        <v>0.99189499999999997</v>
      </c>
      <c r="AI478" t="s">
        <v>39</v>
      </c>
      <c r="AJ478">
        <v>0.78045799999999999</v>
      </c>
      <c r="AK478" t="s">
        <v>40</v>
      </c>
      <c r="AL478">
        <v>0.78449100000000005</v>
      </c>
      <c r="AM478" t="s">
        <v>41</v>
      </c>
      <c r="AN478">
        <v>62.252426</v>
      </c>
      <c r="AO478" t="s">
        <v>42</v>
      </c>
      <c r="AP478">
        <v>33.212192999999999</v>
      </c>
    </row>
    <row r="479" spans="1:42" x14ac:dyDescent="0.3">
      <c r="A479" t="s">
        <v>22</v>
      </c>
      <c r="B479">
        <v>4.7900150000000004</v>
      </c>
      <c r="C479" t="s">
        <v>23</v>
      </c>
      <c r="D479">
        <v>0.99253999999999998</v>
      </c>
      <c r="E479" t="s">
        <v>24</v>
      </c>
      <c r="F479">
        <v>1.0087649999999999</v>
      </c>
      <c r="G479" t="s">
        <v>25</v>
      </c>
      <c r="H479">
        <v>0.91616900000000001</v>
      </c>
      <c r="I479" t="s">
        <v>26</v>
      </c>
      <c r="J479">
        <v>1.5699999999999999E-4</v>
      </c>
      <c r="K479" t="s">
        <v>27</v>
      </c>
      <c r="L479">
        <v>2.1583999999999999E-2</v>
      </c>
      <c r="M479" t="s">
        <v>28</v>
      </c>
      <c r="N479">
        <v>1.9602000000000001E-2</v>
      </c>
      <c r="O479" t="s">
        <v>29</v>
      </c>
      <c r="P479">
        <v>0.192796</v>
      </c>
      <c r="Q479" t="s">
        <v>30</v>
      </c>
      <c r="R479">
        <v>0.10656599999999999</v>
      </c>
      <c r="S479" t="s">
        <v>31</v>
      </c>
      <c r="T479">
        <v>0.59869000000000006</v>
      </c>
      <c r="U479" t="s">
        <v>32</v>
      </c>
      <c r="V479">
        <v>1.8255E-2</v>
      </c>
      <c r="W479" t="s">
        <v>33</v>
      </c>
      <c r="X479">
        <v>0.19366</v>
      </c>
      <c r="Y479" t="s">
        <v>34</v>
      </c>
      <c r="Z479">
        <v>0.104183</v>
      </c>
      <c r="AA479" t="s">
        <v>35</v>
      </c>
      <c r="AB479">
        <v>4.5829000000000002E-2</v>
      </c>
      <c r="AC479" t="s">
        <v>36</v>
      </c>
      <c r="AD479">
        <v>0.26368200000000003</v>
      </c>
      <c r="AE479" t="s">
        <v>37</v>
      </c>
      <c r="AF479">
        <v>0.26155299999999998</v>
      </c>
      <c r="AG479" t="s">
        <v>38</v>
      </c>
      <c r="AH479">
        <v>0.99192599999999997</v>
      </c>
      <c r="AI479" t="s">
        <v>39</v>
      </c>
      <c r="AJ479">
        <v>0.780474</v>
      </c>
      <c r="AK479" t="s">
        <v>40</v>
      </c>
      <c r="AL479">
        <v>0.78449100000000005</v>
      </c>
      <c r="AM479" t="s">
        <v>41</v>
      </c>
      <c r="AN479">
        <v>62.382663999999998</v>
      </c>
      <c r="AO479" t="s">
        <v>42</v>
      </c>
      <c r="AP479">
        <v>33.279640000000001</v>
      </c>
    </row>
    <row r="480" spans="1:42" x14ac:dyDescent="0.3">
      <c r="A480" t="s">
        <v>22</v>
      </c>
      <c r="B480">
        <v>4.8000150000000001</v>
      </c>
      <c r="C480" t="s">
        <v>23</v>
      </c>
      <c r="D480">
        <v>0.99242799999999998</v>
      </c>
      <c r="E480" t="s">
        <v>24</v>
      </c>
      <c r="F480">
        <v>1.008589</v>
      </c>
      <c r="G480" t="s">
        <v>25</v>
      </c>
      <c r="H480">
        <v>0.91616900000000001</v>
      </c>
      <c r="I480" t="s">
        <v>26</v>
      </c>
      <c r="J480">
        <v>1.56E-4</v>
      </c>
      <c r="K480" t="s">
        <v>27</v>
      </c>
      <c r="L480">
        <v>2.1579999999999998E-2</v>
      </c>
      <c r="M480" t="s">
        <v>28</v>
      </c>
      <c r="N480">
        <v>1.9602000000000001E-2</v>
      </c>
      <c r="O480" t="s">
        <v>29</v>
      </c>
      <c r="P480">
        <v>0.19339100000000001</v>
      </c>
      <c r="Q480" t="s">
        <v>30</v>
      </c>
      <c r="R480">
        <v>0.107498</v>
      </c>
      <c r="S480" t="s">
        <v>31</v>
      </c>
      <c r="T480">
        <v>0.59869000000000006</v>
      </c>
      <c r="U480" t="s">
        <v>32</v>
      </c>
      <c r="V480">
        <v>1.8218000000000002E-2</v>
      </c>
      <c r="W480" t="s">
        <v>33</v>
      </c>
      <c r="X480">
        <v>0.193775</v>
      </c>
      <c r="Y480" t="s">
        <v>34</v>
      </c>
      <c r="Z480">
        <v>0.104183</v>
      </c>
      <c r="AA480" t="s">
        <v>35</v>
      </c>
      <c r="AB480">
        <v>4.5737E-2</v>
      </c>
      <c r="AC480" t="s">
        <v>36</v>
      </c>
      <c r="AD480">
        <v>0.26367400000000002</v>
      </c>
      <c r="AE480" t="s">
        <v>37</v>
      </c>
      <c r="AF480">
        <v>0.26155299999999998</v>
      </c>
      <c r="AG480" t="s">
        <v>38</v>
      </c>
      <c r="AH480">
        <v>0.99195599999999995</v>
      </c>
      <c r="AI480" t="s">
        <v>39</v>
      </c>
      <c r="AJ480">
        <v>0.78048899999999999</v>
      </c>
      <c r="AK480" t="s">
        <v>40</v>
      </c>
      <c r="AL480">
        <v>0.78449100000000005</v>
      </c>
      <c r="AM480" t="s">
        <v>41</v>
      </c>
      <c r="AN480">
        <v>62.512897000000002</v>
      </c>
      <c r="AO480" t="s">
        <v>42</v>
      </c>
      <c r="AP480">
        <v>33.347087999999999</v>
      </c>
    </row>
    <row r="481" spans="1:42" x14ac:dyDescent="0.3">
      <c r="A481" t="s">
        <v>22</v>
      </c>
      <c r="B481">
        <v>4.8100149999999999</v>
      </c>
      <c r="C481" t="s">
        <v>23</v>
      </c>
      <c r="D481">
        <v>0.99231599999999998</v>
      </c>
      <c r="E481" t="s">
        <v>24</v>
      </c>
      <c r="F481">
        <v>1.0084150000000001</v>
      </c>
      <c r="G481" t="s">
        <v>25</v>
      </c>
      <c r="H481">
        <v>0.91616900000000001</v>
      </c>
      <c r="I481" t="s">
        <v>26</v>
      </c>
      <c r="J481">
        <v>1.56E-4</v>
      </c>
      <c r="K481" t="s">
        <v>27</v>
      </c>
      <c r="L481">
        <v>2.1576000000000001E-2</v>
      </c>
      <c r="M481" t="s">
        <v>28</v>
      </c>
      <c r="N481">
        <v>1.9602000000000001E-2</v>
      </c>
      <c r="O481" t="s">
        <v>29</v>
      </c>
      <c r="P481">
        <v>0.19398599999999999</v>
      </c>
      <c r="Q481" t="s">
        <v>30</v>
      </c>
      <c r="R481">
        <v>0.10842599999999999</v>
      </c>
      <c r="S481" t="s">
        <v>31</v>
      </c>
      <c r="T481">
        <v>0.59869000000000006</v>
      </c>
      <c r="U481" t="s">
        <v>32</v>
      </c>
      <c r="V481">
        <v>1.8182E-2</v>
      </c>
      <c r="W481" t="s">
        <v>33</v>
      </c>
      <c r="X481">
        <v>0.19389100000000001</v>
      </c>
      <c r="Y481" t="s">
        <v>34</v>
      </c>
      <c r="Z481">
        <v>0.104183</v>
      </c>
      <c r="AA481" t="s">
        <v>35</v>
      </c>
      <c r="AB481">
        <v>4.5645999999999999E-2</v>
      </c>
      <c r="AC481" t="s">
        <v>36</v>
      </c>
      <c r="AD481">
        <v>0.26366600000000001</v>
      </c>
      <c r="AE481" t="s">
        <v>37</v>
      </c>
      <c r="AF481">
        <v>0.26155299999999998</v>
      </c>
      <c r="AG481" t="s">
        <v>38</v>
      </c>
      <c r="AH481">
        <v>0.99198600000000003</v>
      </c>
      <c r="AI481" t="s">
        <v>39</v>
      </c>
      <c r="AJ481">
        <v>0.78050399999999998</v>
      </c>
      <c r="AK481" t="s">
        <v>40</v>
      </c>
      <c r="AL481">
        <v>0.78449100000000005</v>
      </c>
      <c r="AM481" t="s">
        <v>41</v>
      </c>
      <c r="AN481">
        <v>62.643130999999997</v>
      </c>
      <c r="AO481" t="s">
        <v>42</v>
      </c>
      <c r="AP481">
        <v>33.414538999999998</v>
      </c>
    </row>
    <row r="482" spans="1:42" x14ac:dyDescent="0.3">
      <c r="A482" t="s">
        <v>22</v>
      </c>
      <c r="B482">
        <v>4.8200149999999997</v>
      </c>
      <c r="C482" t="s">
        <v>23</v>
      </c>
      <c r="D482">
        <v>0.992205</v>
      </c>
      <c r="E482" t="s">
        <v>24</v>
      </c>
      <c r="F482">
        <v>1.0082409999999999</v>
      </c>
      <c r="G482" t="s">
        <v>25</v>
      </c>
      <c r="H482">
        <v>0.91616900000000001</v>
      </c>
      <c r="I482" t="s">
        <v>26</v>
      </c>
      <c r="J482">
        <v>1.56E-4</v>
      </c>
      <c r="K482" t="s">
        <v>27</v>
      </c>
      <c r="L482">
        <v>2.1572999999999998E-2</v>
      </c>
      <c r="M482" t="s">
        <v>28</v>
      </c>
      <c r="N482">
        <v>1.9602000000000001E-2</v>
      </c>
      <c r="O482" t="s">
        <v>29</v>
      </c>
      <c r="P482">
        <v>0.194578</v>
      </c>
      <c r="Q482" t="s">
        <v>30</v>
      </c>
      <c r="R482">
        <v>0.10935</v>
      </c>
      <c r="S482" t="s">
        <v>31</v>
      </c>
      <c r="T482">
        <v>0.59869000000000006</v>
      </c>
      <c r="U482" t="s">
        <v>32</v>
      </c>
      <c r="V482">
        <v>1.8145000000000001E-2</v>
      </c>
      <c r="W482" t="s">
        <v>33</v>
      </c>
      <c r="X482">
        <v>0.19400700000000001</v>
      </c>
      <c r="Y482" t="s">
        <v>34</v>
      </c>
      <c r="Z482">
        <v>0.104183</v>
      </c>
      <c r="AA482" t="s">
        <v>35</v>
      </c>
      <c r="AB482">
        <v>4.5553999999999997E-2</v>
      </c>
      <c r="AC482" t="s">
        <v>36</v>
      </c>
      <c r="AD482">
        <v>0.263658</v>
      </c>
      <c r="AE482" t="s">
        <v>37</v>
      </c>
      <c r="AF482">
        <v>0.26155299999999998</v>
      </c>
      <c r="AG482" t="s">
        <v>38</v>
      </c>
      <c r="AH482">
        <v>0.99201600000000001</v>
      </c>
      <c r="AI482" t="s">
        <v>39</v>
      </c>
      <c r="AJ482">
        <v>0.78051899999999996</v>
      </c>
      <c r="AK482" t="s">
        <v>40</v>
      </c>
      <c r="AL482">
        <v>0.78449100000000005</v>
      </c>
      <c r="AM482" t="s">
        <v>41</v>
      </c>
      <c r="AN482">
        <v>62.773369000000002</v>
      </c>
      <c r="AO482" t="s">
        <v>42</v>
      </c>
      <c r="AP482">
        <v>33.481997999999997</v>
      </c>
    </row>
    <row r="483" spans="1:42" x14ac:dyDescent="0.3">
      <c r="A483" t="s">
        <v>22</v>
      </c>
      <c r="B483">
        <v>4.8300159999999996</v>
      </c>
      <c r="C483" t="s">
        <v>23</v>
      </c>
      <c r="D483">
        <v>0.99209400000000003</v>
      </c>
      <c r="E483" t="s">
        <v>24</v>
      </c>
      <c r="F483">
        <v>1.008067</v>
      </c>
      <c r="G483" t="s">
        <v>25</v>
      </c>
      <c r="H483">
        <v>0.91616900000000001</v>
      </c>
      <c r="I483" t="s">
        <v>26</v>
      </c>
      <c r="J483">
        <v>1.55E-4</v>
      </c>
      <c r="K483" t="s">
        <v>27</v>
      </c>
      <c r="L483">
        <v>2.1569000000000001E-2</v>
      </c>
      <c r="M483" t="s">
        <v>28</v>
      </c>
      <c r="N483">
        <v>1.9602000000000001E-2</v>
      </c>
      <c r="O483" t="s">
        <v>29</v>
      </c>
      <c r="P483">
        <v>0.19516900000000001</v>
      </c>
      <c r="Q483" t="s">
        <v>30</v>
      </c>
      <c r="R483">
        <v>0.110272</v>
      </c>
      <c r="S483" t="s">
        <v>31</v>
      </c>
      <c r="T483">
        <v>0.59869000000000006</v>
      </c>
      <c r="U483" t="s">
        <v>32</v>
      </c>
      <c r="V483">
        <v>1.8109E-2</v>
      </c>
      <c r="W483" t="s">
        <v>33</v>
      </c>
      <c r="X483">
        <v>0.19412199999999999</v>
      </c>
      <c r="Y483" t="s">
        <v>34</v>
      </c>
      <c r="Z483">
        <v>0.104183</v>
      </c>
      <c r="AA483" t="s">
        <v>35</v>
      </c>
      <c r="AB483">
        <v>4.5463999999999997E-2</v>
      </c>
      <c r="AC483" t="s">
        <v>36</v>
      </c>
      <c r="AD483">
        <v>0.26365</v>
      </c>
      <c r="AE483" t="s">
        <v>37</v>
      </c>
      <c r="AF483">
        <v>0.26155299999999998</v>
      </c>
      <c r="AG483" t="s">
        <v>38</v>
      </c>
      <c r="AH483">
        <v>0.99204499999999995</v>
      </c>
      <c r="AI483" t="s">
        <v>39</v>
      </c>
      <c r="AJ483">
        <v>0.78053399999999995</v>
      </c>
      <c r="AK483" t="s">
        <v>40</v>
      </c>
      <c r="AL483">
        <v>0.78449100000000005</v>
      </c>
      <c r="AM483" t="s">
        <v>41</v>
      </c>
      <c r="AN483">
        <v>62.903602999999997</v>
      </c>
      <c r="AO483" t="s">
        <v>42</v>
      </c>
      <c r="AP483">
        <v>33.549453999999997</v>
      </c>
    </row>
    <row r="484" spans="1:42" x14ac:dyDescent="0.3">
      <c r="A484" t="s">
        <v>22</v>
      </c>
      <c r="B484">
        <v>4.8400160000000003</v>
      </c>
      <c r="C484" t="s">
        <v>23</v>
      </c>
      <c r="D484">
        <v>0.99198299999999995</v>
      </c>
      <c r="E484" t="s">
        <v>24</v>
      </c>
      <c r="F484">
        <v>1.007895</v>
      </c>
      <c r="G484" t="s">
        <v>25</v>
      </c>
      <c r="H484">
        <v>0.91616900000000001</v>
      </c>
      <c r="I484" t="s">
        <v>26</v>
      </c>
      <c r="J484">
        <v>1.55E-4</v>
      </c>
      <c r="K484" t="s">
        <v>27</v>
      </c>
      <c r="L484">
        <v>2.1565000000000001E-2</v>
      </c>
      <c r="M484" t="s">
        <v>28</v>
      </c>
      <c r="N484">
        <v>1.9602000000000001E-2</v>
      </c>
      <c r="O484" t="s">
        <v>29</v>
      </c>
      <c r="P484">
        <v>0.19575799999999999</v>
      </c>
      <c r="Q484" t="s">
        <v>30</v>
      </c>
      <c r="R484">
        <v>0.111188</v>
      </c>
      <c r="S484" t="s">
        <v>31</v>
      </c>
      <c r="T484">
        <v>0.59869000000000006</v>
      </c>
      <c r="U484" t="s">
        <v>32</v>
      </c>
      <c r="V484">
        <v>1.8072999999999999E-2</v>
      </c>
      <c r="W484" t="s">
        <v>33</v>
      </c>
      <c r="X484">
        <v>0.19423699999999999</v>
      </c>
      <c r="Y484" t="s">
        <v>34</v>
      </c>
      <c r="Z484">
        <v>0.104183</v>
      </c>
      <c r="AA484" t="s">
        <v>35</v>
      </c>
      <c r="AB484">
        <v>4.5372999999999997E-2</v>
      </c>
      <c r="AC484" t="s">
        <v>36</v>
      </c>
      <c r="AD484">
        <v>0.26364300000000002</v>
      </c>
      <c r="AE484" t="s">
        <v>37</v>
      </c>
      <c r="AF484">
        <v>0.26155299999999998</v>
      </c>
      <c r="AG484" t="s">
        <v>38</v>
      </c>
      <c r="AH484">
        <v>0.99207500000000004</v>
      </c>
      <c r="AI484" t="s">
        <v>39</v>
      </c>
      <c r="AJ484">
        <v>0.78054800000000002</v>
      </c>
      <c r="AK484" t="s">
        <v>40</v>
      </c>
      <c r="AL484">
        <v>0.78449100000000005</v>
      </c>
      <c r="AM484" t="s">
        <v>41</v>
      </c>
      <c r="AN484">
        <v>63.033839999999998</v>
      </c>
      <c r="AO484" t="s">
        <v>42</v>
      </c>
      <c r="AP484">
        <v>33.616917000000001</v>
      </c>
    </row>
    <row r="485" spans="1:42" x14ac:dyDescent="0.3">
      <c r="A485" t="s">
        <v>22</v>
      </c>
      <c r="B485">
        <v>4.8500160000000001</v>
      </c>
      <c r="C485" t="s">
        <v>23</v>
      </c>
      <c r="D485">
        <v>0.99187199999999998</v>
      </c>
      <c r="E485" t="s">
        <v>24</v>
      </c>
      <c r="F485">
        <v>1.0077229999999999</v>
      </c>
      <c r="G485" t="s">
        <v>25</v>
      </c>
      <c r="H485">
        <v>0.91616900000000001</v>
      </c>
      <c r="I485" t="s">
        <v>26</v>
      </c>
      <c r="J485">
        <v>1.54E-4</v>
      </c>
      <c r="K485" t="s">
        <v>27</v>
      </c>
      <c r="L485">
        <v>2.1562000000000001E-2</v>
      </c>
      <c r="M485" t="s">
        <v>28</v>
      </c>
      <c r="N485">
        <v>1.9602000000000001E-2</v>
      </c>
      <c r="O485" t="s">
        <v>29</v>
      </c>
      <c r="P485">
        <v>0.19634699999999999</v>
      </c>
      <c r="Q485" t="s">
        <v>30</v>
      </c>
      <c r="R485">
        <v>0.11210299999999999</v>
      </c>
      <c r="S485" t="s">
        <v>31</v>
      </c>
      <c r="T485">
        <v>0.59869000000000006</v>
      </c>
      <c r="U485" t="s">
        <v>32</v>
      </c>
      <c r="V485">
        <v>1.8037000000000001E-2</v>
      </c>
      <c r="W485" t="s">
        <v>33</v>
      </c>
      <c r="X485">
        <v>0.194353</v>
      </c>
      <c r="Y485" t="s">
        <v>34</v>
      </c>
      <c r="Z485">
        <v>0.104183</v>
      </c>
      <c r="AA485" t="s">
        <v>35</v>
      </c>
      <c r="AB485">
        <v>4.5282999999999997E-2</v>
      </c>
      <c r="AC485" t="s">
        <v>36</v>
      </c>
      <c r="AD485">
        <v>0.26363500000000001</v>
      </c>
      <c r="AE485" t="s">
        <v>37</v>
      </c>
      <c r="AF485">
        <v>0.26155299999999998</v>
      </c>
      <c r="AG485" t="s">
        <v>38</v>
      </c>
      <c r="AH485">
        <v>0.99210399999999999</v>
      </c>
      <c r="AI485" t="s">
        <v>39</v>
      </c>
      <c r="AJ485">
        <v>0.78056400000000004</v>
      </c>
      <c r="AK485" t="s">
        <v>40</v>
      </c>
      <c r="AL485">
        <v>0.78449100000000005</v>
      </c>
      <c r="AM485" t="s">
        <v>41</v>
      </c>
      <c r="AN485">
        <v>63.164073999999999</v>
      </c>
      <c r="AO485" t="s">
        <v>42</v>
      </c>
      <c r="AP485">
        <v>33.684379999999997</v>
      </c>
    </row>
    <row r="486" spans="1:42" x14ac:dyDescent="0.3">
      <c r="A486" t="s">
        <v>22</v>
      </c>
      <c r="B486">
        <v>4.8600159999999999</v>
      </c>
      <c r="C486" t="s">
        <v>23</v>
      </c>
      <c r="D486">
        <v>0.99176200000000003</v>
      </c>
      <c r="E486" t="s">
        <v>24</v>
      </c>
      <c r="F486">
        <v>1.0075510000000001</v>
      </c>
      <c r="G486" t="s">
        <v>25</v>
      </c>
      <c r="H486">
        <v>0.91616900000000001</v>
      </c>
      <c r="I486" t="s">
        <v>26</v>
      </c>
      <c r="J486">
        <v>1.54E-4</v>
      </c>
      <c r="K486" t="s">
        <v>27</v>
      </c>
      <c r="L486">
        <v>2.1558000000000001E-2</v>
      </c>
      <c r="M486" t="s">
        <v>28</v>
      </c>
      <c r="N486">
        <v>1.9602000000000001E-2</v>
      </c>
      <c r="O486" t="s">
        <v>29</v>
      </c>
      <c r="P486">
        <v>0.196933</v>
      </c>
      <c r="Q486" t="s">
        <v>30</v>
      </c>
      <c r="R486">
        <v>0.113014</v>
      </c>
      <c r="S486" t="s">
        <v>31</v>
      </c>
      <c r="T486">
        <v>0.59869000000000006</v>
      </c>
      <c r="U486" t="s">
        <v>32</v>
      </c>
      <c r="V486">
        <v>1.8002000000000001E-2</v>
      </c>
      <c r="W486" t="s">
        <v>33</v>
      </c>
      <c r="X486">
        <v>0.194468</v>
      </c>
      <c r="Y486" t="s">
        <v>34</v>
      </c>
      <c r="Z486">
        <v>0.104183</v>
      </c>
      <c r="AA486" t="s">
        <v>35</v>
      </c>
      <c r="AB486">
        <v>4.5192999999999997E-2</v>
      </c>
      <c r="AC486" t="s">
        <v>36</v>
      </c>
      <c r="AD486">
        <v>0.263627</v>
      </c>
      <c r="AE486" t="s">
        <v>37</v>
      </c>
      <c r="AF486">
        <v>0.26155299999999998</v>
      </c>
      <c r="AG486" t="s">
        <v>38</v>
      </c>
      <c r="AH486">
        <v>0.99213300000000004</v>
      </c>
      <c r="AI486" t="s">
        <v>39</v>
      </c>
      <c r="AJ486">
        <v>0.78057900000000002</v>
      </c>
      <c r="AK486" t="s">
        <v>40</v>
      </c>
      <c r="AL486">
        <v>0.78449100000000005</v>
      </c>
      <c r="AM486" t="s">
        <v>41</v>
      </c>
      <c r="AN486">
        <v>63.294308000000001</v>
      </c>
      <c r="AO486" t="s">
        <v>42</v>
      </c>
      <c r="AP486">
        <v>33.751846</v>
      </c>
    </row>
    <row r="487" spans="1:42" x14ac:dyDescent="0.3">
      <c r="A487" t="s">
        <v>22</v>
      </c>
      <c r="B487">
        <v>4.8700169999999998</v>
      </c>
      <c r="C487" t="s">
        <v>23</v>
      </c>
      <c r="D487">
        <v>0.99165199999999998</v>
      </c>
      <c r="E487" t="s">
        <v>24</v>
      </c>
      <c r="F487">
        <v>1.0073810000000001</v>
      </c>
      <c r="G487" t="s">
        <v>25</v>
      </c>
      <c r="H487">
        <v>0.91616900000000001</v>
      </c>
      <c r="I487" t="s">
        <v>26</v>
      </c>
      <c r="J487">
        <v>1.5300000000000001E-4</v>
      </c>
      <c r="K487" t="s">
        <v>27</v>
      </c>
      <c r="L487">
        <v>2.1554E-2</v>
      </c>
      <c r="M487" t="s">
        <v>28</v>
      </c>
      <c r="N487">
        <v>1.9602000000000001E-2</v>
      </c>
      <c r="O487" t="s">
        <v>29</v>
      </c>
      <c r="P487">
        <v>0.197517</v>
      </c>
      <c r="Q487" t="s">
        <v>30</v>
      </c>
      <c r="R487">
        <v>0.11392099999999999</v>
      </c>
      <c r="S487" t="s">
        <v>31</v>
      </c>
      <c r="T487">
        <v>0.59869000000000006</v>
      </c>
      <c r="U487" t="s">
        <v>32</v>
      </c>
      <c r="V487">
        <v>1.7965999999999999E-2</v>
      </c>
      <c r="W487" t="s">
        <v>33</v>
      </c>
      <c r="X487">
        <v>0.19458400000000001</v>
      </c>
      <c r="Y487" t="s">
        <v>34</v>
      </c>
      <c r="Z487">
        <v>0.104183</v>
      </c>
      <c r="AA487" t="s">
        <v>35</v>
      </c>
      <c r="AB487">
        <v>4.5103999999999998E-2</v>
      </c>
      <c r="AC487" t="s">
        <v>36</v>
      </c>
      <c r="AD487">
        <v>0.26361899999999999</v>
      </c>
      <c r="AE487" t="s">
        <v>37</v>
      </c>
      <c r="AF487">
        <v>0.26155299999999998</v>
      </c>
      <c r="AG487" t="s">
        <v>38</v>
      </c>
      <c r="AH487">
        <v>0.99216199999999999</v>
      </c>
      <c r="AI487" t="s">
        <v>39</v>
      </c>
      <c r="AJ487">
        <v>0.78059299999999998</v>
      </c>
      <c r="AK487" t="s">
        <v>40</v>
      </c>
      <c r="AL487">
        <v>0.78449100000000005</v>
      </c>
      <c r="AM487" t="s">
        <v>41</v>
      </c>
      <c r="AN487">
        <v>63.424545000000002</v>
      </c>
      <c r="AO487" t="s">
        <v>42</v>
      </c>
      <c r="AP487">
        <v>33.819313000000001</v>
      </c>
    </row>
    <row r="488" spans="1:42" x14ac:dyDescent="0.3">
      <c r="A488" t="s">
        <v>22</v>
      </c>
      <c r="B488">
        <v>4.8800169999999996</v>
      </c>
      <c r="C488" t="s">
        <v>23</v>
      </c>
      <c r="D488">
        <v>0.99154200000000003</v>
      </c>
      <c r="E488" t="s">
        <v>24</v>
      </c>
      <c r="F488">
        <v>1.0072110000000001</v>
      </c>
      <c r="G488" t="s">
        <v>25</v>
      </c>
      <c r="H488">
        <v>0.91616900000000001</v>
      </c>
      <c r="I488" t="s">
        <v>26</v>
      </c>
      <c r="J488">
        <v>1.5300000000000001E-4</v>
      </c>
      <c r="K488" t="s">
        <v>27</v>
      </c>
      <c r="L488">
        <v>2.1551000000000001E-2</v>
      </c>
      <c r="M488" t="s">
        <v>28</v>
      </c>
      <c r="N488">
        <v>1.9602000000000001E-2</v>
      </c>
      <c r="O488" t="s">
        <v>29</v>
      </c>
      <c r="P488">
        <v>0.1981</v>
      </c>
      <c r="Q488" t="s">
        <v>30</v>
      </c>
      <c r="R488">
        <v>0.114825</v>
      </c>
      <c r="S488" t="s">
        <v>31</v>
      </c>
      <c r="T488">
        <v>0.59869000000000006</v>
      </c>
      <c r="U488" t="s">
        <v>32</v>
      </c>
      <c r="V488">
        <v>1.7930000000000001E-2</v>
      </c>
      <c r="W488" t="s">
        <v>33</v>
      </c>
      <c r="X488">
        <v>0.19469900000000001</v>
      </c>
      <c r="Y488" t="s">
        <v>34</v>
      </c>
      <c r="Z488">
        <v>0.104183</v>
      </c>
      <c r="AA488" t="s">
        <v>35</v>
      </c>
      <c r="AB488">
        <v>4.5014999999999999E-2</v>
      </c>
      <c r="AC488" t="s">
        <v>36</v>
      </c>
      <c r="AD488">
        <v>0.26361200000000001</v>
      </c>
      <c r="AE488" t="s">
        <v>37</v>
      </c>
      <c r="AF488">
        <v>0.26155299999999998</v>
      </c>
      <c r="AG488" t="s">
        <v>38</v>
      </c>
      <c r="AH488">
        <v>0.99219100000000005</v>
      </c>
      <c r="AI488" t="s">
        <v>39</v>
      </c>
      <c r="AJ488">
        <v>0.78060700000000005</v>
      </c>
      <c r="AK488" t="s">
        <v>40</v>
      </c>
      <c r="AL488">
        <v>0.78449100000000005</v>
      </c>
      <c r="AM488" t="s">
        <v>41</v>
      </c>
      <c r="AN488">
        <v>63.554779000000003</v>
      </c>
      <c r="AO488" t="s">
        <v>42</v>
      </c>
      <c r="AP488">
        <v>33.886786999999998</v>
      </c>
    </row>
    <row r="489" spans="1:42" x14ac:dyDescent="0.3">
      <c r="A489" t="s">
        <v>22</v>
      </c>
      <c r="B489">
        <v>4.8900170000000003</v>
      </c>
      <c r="C489" t="s">
        <v>23</v>
      </c>
      <c r="D489">
        <v>0.99143199999999998</v>
      </c>
      <c r="E489" t="s">
        <v>24</v>
      </c>
      <c r="F489">
        <v>1.0070410000000001</v>
      </c>
      <c r="G489" t="s">
        <v>25</v>
      </c>
      <c r="H489">
        <v>0.91616900000000001</v>
      </c>
      <c r="I489" t="s">
        <v>26</v>
      </c>
      <c r="J489">
        <v>1.5200000000000001E-4</v>
      </c>
      <c r="K489" t="s">
        <v>27</v>
      </c>
      <c r="L489">
        <v>2.1547E-2</v>
      </c>
      <c r="M489" t="s">
        <v>28</v>
      </c>
      <c r="N489">
        <v>1.9602000000000001E-2</v>
      </c>
      <c r="O489" t="s">
        <v>29</v>
      </c>
      <c r="P489">
        <v>0.198684</v>
      </c>
      <c r="Q489" t="s">
        <v>30</v>
      </c>
      <c r="R489">
        <v>0.115726</v>
      </c>
      <c r="S489" t="s">
        <v>31</v>
      </c>
      <c r="T489">
        <v>0.59869000000000006</v>
      </c>
      <c r="U489" t="s">
        <v>32</v>
      </c>
      <c r="V489">
        <v>1.7895000000000001E-2</v>
      </c>
      <c r="W489" t="s">
        <v>33</v>
      </c>
      <c r="X489">
        <v>0.19481499999999999</v>
      </c>
      <c r="Y489" t="s">
        <v>34</v>
      </c>
      <c r="Z489">
        <v>0.104183</v>
      </c>
      <c r="AA489" t="s">
        <v>35</v>
      </c>
      <c r="AB489">
        <v>4.4926000000000001E-2</v>
      </c>
      <c r="AC489" t="s">
        <v>36</v>
      </c>
      <c r="AD489">
        <v>0.263604</v>
      </c>
      <c r="AE489" t="s">
        <v>37</v>
      </c>
      <c r="AF489">
        <v>0.26155299999999998</v>
      </c>
      <c r="AG489" t="s">
        <v>38</v>
      </c>
      <c r="AH489">
        <v>0.99221999999999999</v>
      </c>
      <c r="AI489" t="s">
        <v>39</v>
      </c>
      <c r="AJ489">
        <v>0.78062200000000004</v>
      </c>
      <c r="AK489" t="s">
        <v>40</v>
      </c>
      <c r="AL489">
        <v>0.78449100000000005</v>
      </c>
      <c r="AM489" t="s">
        <v>41</v>
      </c>
      <c r="AN489">
        <v>63.685012999999998</v>
      </c>
      <c r="AO489" t="s">
        <v>42</v>
      </c>
      <c r="AP489">
        <v>33.954262</v>
      </c>
    </row>
    <row r="490" spans="1:42" x14ac:dyDescent="0.3">
      <c r="A490" t="s">
        <v>22</v>
      </c>
      <c r="B490">
        <v>4.9000170000000001</v>
      </c>
      <c r="C490" t="s">
        <v>23</v>
      </c>
      <c r="D490">
        <v>0.99132299999999995</v>
      </c>
      <c r="E490" t="s">
        <v>24</v>
      </c>
      <c r="F490">
        <v>1.006872</v>
      </c>
      <c r="G490" t="s">
        <v>25</v>
      </c>
      <c r="H490">
        <v>0.91616900000000001</v>
      </c>
      <c r="I490" t="s">
        <v>26</v>
      </c>
      <c r="J490">
        <v>1.5200000000000001E-4</v>
      </c>
      <c r="K490" t="s">
        <v>27</v>
      </c>
      <c r="L490">
        <v>2.1543E-2</v>
      </c>
      <c r="M490" t="s">
        <v>28</v>
      </c>
      <c r="N490">
        <v>1.9602000000000001E-2</v>
      </c>
      <c r="O490" t="s">
        <v>29</v>
      </c>
      <c r="P490">
        <v>0.199263</v>
      </c>
      <c r="Q490" t="s">
        <v>30</v>
      </c>
      <c r="R490">
        <v>0.11662400000000001</v>
      </c>
      <c r="S490" t="s">
        <v>31</v>
      </c>
      <c r="T490">
        <v>0.59869000000000006</v>
      </c>
      <c r="U490" t="s">
        <v>32</v>
      </c>
      <c r="V490">
        <v>1.7860000000000001E-2</v>
      </c>
      <c r="W490" t="s">
        <v>33</v>
      </c>
      <c r="X490">
        <v>0.19492999999999999</v>
      </c>
      <c r="Y490" t="s">
        <v>34</v>
      </c>
      <c r="Z490">
        <v>0.104183</v>
      </c>
      <c r="AA490" t="s">
        <v>35</v>
      </c>
      <c r="AB490">
        <v>4.4838000000000003E-2</v>
      </c>
      <c r="AC490" t="s">
        <v>36</v>
      </c>
      <c r="AD490">
        <v>0.263596</v>
      </c>
      <c r="AE490" t="s">
        <v>37</v>
      </c>
      <c r="AF490">
        <v>0.26155299999999998</v>
      </c>
      <c r="AG490" t="s">
        <v>38</v>
      </c>
      <c r="AH490">
        <v>0.99224900000000005</v>
      </c>
      <c r="AI490" t="s">
        <v>39</v>
      </c>
      <c r="AJ490">
        <v>0.780636</v>
      </c>
      <c r="AK490" t="s">
        <v>40</v>
      </c>
      <c r="AL490">
        <v>0.78449100000000005</v>
      </c>
      <c r="AM490" t="s">
        <v>41</v>
      </c>
      <c r="AN490">
        <v>63.815249999999999</v>
      </c>
      <c r="AO490" t="s">
        <v>42</v>
      </c>
      <c r="AP490">
        <v>34.021740000000001</v>
      </c>
    </row>
    <row r="491" spans="1:42" x14ac:dyDescent="0.3">
      <c r="A491" t="s">
        <v>22</v>
      </c>
      <c r="B491">
        <v>4.9100169999999999</v>
      </c>
      <c r="C491" t="s">
        <v>23</v>
      </c>
      <c r="D491">
        <v>0.99121400000000004</v>
      </c>
      <c r="E491" t="s">
        <v>24</v>
      </c>
      <c r="F491">
        <v>1.006704</v>
      </c>
      <c r="G491" t="s">
        <v>25</v>
      </c>
      <c r="H491">
        <v>0.91616900000000001</v>
      </c>
      <c r="I491" t="s">
        <v>26</v>
      </c>
      <c r="J491">
        <v>1.5100000000000001E-4</v>
      </c>
      <c r="K491" t="s">
        <v>27</v>
      </c>
      <c r="L491">
        <v>2.154E-2</v>
      </c>
      <c r="M491" t="s">
        <v>28</v>
      </c>
      <c r="N491">
        <v>1.9602000000000001E-2</v>
      </c>
      <c r="O491" t="s">
        <v>29</v>
      </c>
      <c r="P491">
        <v>0.19984099999999999</v>
      </c>
      <c r="Q491" t="s">
        <v>30</v>
      </c>
      <c r="R491">
        <v>0.117518</v>
      </c>
      <c r="S491" t="s">
        <v>31</v>
      </c>
      <c r="T491">
        <v>0.59869000000000006</v>
      </c>
      <c r="U491" t="s">
        <v>32</v>
      </c>
      <c r="V491">
        <v>1.7825000000000001E-2</v>
      </c>
      <c r="W491" t="s">
        <v>33</v>
      </c>
      <c r="X491">
        <v>0.195045</v>
      </c>
      <c r="Y491" t="s">
        <v>34</v>
      </c>
      <c r="Z491">
        <v>0.104183</v>
      </c>
      <c r="AA491" t="s">
        <v>35</v>
      </c>
      <c r="AB491">
        <v>4.4748999999999997E-2</v>
      </c>
      <c r="AC491" t="s">
        <v>36</v>
      </c>
      <c r="AD491">
        <v>0.26358900000000002</v>
      </c>
      <c r="AE491" t="s">
        <v>37</v>
      </c>
      <c r="AF491">
        <v>0.26155299999999998</v>
      </c>
      <c r="AG491" t="s">
        <v>38</v>
      </c>
      <c r="AH491">
        <v>0.99227699999999996</v>
      </c>
      <c r="AI491" t="s">
        <v>39</v>
      </c>
      <c r="AJ491">
        <v>0.78065099999999998</v>
      </c>
      <c r="AK491" t="s">
        <v>40</v>
      </c>
      <c r="AL491">
        <v>0.78449100000000005</v>
      </c>
      <c r="AM491" t="s">
        <v>41</v>
      </c>
      <c r="AN491">
        <v>63.945484</v>
      </c>
      <c r="AO491" t="s">
        <v>42</v>
      </c>
      <c r="AP491">
        <v>34.089221999999999</v>
      </c>
    </row>
    <row r="492" spans="1:42" x14ac:dyDescent="0.3">
      <c r="A492" t="s">
        <v>22</v>
      </c>
      <c r="B492">
        <v>4.9200179999999998</v>
      </c>
      <c r="C492" t="s">
        <v>23</v>
      </c>
      <c r="D492">
        <v>0.99110600000000004</v>
      </c>
      <c r="E492" t="s">
        <v>24</v>
      </c>
      <c r="F492">
        <v>1.0065360000000001</v>
      </c>
      <c r="G492" t="s">
        <v>25</v>
      </c>
      <c r="H492">
        <v>0.91616900000000001</v>
      </c>
      <c r="I492" t="s">
        <v>26</v>
      </c>
      <c r="J492">
        <v>1.5100000000000001E-4</v>
      </c>
      <c r="K492" t="s">
        <v>27</v>
      </c>
      <c r="L492">
        <v>2.1536E-2</v>
      </c>
      <c r="M492" t="s">
        <v>28</v>
      </c>
      <c r="N492">
        <v>1.9602000000000001E-2</v>
      </c>
      <c r="O492" t="s">
        <v>29</v>
      </c>
      <c r="P492">
        <v>0.20041900000000001</v>
      </c>
      <c r="Q492" t="s">
        <v>30</v>
      </c>
      <c r="R492">
        <v>0.118409</v>
      </c>
      <c r="S492" t="s">
        <v>31</v>
      </c>
      <c r="T492">
        <v>0.59869000000000006</v>
      </c>
      <c r="U492" t="s">
        <v>32</v>
      </c>
      <c r="V492">
        <v>1.779E-2</v>
      </c>
      <c r="W492" t="s">
        <v>33</v>
      </c>
      <c r="X492">
        <v>0.195161</v>
      </c>
      <c r="Y492" t="s">
        <v>34</v>
      </c>
      <c r="Z492">
        <v>0.104183</v>
      </c>
      <c r="AA492" t="s">
        <v>35</v>
      </c>
      <c r="AB492">
        <v>4.4662E-2</v>
      </c>
      <c r="AC492" t="s">
        <v>36</v>
      </c>
      <c r="AD492">
        <v>0.26358100000000001</v>
      </c>
      <c r="AE492" t="s">
        <v>37</v>
      </c>
      <c r="AF492">
        <v>0.26155299999999998</v>
      </c>
      <c r="AG492" t="s">
        <v>38</v>
      </c>
      <c r="AH492">
        <v>0.99230499999999999</v>
      </c>
      <c r="AI492" t="s">
        <v>39</v>
      </c>
      <c r="AJ492">
        <v>0.78066500000000005</v>
      </c>
      <c r="AK492" t="s">
        <v>40</v>
      </c>
      <c r="AL492">
        <v>0.78449100000000005</v>
      </c>
      <c r="AM492" t="s">
        <v>41</v>
      </c>
      <c r="AN492">
        <v>64.075721999999999</v>
      </c>
      <c r="AO492" t="s">
        <v>42</v>
      </c>
      <c r="AP492">
        <v>34.156703999999998</v>
      </c>
    </row>
    <row r="493" spans="1:42" x14ac:dyDescent="0.3">
      <c r="A493" t="s">
        <v>22</v>
      </c>
      <c r="B493">
        <v>4.9300179999999996</v>
      </c>
      <c r="C493" t="s">
        <v>23</v>
      </c>
      <c r="D493">
        <v>0.99099700000000002</v>
      </c>
      <c r="E493" t="s">
        <v>24</v>
      </c>
      <c r="F493">
        <v>1.0063690000000001</v>
      </c>
      <c r="G493" t="s">
        <v>25</v>
      </c>
      <c r="H493">
        <v>0.91616900000000001</v>
      </c>
      <c r="I493" t="s">
        <v>26</v>
      </c>
      <c r="J493">
        <v>1.4999999999999999E-4</v>
      </c>
      <c r="K493" t="s">
        <v>27</v>
      </c>
      <c r="L493">
        <v>2.1533E-2</v>
      </c>
      <c r="M493" t="s">
        <v>28</v>
      </c>
      <c r="N493">
        <v>1.9602000000000001E-2</v>
      </c>
      <c r="O493" t="s">
        <v>29</v>
      </c>
      <c r="P493">
        <v>0.20099600000000001</v>
      </c>
      <c r="Q493" t="s">
        <v>30</v>
      </c>
      <c r="R493">
        <v>0.119297</v>
      </c>
      <c r="S493" t="s">
        <v>31</v>
      </c>
      <c r="T493">
        <v>0.59869000000000006</v>
      </c>
      <c r="U493" t="s">
        <v>32</v>
      </c>
      <c r="V493">
        <v>1.7755E-2</v>
      </c>
      <c r="W493" t="s">
        <v>33</v>
      </c>
      <c r="X493">
        <v>0.19527600000000001</v>
      </c>
      <c r="Y493" t="s">
        <v>34</v>
      </c>
      <c r="Z493">
        <v>0.104183</v>
      </c>
      <c r="AA493" t="s">
        <v>35</v>
      </c>
      <c r="AB493">
        <v>4.4574000000000003E-2</v>
      </c>
      <c r="AC493" t="s">
        <v>36</v>
      </c>
      <c r="AD493">
        <v>0.26357399999999997</v>
      </c>
      <c r="AE493" t="s">
        <v>37</v>
      </c>
      <c r="AF493">
        <v>0.26155299999999998</v>
      </c>
      <c r="AG493" t="s">
        <v>38</v>
      </c>
      <c r="AH493">
        <v>0.99233300000000002</v>
      </c>
      <c r="AI493" t="s">
        <v>39</v>
      </c>
      <c r="AJ493">
        <v>0.78067900000000001</v>
      </c>
      <c r="AK493" t="s">
        <v>40</v>
      </c>
      <c r="AL493">
        <v>0.78449100000000005</v>
      </c>
      <c r="AM493" t="s">
        <v>41</v>
      </c>
      <c r="AN493">
        <v>64.205956</v>
      </c>
      <c r="AO493" t="s">
        <v>42</v>
      </c>
      <c r="AP493">
        <v>34.22419</v>
      </c>
    </row>
    <row r="494" spans="1:42" x14ac:dyDescent="0.3">
      <c r="A494" t="s">
        <v>22</v>
      </c>
      <c r="B494">
        <v>4.9400180000000002</v>
      </c>
      <c r="C494" t="s">
        <v>23</v>
      </c>
      <c r="D494">
        <v>0.99088900000000002</v>
      </c>
      <c r="E494" t="s">
        <v>24</v>
      </c>
      <c r="F494">
        <v>1.006203</v>
      </c>
      <c r="G494" t="s">
        <v>25</v>
      </c>
      <c r="H494">
        <v>0.91616900000000001</v>
      </c>
      <c r="I494" t="s">
        <v>26</v>
      </c>
      <c r="J494">
        <v>1.4999999999999999E-4</v>
      </c>
      <c r="K494" t="s">
        <v>27</v>
      </c>
      <c r="L494">
        <v>2.1529E-2</v>
      </c>
      <c r="M494" t="s">
        <v>28</v>
      </c>
      <c r="N494">
        <v>1.9602000000000001E-2</v>
      </c>
      <c r="O494" t="s">
        <v>29</v>
      </c>
      <c r="P494">
        <v>0.201569</v>
      </c>
      <c r="Q494" t="s">
        <v>30</v>
      </c>
      <c r="R494">
        <v>0.120181</v>
      </c>
      <c r="S494" t="s">
        <v>31</v>
      </c>
      <c r="T494">
        <v>0.59869000000000006</v>
      </c>
      <c r="U494" t="s">
        <v>32</v>
      </c>
      <c r="V494">
        <v>1.772E-2</v>
      </c>
      <c r="W494" t="s">
        <v>33</v>
      </c>
      <c r="X494">
        <v>0.19539100000000001</v>
      </c>
      <c r="Y494" t="s">
        <v>34</v>
      </c>
      <c r="Z494">
        <v>0.104183</v>
      </c>
      <c r="AA494" t="s">
        <v>35</v>
      </c>
      <c r="AB494">
        <v>4.4486999999999999E-2</v>
      </c>
      <c r="AC494" t="s">
        <v>36</v>
      </c>
      <c r="AD494">
        <v>0.26356600000000002</v>
      </c>
      <c r="AE494" t="s">
        <v>37</v>
      </c>
      <c r="AF494">
        <v>0.26155299999999998</v>
      </c>
      <c r="AG494" t="s">
        <v>38</v>
      </c>
      <c r="AH494">
        <v>0.99236100000000005</v>
      </c>
      <c r="AI494" t="s">
        <v>39</v>
      </c>
      <c r="AJ494">
        <v>0.78069299999999997</v>
      </c>
      <c r="AK494" t="s">
        <v>40</v>
      </c>
      <c r="AL494">
        <v>0.78449100000000005</v>
      </c>
      <c r="AM494" t="s">
        <v>41</v>
      </c>
      <c r="AN494">
        <v>64.336189000000005</v>
      </c>
      <c r="AO494" t="s">
        <v>42</v>
      </c>
      <c r="AP494">
        <v>34.291679000000002</v>
      </c>
    </row>
    <row r="495" spans="1:42" x14ac:dyDescent="0.3">
      <c r="A495" t="s">
        <v>22</v>
      </c>
      <c r="B495">
        <v>4.950018</v>
      </c>
      <c r="C495" t="s">
        <v>23</v>
      </c>
      <c r="D495">
        <v>0.99078100000000002</v>
      </c>
      <c r="E495" t="s">
        <v>24</v>
      </c>
      <c r="F495">
        <v>1.0060370000000001</v>
      </c>
      <c r="G495" t="s">
        <v>25</v>
      </c>
      <c r="H495">
        <v>0.91616900000000001</v>
      </c>
      <c r="I495" t="s">
        <v>26</v>
      </c>
      <c r="J495">
        <v>1.4999999999999999E-4</v>
      </c>
      <c r="K495" t="s">
        <v>27</v>
      </c>
      <c r="L495">
        <v>2.1524999999999999E-2</v>
      </c>
      <c r="M495" t="s">
        <v>28</v>
      </c>
      <c r="N495">
        <v>1.9602000000000001E-2</v>
      </c>
      <c r="O495" t="s">
        <v>29</v>
      </c>
      <c r="P495">
        <v>0.20214399999999999</v>
      </c>
      <c r="Q495" t="s">
        <v>30</v>
      </c>
      <c r="R495">
        <v>0.121063</v>
      </c>
      <c r="S495" t="s">
        <v>31</v>
      </c>
      <c r="T495">
        <v>0.59869000000000006</v>
      </c>
      <c r="U495" t="s">
        <v>32</v>
      </c>
      <c r="V495">
        <v>1.7686E-2</v>
      </c>
      <c r="W495" t="s">
        <v>33</v>
      </c>
      <c r="X495">
        <v>0.19550600000000001</v>
      </c>
      <c r="Y495" t="s">
        <v>34</v>
      </c>
      <c r="Z495">
        <v>0.104183</v>
      </c>
      <c r="AA495" t="s">
        <v>35</v>
      </c>
      <c r="AB495">
        <v>4.4400000000000002E-2</v>
      </c>
      <c r="AC495" t="s">
        <v>36</v>
      </c>
      <c r="AD495">
        <v>0.26355899999999999</v>
      </c>
      <c r="AE495" t="s">
        <v>37</v>
      </c>
      <c r="AF495">
        <v>0.26155299999999998</v>
      </c>
      <c r="AG495" t="s">
        <v>38</v>
      </c>
      <c r="AH495">
        <v>0.99238899999999997</v>
      </c>
      <c r="AI495" t="s">
        <v>39</v>
      </c>
      <c r="AJ495">
        <v>0.78070700000000004</v>
      </c>
      <c r="AK495" t="s">
        <v>40</v>
      </c>
      <c r="AL495">
        <v>0.78449100000000005</v>
      </c>
      <c r="AM495" t="s">
        <v>41</v>
      </c>
      <c r="AN495">
        <v>64.466423000000006</v>
      </c>
      <c r="AO495" t="s">
        <v>42</v>
      </c>
      <c r="AP495">
        <v>34.359169000000001</v>
      </c>
    </row>
    <row r="496" spans="1:42" x14ac:dyDescent="0.3">
      <c r="A496" t="s">
        <v>22</v>
      </c>
      <c r="B496">
        <v>4.960019</v>
      </c>
      <c r="C496" t="s">
        <v>23</v>
      </c>
      <c r="D496">
        <v>0.99067400000000005</v>
      </c>
      <c r="E496" t="s">
        <v>24</v>
      </c>
      <c r="F496">
        <v>1.0058720000000001</v>
      </c>
      <c r="G496" t="s">
        <v>25</v>
      </c>
      <c r="H496">
        <v>0.91616900000000001</v>
      </c>
      <c r="I496" t="s">
        <v>26</v>
      </c>
      <c r="J496">
        <v>1.4899999999999999E-4</v>
      </c>
      <c r="K496" t="s">
        <v>27</v>
      </c>
      <c r="L496">
        <v>2.1521999999999999E-2</v>
      </c>
      <c r="M496" t="s">
        <v>28</v>
      </c>
      <c r="N496">
        <v>1.9602000000000001E-2</v>
      </c>
      <c r="O496" t="s">
        <v>29</v>
      </c>
      <c r="P496">
        <v>0.20271400000000001</v>
      </c>
      <c r="Q496" t="s">
        <v>30</v>
      </c>
      <c r="R496">
        <v>0.12194099999999999</v>
      </c>
      <c r="S496" t="s">
        <v>31</v>
      </c>
      <c r="T496">
        <v>0.59869000000000006</v>
      </c>
      <c r="U496" t="s">
        <v>32</v>
      </c>
      <c r="V496">
        <v>1.7651E-2</v>
      </c>
      <c r="W496" t="s">
        <v>33</v>
      </c>
      <c r="X496">
        <v>0.19562199999999999</v>
      </c>
      <c r="Y496" t="s">
        <v>34</v>
      </c>
      <c r="Z496">
        <v>0.104183</v>
      </c>
      <c r="AA496" t="s">
        <v>35</v>
      </c>
      <c r="AB496">
        <v>4.4313999999999999E-2</v>
      </c>
      <c r="AC496" t="s">
        <v>36</v>
      </c>
      <c r="AD496">
        <v>0.26355200000000001</v>
      </c>
      <c r="AE496" t="s">
        <v>37</v>
      </c>
      <c r="AF496">
        <v>0.26155299999999998</v>
      </c>
      <c r="AG496" t="s">
        <v>38</v>
      </c>
      <c r="AH496">
        <v>0.99241699999999999</v>
      </c>
      <c r="AI496" t="s">
        <v>39</v>
      </c>
      <c r="AJ496">
        <v>0.780721</v>
      </c>
      <c r="AK496" t="s">
        <v>40</v>
      </c>
      <c r="AL496">
        <v>0.78449100000000005</v>
      </c>
      <c r="AM496" t="s">
        <v>41</v>
      </c>
      <c r="AN496">
        <v>64.596664000000004</v>
      </c>
      <c r="AO496" t="s">
        <v>42</v>
      </c>
      <c r="AP496">
        <v>34.426665999999997</v>
      </c>
    </row>
    <row r="497" spans="1:42" x14ac:dyDescent="0.3">
      <c r="A497" t="s">
        <v>22</v>
      </c>
      <c r="B497">
        <v>4.9700189999999997</v>
      </c>
      <c r="C497" t="s">
        <v>23</v>
      </c>
      <c r="D497">
        <v>0.99056699999999998</v>
      </c>
      <c r="E497" t="s">
        <v>24</v>
      </c>
      <c r="F497">
        <v>1.0057069999999999</v>
      </c>
      <c r="G497" t="s">
        <v>25</v>
      </c>
      <c r="H497">
        <v>0.91616900000000001</v>
      </c>
      <c r="I497" t="s">
        <v>26</v>
      </c>
      <c r="J497">
        <v>1.4899999999999999E-4</v>
      </c>
      <c r="K497" t="s">
        <v>27</v>
      </c>
      <c r="L497">
        <v>2.1517999999999999E-2</v>
      </c>
      <c r="M497" t="s">
        <v>28</v>
      </c>
      <c r="N497">
        <v>1.9602000000000001E-2</v>
      </c>
      <c r="O497" t="s">
        <v>29</v>
      </c>
      <c r="P497">
        <v>0.20328399999999999</v>
      </c>
      <c r="Q497" t="s">
        <v>30</v>
      </c>
      <c r="R497">
        <v>0.12281599999999999</v>
      </c>
      <c r="S497" t="s">
        <v>31</v>
      </c>
      <c r="T497">
        <v>0.59869000000000006</v>
      </c>
      <c r="U497" t="s">
        <v>32</v>
      </c>
      <c r="V497">
        <v>1.7617000000000001E-2</v>
      </c>
      <c r="W497" t="s">
        <v>33</v>
      </c>
      <c r="X497">
        <v>0.19573699999999999</v>
      </c>
      <c r="Y497" t="s">
        <v>34</v>
      </c>
      <c r="Z497">
        <v>0.104183</v>
      </c>
      <c r="AA497" t="s">
        <v>35</v>
      </c>
      <c r="AB497">
        <v>4.4228000000000003E-2</v>
      </c>
      <c r="AC497" t="s">
        <v>36</v>
      </c>
      <c r="AD497">
        <v>0.263544</v>
      </c>
      <c r="AE497" t="s">
        <v>37</v>
      </c>
      <c r="AF497">
        <v>0.26155299999999998</v>
      </c>
      <c r="AG497" t="s">
        <v>38</v>
      </c>
      <c r="AH497">
        <v>0.99244399999999999</v>
      </c>
      <c r="AI497" t="s">
        <v>39</v>
      </c>
      <c r="AJ497">
        <v>0.78073499999999996</v>
      </c>
      <c r="AK497" t="s">
        <v>40</v>
      </c>
      <c r="AL497">
        <v>0.78449100000000005</v>
      </c>
      <c r="AM497" t="s">
        <v>41</v>
      </c>
      <c r="AN497">
        <v>64.726898000000006</v>
      </c>
      <c r="AO497" t="s">
        <v>42</v>
      </c>
      <c r="AP497">
        <v>34.494163999999998</v>
      </c>
    </row>
    <row r="498" spans="1:42" x14ac:dyDescent="0.3">
      <c r="A498" t="s">
        <v>22</v>
      </c>
      <c r="B498">
        <v>4.9800190000000004</v>
      </c>
      <c r="C498" t="s">
        <v>23</v>
      </c>
      <c r="D498">
        <v>0.99046000000000001</v>
      </c>
      <c r="E498" t="s">
        <v>24</v>
      </c>
      <c r="F498">
        <v>1.0055430000000001</v>
      </c>
      <c r="G498" t="s">
        <v>25</v>
      </c>
      <c r="H498">
        <v>0.91616900000000001</v>
      </c>
      <c r="I498" t="s">
        <v>26</v>
      </c>
      <c r="J498">
        <v>1.4799999999999999E-4</v>
      </c>
      <c r="K498" t="s">
        <v>27</v>
      </c>
      <c r="L498">
        <v>2.1514999999999999E-2</v>
      </c>
      <c r="M498" t="s">
        <v>28</v>
      </c>
      <c r="N498">
        <v>1.9602000000000001E-2</v>
      </c>
      <c r="O498" t="s">
        <v>29</v>
      </c>
      <c r="P498">
        <v>0.20385300000000001</v>
      </c>
      <c r="Q498" t="s">
        <v>30</v>
      </c>
      <c r="R498">
        <v>0.12368700000000001</v>
      </c>
      <c r="S498" t="s">
        <v>31</v>
      </c>
      <c r="T498">
        <v>0.59869000000000006</v>
      </c>
      <c r="U498" t="s">
        <v>32</v>
      </c>
      <c r="V498">
        <v>1.7583000000000001E-2</v>
      </c>
      <c r="W498" t="s">
        <v>33</v>
      </c>
      <c r="X498">
        <v>0.195852</v>
      </c>
      <c r="Y498" t="s">
        <v>34</v>
      </c>
      <c r="Z498">
        <v>0.104183</v>
      </c>
      <c r="AA498" t="s">
        <v>35</v>
      </c>
      <c r="AB498">
        <v>4.4142000000000001E-2</v>
      </c>
      <c r="AC498" t="s">
        <v>36</v>
      </c>
      <c r="AD498">
        <v>0.26353700000000002</v>
      </c>
      <c r="AE498" t="s">
        <v>37</v>
      </c>
      <c r="AF498">
        <v>0.26155299999999998</v>
      </c>
      <c r="AG498" t="s">
        <v>38</v>
      </c>
      <c r="AH498">
        <v>0.99247099999999999</v>
      </c>
      <c r="AI498" t="s">
        <v>39</v>
      </c>
      <c r="AJ498">
        <v>0.780748</v>
      </c>
      <c r="AK498" t="s">
        <v>40</v>
      </c>
      <c r="AL498">
        <v>0.78449100000000005</v>
      </c>
      <c r="AM498" t="s">
        <v>41</v>
      </c>
      <c r="AN498">
        <v>64.857132000000007</v>
      </c>
      <c r="AO498" t="s">
        <v>42</v>
      </c>
      <c r="AP498">
        <v>34.561664999999998</v>
      </c>
    </row>
    <row r="499" spans="1:42" x14ac:dyDescent="0.3">
      <c r="A499" t="s">
        <v>22</v>
      </c>
      <c r="B499">
        <v>4.9900190000000002</v>
      </c>
      <c r="C499" t="s">
        <v>23</v>
      </c>
      <c r="D499">
        <v>0.99035300000000004</v>
      </c>
      <c r="E499" t="s">
        <v>24</v>
      </c>
      <c r="F499">
        <v>1.0053799999999999</v>
      </c>
      <c r="G499" t="s">
        <v>25</v>
      </c>
      <c r="H499">
        <v>0.91616900000000001</v>
      </c>
      <c r="I499" t="s">
        <v>26</v>
      </c>
      <c r="J499">
        <v>1.4799999999999999E-4</v>
      </c>
      <c r="K499" t="s">
        <v>27</v>
      </c>
      <c r="L499">
        <v>2.1510999999999999E-2</v>
      </c>
      <c r="M499" t="s">
        <v>28</v>
      </c>
      <c r="N499">
        <v>1.9602000000000001E-2</v>
      </c>
      <c r="O499" t="s">
        <v>29</v>
      </c>
      <c r="P499">
        <v>0.20442099999999999</v>
      </c>
      <c r="Q499" t="s">
        <v>30</v>
      </c>
      <c r="R499">
        <v>0.124556</v>
      </c>
      <c r="S499" t="s">
        <v>31</v>
      </c>
      <c r="T499">
        <v>0.59869000000000006</v>
      </c>
      <c r="U499" t="s">
        <v>32</v>
      </c>
      <c r="V499">
        <v>1.7548999999999999E-2</v>
      </c>
      <c r="W499" t="s">
        <v>33</v>
      </c>
      <c r="X499">
        <v>0.195967</v>
      </c>
      <c r="Y499" t="s">
        <v>34</v>
      </c>
      <c r="Z499">
        <v>0.104183</v>
      </c>
      <c r="AA499" t="s">
        <v>35</v>
      </c>
      <c r="AB499">
        <v>4.4056999999999999E-2</v>
      </c>
      <c r="AC499" t="s">
        <v>36</v>
      </c>
      <c r="AD499">
        <v>0.26352999999999999</v>
      </c>
      <c r="AE499" t="s">
        <v>37</v>
      </c>
      <c r="AF499">
        <v>0.26155299999999998</v>
      </c>
      <c r="AG499" t="s">
        <v>38</v>
      </c>
      <c r="AH499">
        <v>0.99249900000000002</v>
      </c>
      <c r="AI499" t="s">
        <v>39</v>
      </c>
      <c r="AJ499">
        <v>0.78076299999999998</v>
      </c>
      <c r="AK499" t="s">
        <v>40</v>
      </c>
      <c r="AL499">
        <v>0.78449100000000005</v>
      </c>
      <c r="AM499" t="s">
        <v>41</v>
      </c>
      <c r="AN499">
        <v>64.987365999999994</v>
      </c>
      <c r="AO499" t="s">
        <v>42</v>
      </c>
      <c r="AP499">
        <v>34.629165999999998</v>
      </c>
    </row>
    <row r="500" spans="1:42" x14ac:dyDescent="0.3">
      <c r="A500" t="s">
        <v>22</v>
      </c>
      <c r="B500">
        <v>5.0000200000000001</v>
      </c>
      <c r="C500" t="s">
        <v>23</v>
      </c>
      <c r="D500">
        <v>0.99024699999999999</v>
      </c>
      <c r="E500" t="s">
        <v>24</v>
      </c>
      <c r="F500">
        <v>1.005217</v>
      </c>
      <c r="G500" t="s">
        <v>25</v>
      </c>
      <c r="H500">
        <v>0.91616900000000001</v>
      </c>
      <c r="I500" t="s">
        <v>26</v>
      </c>
      <c r="J500">
        <v>1.47E-4</v>
      </c>
      <c r="K500" t="s">
        <v>27</v>
      </c>
      <c r="L500">
        <v>2.1507999999999999E-2</v>
      </c>
      <c r="M500" t="s">
        <v>28</v>
      </c>
      <c r="N500">
        <v>1.9602000000000001E-2</v>
      </c>
      <c r="O500" t="s">
        <v>29</v>
      </c>
      <c r="P500">
        <v>0.204986</v>
      </c>
      <c r="Q500" t="s">
        <v>30</v>
      </c>
      <c r="R500">
        <v>0.125421</v>
      </c>
      <c r="S500" t="s">
        <v>31</v>
      </c>
      <c r="T500">
        <v>0.59869000000000006</v>
      </c>
      <c r="U500" t="s">
        <v>32</v>
      </c>
      <c r="V500">
        <v>1.7514999999999999E-2</v>
      </c>
      <c r="W500" t="s">
        <v>33</v>
      </c>
      <c r="X500">
        <v>0.19608300000000001</v>
      </c>
      <c r="Y500" t="s">
        <v>34</v>
      </c>
      <c r="Z500">
        <v>0.104183</v>
      </c>
      <c r="AA500" t="s">
        <v>35</v>
      </c>
      <c r="AB500">
        <v>4.3971000000000003E-2</v>
      </c>
      <c r="AC500" t="s">
        <v>36</v>
      </c>
      <c r="AD500">
        <v>0.26352300000000001</v>
      </c>
      <c r="AE500" t="s">
        <v>37</v>
      </c>
      <c r="AF500">
        <v>0.26155299999999998</v>
      </c>
      <c r="AG500" t="s">
        <v>38</v>
      </c>
      <c r="AH500">
        <v>0.99252600000000002</v>
      </c>
      <c r="AI500" t="s">
        <v>39</v>
      </c>
      <c r="AJ500">
        <v>0.78077600000000003</v>
      </c>
      <c r="AK500" t="s">
        <v>40</v>
      </c>
      <c r="AL500">
        <v>0.78449100000000005</v>
      </c>
      <c r="AM500" t="s">
        <v>41</v>
      </c>
      <c r="AN500">
        <v>65.117598999999998</v>
      </c>
      <c r="AO500" t="s">
        <v>42</v>
      </c>
      <c r="AP500">
        <v>34.696671000000002</v>
      </c>
    </row>
    <row r="501" spans="1:42" x14ac:dyDescent="0.3">
      <c r="A501" t="s">
        <v>22</v>
      </c>
      <c r="B501">
        <v>5.0100199999999999</v>
      </c>
      <c r="C501" t="s">
        <v>23</v>
      </c>
      <c r="D501">
        <v>0.99014000000000002</v>
      </c>
      <c r="E501" t="s">
        <v>24</v>
      </c>
      <c r="F501">
        <v>1.005055</v>
      </c>
      <c r="G501" t="s">
        <v>25</v>
      </c>
      <c r="H501">
        <v>0.91616900000000001</v>
      </c>
      <c r="I501" t="s">
        <v>26</v>
      </c>
      <c r="J501">
        <v>1.47E-4</v>
      </c>
      <c r="K501" t="s">
        <v>27</v>
      </c>
      <c r="L501">
        <v>2.1503999999999999E-2</v>
      </c>
      <c r="M501" t="s">
        <v>28</v>
      </c>
      <c r="N501">
        <v>1.9602000000000001E-2</v>
      </c>
      <c r="O501" t="s">
        <v>29</v>
      </c>
      <c r="P501">
        <v>0.20555000000000001</v>
      </c>
      <c r="Q501" t="s">
        <v>30</v>
      </c>
      <c r="R501">
        <v>0.12628400000000001</v>
      </c>
      <c r="S501" t="s">
        <v>31</v>
      </c>
      <c r="T501">
        <v>0.59869000000000006</v>
      </c>
      <c r="U501" t="s">
        <v>32</v>
      </c>
      <c r="V501">
        <v>1.7481E-2</v>
      </c>
      <c r="W501" t="s">
        <v>33</v>
      </c>
      <c r="X501">
        <v>0.19619800000000001</v>
      </c>
      <c r="Y501" t="s">
        <v>34</v>
      </c>
      <c r="Z501">
        <v>0.104183</v>
      </c>
      <c r="AA501" t="s">
        <v>35</v>
      </c>
      <c r="AB501">
        <v>4.3887000000000002E-2</v>
      </c>
      <c r="AC501" t="s">
        <v>36</v>
      </c>
      <c r="AD501">
        <v>0.26351599999999997</v>
      </c>
      <c r="AE501" t="s">
        <v>37</v>
      </c>
      <c r="AF501">
        <v>0.26155299999999998</v>
      </c>
      <c r="AG501" t="s">
        <v>38</v>
      </c>
      <c r="AH501">
        <v>0.99255300000000002</v>
      </c>
      <c r="AI501" t="s">
        <v>39</v>
      </c>
      <c r="AJ501">
        <v>0.78078899999999996</v>
      </c>
      <c r="AK501" t="s">
        <v>40</v>
      </c>
      <c r="AL501">
        <v>0.78449100000000005</v>
      </c>
      <c r="AM501" t="s">
        <v>41</v>
      </c>
      <c r="AN501">
        <v>65.247833</v>
      </c>
      <c r="AO501" t="s">
        <v>42</v>
      </c>
      <c r="AP501">
        <v>34.764178999999999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Ranjit</dc:creator>
  <cp:lastModifiedBy>Ranjit Das</cp:lastModifiedBy>
  <dcterms:created xsi:type="dcterms:W3CDTF">2020-01-29T20:29:01Z</dcterms:created>
  <dcterms:modified xsi:type="dcterms:W3CDTF">2026-05-07T03:46:54Z</dcterms:modified>
</cp:coreProperties>
</file>